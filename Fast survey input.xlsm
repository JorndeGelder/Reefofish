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ageningenur4-my.sharepoint.com/personal/jorn_degelder_wur_nl/Documents/Thesis/Survey data excel backup/"/>
    </mc:Choice>
  </mc:AlternateContent>
  <xr:revisionPtr revIDLastSave="14" documentId="13_ncr:1_{9C69AC21-2615-4C70-BC9B-53A6C6338CA4}" xr6:coauthVersionLast="47" xr6:coauthVersionMax="47" xr10:uidLastSave="{58352252-B0D9-4971-AC5F-AD2579CE3680}"/>
  <bookViews>
    <workbookView xWindow="-120" yWindow="-120" windowWidth="29040" windowHeight="15840" xr2:uid="{00000000-000D-0000-FFFF-FFFF00000000}"/>
  </bookViews>
  <sheets>
    <sheet name="Data" sheetId="2" r:id="rId1"/>
    <sheet name="Overview" sheetId="4" r:id="rId2"/>
    <sheet name="Raw" sheetId="9" r:id="rId3"/>
    <sheet name="Abbrevation full name" sheetId="7" r:id="rId4"/>
  </sheets>
  <definedNames>
    <definedName name="_xlnm._FilterDatabase" localSheetId="0" hidden="1">Data!$A$1:$AA$21</definedName>
    <definedName name="_xlnm._FilterDatabase" localSheetId="1" hidden="1">Overview!$A$2:$AW$2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7" i="7" l="1"/>
  <c r="B36" i="7"/>
  <c r="AW60" i="9"/>
  <c r="AW59" i="9"/>
  <c r="AW58" i="9"/>
  <c r="AW57" i="9"/>
  <c r="AW56" i="9"/>
  <c r="AW55" i="9"/>
  <c r="AW54" i="9"/>
  <c r="AW53" i="9"/>
  <c r="AW52" i="9"/>
  <c r="AW51" i="9"/>
  <c r="AW50" i="9"/>
  <c r="AW49" i="9"/>
  <c r="AW48" i="9"/>
  <c r="AW47" i="9"/>
  <c r="AW46" i="9"/>
  <c r="AW45" i="9"/>
  <c r="AW44" i="9"/>
  <c r="AW43" i="9"/>
  <c r="AW42" i="9"/>
  <c r="AW41" i="9"/>
  <c r="AW40" i="9"/>
  <c r="AW39" i="9"/>
  <c r="AW38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W6" i="9"/>
  <c r="AW5" i="9"/>
  <c r="AW4" i="9"/>
  <c r="AW3" i="9"/>
  <c r="AG60" i="9"/>
  <c r="AG59" i="9"/>
  <c r="AG58" i="9"/>
  <c r="AG57" i="9"/>
  <c r="AG56" i="9"/>
  <c r="AG55" i="9"/>
  <c r="AG54" i="9"/>
  <c r="AG53" i="9"/>
  <c r="AG52" i="9"/>
  <c r="AG51" i="9"/>
  <c r="AG50" i="9"/>
  <c r="AG49" i="9"/>
  <c r="AG48" i="9"/>
  <c r="AG47" i="9"/>
  <c r="AG46" i="9"/>
  <c r="AG45" i="9"/>
  <c r="AG44" i="9"/>
  <c r="AG43" i="9"/>
  <c r="AG42" i="9"/>
  <c r="AG41" i="9"/>
  <c r="AG40" i="9"/>
  <c r="AG39" i="9"/>
  <c r="AG3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8" i="9"/>
  <c r="AG7" i="9"/>
  <c r="AG6" i="9"/>
  <c r="AG5" i="9"/>
  <c r="AG4" i="9"/>
  <c r="AG3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L1" i="4"/>
  <c r="Z1" i="4"/>
  <c r="N1" i="4"/>
  <c r="B1" i="4"/>
  <c r="R2" i="9" a="1"/>
  <c r="AX2" i="9" a="1"/>
  <c r="B2" i="9" a="1"/>
  <c r="AH2" i="9" a="1"/>
  <c r="AX2" i="9" l="1"/>
  <c r="AH2" i="9"/>
  <c r="R2" i="9"/>
  <c r="B2" i="9"/>
  <c r="AX60" i="9"/>
  <c r="AX59" i="9"/>
  <c r="AX58" i="9"/>
  <c r="AX57" i="9"/>
  <c r="AX56" i="9"/>
  <c r="AX55" i="9"/>
  <c r="AX54" i="9"/>
  <c r="AX53" i="9"/>
  <c r="AX52" i="9"/>
  <c r="AX51" i="9"/>
  <c r="AX50" i="9"/>
  <c r="AX49" i="9"/>
  <c r="AX48" i="9"/>
  <c r="AX47" i="9"/>
  <c r="AX46" i="9"/>
  <c r="AX45" i="9"/>
  <c r="AX44" i="9"/>
  <c r="AX43" i="9"/>
  <c r="AX42" i="9"/>
  <c r="AX41" i="9"/>
  <c r="AX40" i="9"/>
  <c r="AX39" i="9"/>
  <c r="AX38" i="9"/>
  <c r="AX37" i="9"/>
  <c r="AX36" i="9"/>
  <c r="AX35" i="9"/>
  <c r="AX34" i="9"/>
  <c r="AX33" i="9"/>
  <c r="AX32" i="9"/>
  <c r="AX31" i="9"/>
  <c r="AX30" i="9"/>
  <c r="AX29" i="9"/>
  <c r="AX28" i="9"/>
  <c r="AX27" i="9"/>
  <c r="AX26" i="9"/>
  <c r="AX25" i="9"/>
  <c r="AX24" i="9"/>
  <c r="AX23" i="9"/>
  <c r="AX22" i="9"/>
  <c r="AX21" i="9"/>
  <c r="AX20" i="9"/>
  <c r="AX19" i="9"/>
  <c r="AX18" i="9"/>
  <c r="AX17" i="9"/>
  <c r="AX16" i="9"/>
  <c r="AX15" i="9"/>
  <c r="AX14" i="9"/>
  <c r="AX13" i="9"/>
  <c r="AX12" i="9"/>
  <c r="AX11" i="9"/>
  <c r="AX10" i="9"/>
  <c r="AX9" i="9"/>
  <c r="AX8" i="9"/>
  <c r="AX7" i="9"/>
  <c r="AH60" i="9"/>
  <c r="AH59" i="9"/>
  <c r="AH58" i="9"/>
  <c r="AH57" i="9"/>
  <c r="AH56" i="9"/>
  <c r="AH55" i="9"/>
  <c r="AH54" i="9"/>
  <c r="AH53" i="9"/>
  <c r="AH52" i="9"/>
  <c r="AH51" i="9"/>
  <c r="AH50" i="9"/>
  <c r="AH49" i="9"/>
  <c r="AH48" i="9"/>
  <c r="AH47" i="9"/>
  <c r="AH46" i="9"/>
  <c r="AH45" i="9"/>
  <c r="AH44" i="9"/>
  <c r="AH43" i="9"/>
  <c r="AH42" i="9"/>
  <c r="AH41" i="9"/>
  <c r="AH40" i="9"/>
  <c r="AH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H5" i="9"/>
  <c r="AH4" i="9"/>
  <c r="AH3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7" i="9"/>
  <c r="R6" i="9"/>
  <c r="R5" i="9"/>
  <c r="R4" i="9"/>
  <c r="AX6" i="9"/>
  <c r="AX5" i="9"/>
  <c r="AX4" i="9"/>
  <c r="AX3" i="9"/>
  <c r="R8" i="9"/>
  <c r="R3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64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Q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Z3" i="2"/>
  <c r="Z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<sst xmlns="http://schemas.openxmlformats.org/spreadsheetml/2006/main" count="753" uniqueCount="707">
  <si>
    <t>Macroalgae</t>
  </si>
  <si>
    <t>Current</t>
  </si>
  <si>
    <t>Visibility</t>
  </si>
  <si>
    <t>Survey</t>
  </si>
  <si>
    <t>Date</t>
  </si>
  <si>
    <t>Location</t>
  </si>
  <si>
    <t>Transect</t>
  </si>
  <si>
    <t>Observer</t>
  </si>
  <si>
    <t>Start</t>
  </si>
  <si>
    <t>End</t>
  </si>
  <si>
    <t>Duration</t>
  </si>
  <si>
    <t>Hard.coral</t>
  </si>
  <si>
    <t>Soft.coral</t>
  </si>
  <si>
    <t>Rock</t>
  </si>
  <si>
    <t>Rubble</t>
  </si>
  <si>
    <t>Sand</t>
  </si>
  <si>
    <t>Other</t>
  </si>
  <si>
    <t>Seagrass</t>
  </si>
  <si>
    <t>Total</t>
  </si>
  <si>
    <t>Depth</t>
  </si>
  <si>
    <t>Tide</t>
  </si>
  <si>
    <t>Temperature</t>
  </si>
  <si>
    <t>Weather</t>
  </si>
  <si>
    <t>Type</t>
  </si>
  <si>
    <t>Radius</t>
  </si>
  <si>
    <t>Area</t>
  </si>
  <si>
    <t>Comments</t>
  </si>
  <si>
    <t xml:space="preserve"> </t>
  </si>
  <si>
    <t>Species</t>
  </si>
  <si>
    <t>c1_5</t>
  </si>
  <si>
    <t>c2_5</t>
  </si>
  <si>
    <t>c3_5</t>
  </si>
  <si>
    <t>c4_5</t>
  </si>
  <si>
    <t>c5_5</t>
  </si>
  <si>
    <t>c6_5</t>
  </si>
  <si>
    <t>c7_5</t>
  </si>
  <si>
    <t>c8_5</t>
  </si>
  <si>
    <t>c9_5</t>
  </si>
  <si>
    <t>c10_5</t>
  </si>
  <si>
    <t>c11num_5</t>
  </si>
  <si>
    <t>c11size_5</t>
  </si>
  <si>
    <t>c1_6</t>
  </si>
  <si>
    <t>c2_6</t>
  </si>
  <si>
    <t>c3_6</t>
  </si>
  <si>
    <t>c4_6</t>
  </si>
  <si>
    <t>c5_6</t>
  </si>
  <si>
    <t>c6_6</t>
  </si>
  <si>
    <t>c7_6</t>
  </si>
  <si>
    <t>c8_6</t>
  </si>
  <si>
    <t>c9_6</t>
  </si>
  <si>
    <t>c10_6</t>
  </si>
  <si>
    <t>c11num_6</t>
  </si>
  <si>
    <t>c11size_6</t>
  </si>
  <si>
    <t>c1_7</t>
  </si>
  <si>
    <t>c2_7</t>
  </si>
  <si>
    <t>c3_7</t>
  </si>
  <si>
    <t>c4_7</t>
  </si>
  <si>
    <t>c5_7</t>
  </si>
  <si>
    <t>c6_7</t>
  </si>
  <si>
    <t>c7_7</t>
  </si>
  <si>
    <t>c8_7</t>
  </si>
  <si>
    <t>c9_7</t>
  </si>
  <si>
    <t>c10_7</t>
  </si>
  <si>
    <t>c11num_7</t>
  </si>
  <si>
    <t>c11size_7</t>
  </si>
  <si>
    <t>c1_8</t>
  </si>
  <si>
    <t>c2_8</t>
  </si>
  <si>
    <t>c3_8</t>
  </si>
  <si>
    <t>c4_8</t>
  </si>
  <si>
    <t>c5_8</t>
  </si>
  <si>
    <t>c6_8</t>
  </si>
  <si>
    <t>c7_8</t>
  </si>
  <si>
    <t>c8_8</t>
  </si>
  <si>
    <t>c9_8</t>
  </si>
  <si>
    <t>c10_8</t>
  </si>
  <si>
    <t>c11num_8</t>
  </si>
  <si>
    <t>c11size_8</t>
  </si>
  <si>
    <t>Abudefduf sexfasciatus</t>
  </si>
  <si>
    <t>Abudefduf sparoides</t>
  </si>
  <si>
    <t>Abudefduf vaigiensis</t>
  </si>
  <si>
    <t>Acanthurus dussumieri</t>
  </si>
  <si>
    <t>Acanthurus leucosternon</t>
  </si>
  <si>
    <t>Acanthurus lineatus</t>
  </si>
  <si>
    <t>Acanthurus mata</t>
  </si>
  <si>
    <t>Acanthurus nigricauda</t>
  </si>
  <si>
    <t>Acanthurus nigrofuscus</t>
  </si>
  <si>
    <t>Acanthurus tennenti</t>
  </si>
  <si>
    <t>Acanthurus triostegus</t>
  </si>
  <si>
    <t>Acanthurus xanthopterus</t>
  </si>
  <si>
    <t>Acroteriobatus zanzibarensis</t>
  </si>
  <si>
    <t>Aeoliscus punctulatus</t>
  </si>
  <si>
    <t>Aethaloperca rogaa</t>
  </si>
  <si>
    <t>Aluterus scriptus</t>
  </si>
  <si>
    <t>Aluterus sp</t>
  </si>
  <si>
    <t>Amanses scopas</t>
  </si>
  <si>
    <t>Amblyglyphidodon indicus</t>
  </si>
  <si>
    <t>Amphiprion akallopisos</t>
  </si>
  <si>
    <t>Amphiprion allardi</t>
  </si>
  <si>
    <t>Anampses caeruleopunctatus</t>
  </si>
  <si>
    <t>Anampses lineatus</t>
  </si>
  <si>
    <t>Anampses meleagrides</t>
  </si>
  <si>
    <t>Anampses twistii</t>
  </si>
  <si>
    <t>Anyperodon leucogrammicus</t>
  </si>
  <si>
    <t>Arothron hispidus</t>
  </si>
  <si>
    <t>Arothron immaculatus</t>
  </si>
  <si>
    <t>Arothron mappa</t>
  </si>
  <si>
    <t>Arothron meleagris</t>
  </si>
  <si>
    <t>Arothron nigropunctatus</t>
  </si>
  <si>
    <t>Arothron stellatus</t>
  </si>
  <si>
    <t>Aspidontus taeniatus</t>
  </si>
  <si>
    <t>Atropis mentalis</t>
  </si>
  <si>
    <t>Aulostomus chinensis</t>
  </si>
  <si>
    <t>Azurina lepidolepis</t>
  </si>
  <si>
    <t>Balistapus undulatus</t>
  </si>
  <si>
    <t>Balistoides viridescens</t>
  </si>
  <si>
    <t>Bodianus anthioides</t>
  </si>
  <si>
    <t>Bodianus axillaris</t>
  </si>
  <si>
    <t>Bodianus diana</t>
  </si>
  <si>
    <t>Bodianus sp</t>
  </si>
  <si>
    <t>Caesio caerulaurea</t>
  </si>
  <si>
    <t>Caesio lunaris</t>
  </si>
  <si>
    <t>Caesio teres</t>
  </si>
  <si>
    <t>Caesio xanthalytos</t>
  </si>
  <si>
    <t>Caesio xanthonota</t>
  </si>
  <si>
    <t>Calotomus carolinus</t>
  </si>
  <si>
    <t>Calotomus spinidens</t>
  </si>
  <si>
    <t>Cantherhines dumerilii</t>
  </si>
  <si>
    <t>Cantherhines pardalis</t>
  </si>
  <si>
    <t>Canthigaster bennetti</t>
  </si>
  <si>
    <t>Canthigaster janthinoptera</t>
  </si>
  <si>
    <t>Canthigaster petersii</t>
  </si>
  <si>
    <t>Canthigaster smithae</t>
  </si>
  <si>
    <t>Canthigaster sp</t>
  </si>
  <si>
    <t>Canthigaster valentini</t>
  </si>
  <si>
    <t>Caranx melampygus</t>
  </si>
  <si>
    <t>Caranx papuensis</t>
  </si>
  <si>
    <t>Caranx sexfaciatus</t>
  </si>
  <si>
    <t>Centropyge acanthops</t>
  </si>
  <si>
    <t>Centropyge multispinis</t>
  </si>
  <si>
    <t>Cephalopholis argus</t>
  </si>
  <si>
    <t>Cephalopholis boenak</t>
  </si>
  <si>
    <t>Cephalopholis leopardus</t>
  </si>
  <si>
    <t>Cephalopholis miniata</t>
  </si>
  <si>
    <t>Cetoscarus ocellatus</t>
  </si>
  <si>
    <t>Chaetodon auriga</t>
  </si>
  <si>
    <t>Chaetodon bennetti</t>
  </si>
  <si>
    <t>Chaetodon falcula</t>
  </si>
  <si>
    <t>Chaetodon guttatissimus</t>
  </si>
  <si>
    <t>Chaetodon interruptus</t>
  </si>
  <si>
    <t>Chaetodon kleinii</t>
  </si>
  <si>
    <t>Chaetodon leucopleura</t>
  </si>
  <si>
    <t>Chaetodon lineolatus</t>
  </si>
  <si>
    <t>Chaetodon lunula</t>
  </si>
  <si>
    <t>Chaetodon melannotus</t>
  </si>
  <si>
    <t>Chaetodon meyeri</t>
  </si>
  <si>
    <t>Chaetodon trifascialis</t>
  </si>
  <si>
    <t>Chaetodon trifasciatus</t>
  </si>
  <si>
    <t>Chaetodon xanthocephalus</t>
  </si>
  <si>
    <t>Chaetodon zanzibarensis</t>
  </si>
  <si>
    <t>Cheilinus chlorourus</t>
  </si>
  <si>
    <t>Cheilinus fasciatus</t>
  </si>
  <si>
    <t>Cheilinus oxycephalus</t>
  </si>
  <si>
    <t>Cheilinus trilobatus</t>
  </si>
  <si>
    <t>Cheilinus undulatus</t>
  </si>
  <si>
    <t>Cheilio inermis</t>
  </si>
  <si>
    <t>Cheilodipterus arabicus</t>
  </si>
  <si>
    <t>Cheilodipterus macrodon</t>
  </si>
  <si>
    <t>Cheilodipterus quinquelineatus</t>
  </si>
  <si>
    <t>Chlorurus atrilunula</t>
  </si>
  <si>
    <t>Chlorurus sordidus</t>
  </si>
  <si>
    <t>Chlorurus strongylocephalus</t>
  </si>
  <si>
    <t>Chromis atripectoralis</t>
  </si>
  <si>
    <t>Chromis opercularis</t>
  </si>
  <si>
    <t>Chromis ternatensis</t>
  </si>
  <si>
    <t>Chromis viridis</t>
  </si>
  <si>
    <t>Chromis weberi</t>
  </si>
  <si>
    <t>Chrysiptera biocellata</t>
  </si>
  <si>
    <t>Chrysiptera unimaculata</t>
  </si>
  <si>
    <t>Cirrhilabrus exquisitus</t>
  </si>
  <si>
    <t>Cirrhitichthys oxycephalus</t>
  </si>
  <si>
    <t>Coris aygula</t>
  </si>
  <si>
    <t>Coris caudimacula</t>
  </si>
  <si>
    <t>Coris cuvieri</t>
  </si>
  <si>
    <t>Coris formosa</t>
  </si>
  <si>
    <t>Coris sp</t>
  </si>
  <si>
    <t>Ctenochaetus binotatus</t>
  </si>
  <si>
    <t>Ctenochaetus sp</t>
  </si>
  <si>
    <t>Ctenochaetus striatus</t>
  </si>
  <si>
    <t>Ctenochaetus truncatus</t>
  </si>
  <si>
    <t>Cyclichthys orbicularis</t>
  </si>
  <si>
    <t>Dascyllus abudafur</t>
  </si>
  <si>
    <t>Dascyllus carneus</t>
  </si>
  <si>
    <t>Dascyllus trimaculatus</t>
  </si>
  <si>
    <t>Diagramma pictum</t>
  </si>
  <si>
    <t>Diodon Holocanthus</t>
  </si>
  <si>
    <t>Diodon hystrix</t>
  </si>
  <si>
    <t>Diodon liturosus</t>
  </si>
  <si>
    <t>Epibulus insidiator</t>
  </si>
  <si>
    <t>Epinephelus areolatus</t>
  </si>
  <si>
    <t>Epinephelus fasciatus</t>
  </si>
  <si>
    <t>Epinephelus fuscoguttatus</t>
  </si>
  <si>
    <t>Epinephelus longispinis</t>
  </si>
  <si>
    <t>Epinephelus merra</t>
  </si>
  <si>
    <t>Epinephelus flavocaeruleus</t>
  </si>
  <si>
    <t>Euthynnus affinis</t>
  </si>
  <si>
    <t>Ferdauia ferdau</t>
  </si>
  <si>
    <t>Ferdauia orthogrammus</t>
  </si>
  <si>
    <t>Fistularia commersonii</t>
  </si>
  <si>
    <t>Forcipiger flavissimus</t>
  </si>
  <si>
    <t>Gnathanodon speciosus</t>
  </si>
  <si>
    <t>Gomphosus caeruleus</t>
  </si>
  <si>
    <t>Grammistes sexlineatus</t>
  </si>
  <si>
    <t>Halichoeres cosmetus</t>
  </si>
  <si>
    <t>Halichoeres hortulanus</t>
  </si>
  <si>
    <t>Halichoeres nebulosus</t>
  </si>
  <si>
    <t>Halichoeres nigrescens</t>
  </si>
  <si>
    <t>Halichoeres scapularis</t>
  </si>
  <si>
    <t>Hemigymnus fasciatus</t>
  </si>
  <si>
    <t>Hemigymnus melapterus</t>
  </si>
  <si>
    <t>Heniochus acuminatus</t>
  </si>
  <si>
    <t>Heniochus monoceros</t>
  </si>
  <si>
    <t>Heteropriacanthus carolinus</t>
  </si>
  <si>
    <t>Hipposcarus harid</t>
  </si>
  <si>
    <t>Hologymnosus annulatus</t>
  </si>
  <si>
    <t>Kyphosus cinerascens</t>
  </si>
  <si>
    <t>Kyphosus sp</t>
  </si>
  <si>
    <t>Kyphosus vaigiensis</t>
  </si>
  <si>
    <t>Labrichthys unilineatus</t>
  </si>
  <si>
    <t>Labroides bicolor</t>
  </si>
  <si>
    <t>Labroides dimidiatus</t>
  </si>
  <si>
    <t>Lactoria fornasini</t>
  </si>
  <si>
    <t>Leptoscarus vaigiensis</t>
  </si>
  <si>
    <t>Lethrinus borbonicus</t>
  </si>
  <si>
    <t>Lethrinus harak</t>
  </si>
  <si>
    <t>Lethrinus lentjan</t>
  </si>
  <si>
    <t>Lethrinus mahsena</t>
  </si>
  <si>
    <t>Lethrinus microdon</t>
  </si>
  <si>
    <t>Lethrinus obsoletus</t>
  </si>
  <si>
    <t>Lethrinus sp</t>
  </si>
  <si>
    <t>Lethrinus variegatus</t>
  </si>
  <si>
    <t>Lophodiodon calori</t>
  </si>
  <si>
    <t>Lutjanus argentimaculatus</t>
  </si>
  <si>
    <t>Lutjanus bohar</t>
  </si>
  <si>
    <t>Lutjanus ehrenbergii</t>
  </si>
  <si>
    <t>Lutjanus fulviflamma</t>
  </si>
  <si>
    <t>Lutjanus gibbus</t>
  </si>
  <si>
    <t>Lutjanus kasmira</t>
  </si>
  <si>
    <t>Lutjanus lutjanus</t>
  </si>
  <si>
    <t>Lutjanus monostigma</t>
  </si>
  <si>
    <t>Macolor niger</t>
  </si>
  <si>
    <t>Macropharyngodon bipartitus</t>
  </si>
  <si>
    <t>Meiacanthus mossambicus</t>
  </si>
  <si>
    <t>Mirolabrichthys evansi</t>
  </si>
  <si>
    <t>Monotaxis grandoculis</t>
  </si>
  <si>
    <t>Mulloidichthys flavolineatus</t>
  </si>
  <si>
    <t>Mulloidichthys vanicolensis</t>
  </si>
  <si>
    <t>Myripristis murdjan</t>
  </si>
  <si>
    <t>Myripristis violacea</t>
  </si>
  <si>
    <t>Naso annulatus</t>
  </si>
  <si>
    <t>Naso brevirostris</t>
  </si>
  <si>
    <t>Naso elegans</t>
  </si>
  <si>
    <t>Naso hexacanthus</t>
  </si>
  <si>
    <t>Naso unicornis</t>
  </si>
  <si>
    <t>Naso vlamingii</t>
  </si>
  <si>
    <t>Neoglyphidodon melas</t>
  </si>
  <si>
    <t>Neoniphon sammara</t>
  </si>
  <si>
    <t>Neopomacentrus azysron</t>
  </si>
  <si>
    <t>Neopomacentrus cyanomos</t>
  </si>
  <si>
    <t>Neotrygon indica</t>
  </si>
  <si>
    <t>Novaculichthys taeniourus</t>
  </si>
  <si>
    <t>Ostorhinchus apogonoides</t>
  </si>
  <si>
    <t>Ostorhinchus aureus</t>
  </si>
  <si>
    <t>Ostorhinchus cyanosoma</t>
  </si>
  <si>
    <t>Ostorhinchus fleurieu</t>
  </si>
  <si>
    <t>Ostracion cubicus</t>
  </si>
  <si>
    <t>Ostracion meleagris</t>
  </si>
  <si>
    <t>Oxycheilinus bimaculatus</t>
  </si>
  <si>
    <t>Oxycheilinus digramma</t>
  </si>
  <si>
    <t>Oxycheilinus mentalis</t>
  </si>
  <si>
    <t>Oxymonacanthus longirostris</t>
  </si>
  <si>
    <t>Paracanthurus hepatus</t>
  </si>
  <si>
    <t>Paraluteres prionurus</t>
  </si>
  <si>
    <t>Parapriacanthus ransonneti</t>
  </si>
  <si>
    <t>Parupeneus barberinus</t>
  </si>
  <si>
    <t>Parupeneus cyclostomus</t>
  </si>
  <si>
    <t>Parupeneus indicus</t>
  </si>
  <si>
    <t>Parupeneus macronemus</t>
  </si>
  <si>
    <t>Parupeneus pleurostigma</t>
  </si>
  <si>
    <t>Parupeneus rubescens</t>
  </si>
  <si>
    <t>Parupeneus trifasciatus</t>
  </si>
  <si>
    <t>Pervagor janthinosoma</t>
  </si>
  <si>
    <t>Plagiotremus rhinorhynchos</t>
  </si>
  <si>
    <t>Plagiotremus tapeinosoma</t>
  </si>
  <si>
    <t>Platax teira</t>
  </si>
  <si>
    <t>Plectropomus laevis</t>
  </si>
  <si>
    <t>Plectorhinchus albovittatus</t>
  </si>
  <si>
    <t>Plectorhinchus flavomaculatus</t>
  </si>
  <si>
    <t>Plectorhinchus gaterinus</t>
  </si>
  <si>
    <t>Plectorhinchus schotaf</t>
  </si>
  <si>
    <t>Plectorhinchus sordidus</t>
  </si>
  <si>
    <t>Plectorhinchus vittatus</t>
  </si>
  <si>
    <t>Plectroglyphidodon dickii</t>
  </si>
  <si>
    <t>Plectroglyphidodon johnstonianus</t>
  </si>
  <si>
    <t>Stegastes lacrymatus</t>
  </si>
  <si>
    <t>Plotosus lineatus</t>
  </si>
  <si>
    <t>Pomacanthus chrysurus</t>
  </si>
  <si>
    <t>Pomacanthus imperator</t>
  </si>
  <si>
    <t>Pomacanthus semicirculatus</t>
  </si>
  <si>
    <t>Pomacentrus baenschi</t>
  </si>
  <si>
    <t>Pomacentrus caeruleus</t>
  </si>
  <si>
    <t>Pomacentrus pavo</t>
  </si>
  <si>
    <t>Pomacentrus sulfureus</t>
  </si>
  <si>
    <t>Pomacentrus trichrourus</t>
  </si>
  <si>
    <t>Priacanthus blochii</t>
  </si>
  <si>
    <t>Priacanthus hamrur</t>
  </si>
  <si>
    <t>Pristiapogon exostigma</t>
  </si>
  <si>
    <t>Pristiapogon fraenatus</t>
  </si>
  <si>
    <t>Pristiapogon kallopterus</t>
  </si>
  <si>
    <t>Pseudanthias squamipinnis</t>
  </si>
  <si>
    <t>Pseudobalistes flavimarginatus</t>
  </si>
  <si>
    <t>Pseudobalistes fuscus</t>
  </si>
  <si>
    <t>Pseudocheilinus hexataenia</t>
  </si>
  <si>
    <t>Pseudodax moluccanus</t>
  </si>
  <si>
    <t>Ptereleotris evides</t>
  </si>
  <si>
    <t>Pterois antennata</t>
  </si>
  <si>
    <t>Pterois radiata</t>
  </si>
  <si>
    <t>Pycnochromis agilis</t>
  </si>
  <si>
    <t>Pycnochromis nigrurus</t>
  </si>
  <si>
    <t>Pygoplites diacanthus</t>
  </si>
  <si>
    <t>Rastrelliger kanagurta</t>
  </si>
  <si>
    <t>Sargocentron caudimaculatum</t>
  </si>
  <si>
    <t>Sargocentron diadema</t>
  </si>
  <si>
    <t>Sargocentron spiniferum</t>
  </si>
  <si>
    <t>Sargocentron violaceum</t>
  </si>
  <si>
    <t>Scarus frenatus</t>
  </si>
  <si>
    <t>Scarus ghobban</t>
  </si>
  <si>
    <t>Scarus niger</t>
  </si>
  <si>
    <t>Scarus psittacus</t>
  </si>
  <si>
    <t>Scarus rubroviolaceus</t>
  </si>
  <si>
    <t>Scarus scaber</t>
  </si>
  <si>
    <t>Scarus sp</t>
  </si>
  <si>
    <t>Scarus tricolor</t>
  </si>
  <si>
    <t>Scolopsis bimaculatus</t>
  </si>
  <si>
    <t>Scolopsis ghanam</t>
  </si>
  <si>
    <t>Siganus argenteus</t>
  </si>
  <si>
    <t>Siganus luridus</t>
  </si>
  <si>
    <t>Siganus stellatus</t>
  </si>
  <si>
    <t>Siganus sutor</t>
  </si>
  <si>
    <t>Sphyraena flavicauda</t>
  </si>
  <si>
    <t>Stegastes nigricans</t>
  </si>
  <si>
    <t>Stethojulis albovittata</t>
  </si>
  <si>
    <t>Stethojulis interrupta</t>
  </si>
  <si>
    <t>Stethojulis strigiventer</t>
  </si>
  <si>
    <t>Stethojulis trilineata</t>
  </si>
  <si>
    <t>Sufflamen bursa</t>
  </si>
  <si>
    <t>Sufflamen chrysopterum</t>
  </si>
  <si>
    <t>Taeniamia fucata</t>
  </si>
  <si>
    <t>Taeniura lymma</t>
  </si>
  <si>
    <t>Thalassoma amblycephalum</t>
  </si>
  <si>
    <t>Thalassoma hardwicke</t>
  </si>
  <si>
    <t>Thalassoma hebraicum</t>
  </si>
  <si>
    <t>Thalassoma lunare</t>
  </si>
  <si>
    <t>Thalassoma purpureum</t>
  </si>
  <si>
    <t>Turrum fulvoguttatum</t>
  </si>
  <si>
    <t>Zanclus cornutus</t>
  </si>
  <si>
    <t>Zebrasoma desjardinii</t>
  </si>
  <si>
    <t>Zebrasoma scopas</t>
  </si>
  <si>
    <t>pom sul</t>
  </si>
  <si>
    <t>sar dia</t>
  </si>
  <si>
    <t>cte tru</t>
  </si>
  <si>
    <t>lut boh</t>
  </si>
  <si>
    <t>neo sam</t>
  </si>
  <si>
    <t>che tri</t>
  </si>
  <si>
    <t>cen mul</t>
  </si>
  <si>
    <t>che oxy</t>
  </si>
  <si>
    <t>gom cae</t>
  </si>
  <si>
    <t>zan cor</t>
  </si>
  <si>
    <t>azu lep</t>
  </si>
  <si>
    <t>sco bim</t>
  </si>
  <si>
    <t>tha lun</t>
  </si>
  <si>
    <t>lab dim</t>
  </si>
  <si>
    <t>Acanthurus sp</t>
  </si>
  <si>
    <t>Cantherhines sp</t>
  </si>
  <si>
    <t>Carangoides sp</t>
  </si>
  <si>
    <t>Cephalopholis sp</t>
  </si>
  <si>
    <t>Cheilinus sp</t>
  </si>
  <si>
    <t>Chrysiptera sp</t>
  </si>
  <si>
    <t>Diagramma sp</t>
  </si>
  <si>
    <t>Myripristis sp</t>
  </si>
  <si>
    <t>Pempheris sp</t>
  </si>
  <si>
    <t>Sargocentron sp</t>
  </si>
  <si>
    <t>Siganus sp</t>
  </si>
  <si>
    <t>Stethojulis sp</t>
  </si>
  <si>
    <t>cha tril</t>
  </si>
  <si>
    <t>cha trit</t>
  </si>
  <si>
    <t>abu sex</t>
  </si>
  <si>
    <t>abu spa</t>
  </si>
  <si>
    <t>abu vai</t>
  </si>
  <si>
    <t>aca dus</t>
  </si>
  <si>
    <t>aca leu</t>
  </si>
  <si>
    <t>aca lin</t>
  </si>
  <si>
    <t>aca mat</t>
  </si>
  <si>
    <t>aca nigri</t>
  </si>
  <si>
    <t>aca nigro</t>
  </si>
  <si>
    <t>aca sp</t>
  </si>
  <si>
    <t>aca ten</t>
  </si>
  <si>
    <t>aca tri</t>
  </si>
  <si>
    <t>aca xan</t>
  </si>
  <si>
    <t>acr zan</t>
  </si>
  <si>
    <t>aeo pun</t>
  </si>
  <si>
    <t>aet rog</t>
  </si>
  <si>
    <t>alu scr</t>
  </si>
  <si>
    <t>alu sp</t>
  </si>
  <si>
    <t>ama sco</t>
  </si>
  <si>
    <t>amb ind</t>
  </si>
  <si>
    <t>amp aka</t>
  </si>
  <si>
    <t>amp all</t>
  </si>
  <si>
    <t>ana cae</t>
  </si>
  <si>
    <t>ana lin</t>
  </si>
  <si>
    <t>ana mel</t>
  </si>
  <si>
    <t>ana twi</t>
  </si>
  <si>
    <t>any leu</t>
  </si>
  <si>
    <t>aro his</t>
  </si>
  <si>
    <t>aro imm</t>
  </si>
  <si>
    <t>aro map</t>
  </si>
  <si>
    <t>aro mel</t>
  </si>
  <si>
    <t>aro nig</t>
  </si>
  <si>
    <t>aro ste</t>
  </si>
  <si>
    <t>asp tae</t>
  </si>
  <si>
    <t>atr men</t>
  </si>
  <si>
    <t>aul chi</t>
  </si>
  <si>
    <t>bal und</t>
  </si>
  <si>
    <t>bal vir</t>
  </si>
  <si>
    <t>bod ant</t>
  </si>
  <si>
    <t>bod axi</t>
  </si>
  <si>
    <t>bod dia</t>
  </si>
  <si>
    <t>bod sp</t>
  </si>
  <si>
    <t>cae cae</t>
  </si>
  <si>
    <t>cae lun</t>
  </si>
  <si>
    <t>cae ter</t>
  </si>
  <si>
    <t>cae xantha</t>
  </si>
  <si>
    <t>cae xantho</t>
  </si>
  <si>
    <t>cal car</t>
  </si>
  <si>
    <t>cal spi</t>
  </si>
  <si>
    <t>can dum</t>
  </si>
  <si>
    <t>can par</t>
  </si>
  <si>
    <t>can sp</t>
  </si>
  <si>
    <t>can ben</t>
  </si>
  <si>
    <t>can jan</t>
  </si>
  <si>
    <t>can pet</t>
  </si>
  <si>
    <t>can smi</t>
  </si>
  <si>
    <t>can val</t>
  </si>
  <si>
    <t>car sp</t>
  </si>
  <si>
    <t>car mel</t>
  </si>
  <si>
    <t>car pap</t>
  </si>
  <si>
    <t>car sex</t>
  </si>
  <si>
    <t>cen aca</t>
  </si>
  <si>
    <t>cep arg</t>
  </si>
  <si>
    <t>cep boe</t>
  </si>
  <si>
    <t>cep leo</t>
  </si>
  <si>
    <t>cep sp</t>
  </si>
  <si>
    <t>cep min</t>
  </si>
  <si>
    <t>cet oce</t>
  </si>
  <si>
    <t>cha aur</t>
  </si>
  <si>
    <t>cha ben</t>
  </si>
  <si>
    <t>cha fal</t>
  </si>
  <si>
    <t>cha gut</t>
  </si>
  <si>
    <t>cha int</t>
  </si>
  <si>
    <t>cha kle</t>
  </si>
  <si>
    <t>cha leu</t>
  </si>
  <si>
    <t>cha lin</t>
  </si>
  <si>
    <t>cha lun</t>
  </si>
  <si>
    <t>cha mel</t>
  </si>
  <si>
    <t>cha mey</t>
  </si>
  <si>
    <t>cha xan</t>
  </si>
  <si>
    <t>cha zan</t>
  </si>
  <si>
    <t>che chl</t>
  </si>
  <si>
    <t>che fas</t>
  </si>
  <si>
    <t>che sp</t>
  </si>
  <si>
    <t>che und</t>
  </si>
  <si>
    <t>che ine</t>
  </si>
  <si>
    <t>che ara</t>
  </si>
  <si>
    <t>che mac</t>
  </si>
  <si>
    <t>che qui</t>
  </si>
  <si>
    <t>chl atr</t>
  </si>
  <si>
    <t>chl sor</t>
  </si>
  <si>
    <t>chl str</t>
  </si>
  <si>
    <t>chr atr</t>
  </si>
  <si>
    <t>chr ope</t>
  </si>
  <si>
    <t>chr ter</t>
  </si>
  <si>
    <t>chr vir</t>
  </si>
  <si>
    <t>chr web</t>
  </si>
  <si>
    <t>chr bio</t>
  </si>
  <si>
    <t>chr sp</t>
  </si>
  <si>
    <t>chr uni</t>
  </si>
  <si>
    <t>cir exq</t>
  </si>
  <si>
    <t>cir oxy</t>
  </si>
  <si>
    <t>cor ayg</t>
  </si>
  <si>
    <t>cor cau</t>
  </si>
  <si>
    <t>cor cuv</t>
  </si>
  <si>
    <t>cor for</t>
  </si>
  <si>
    <t>cor sp</t>
  </si>
  <si>
    <t>cte bin</t>
  </si>
  <si>
    <t>cte sp</t>
  </si>
  <si>
    <t>cte str</t>
  </si>
  <si>
    <t>cyc orb</t>
  </si>
  <si>
    <t>das abu</t>
  </si>
  <si>
    <t>das car</t>
  </si>
  <si>
    <t>das tri</t>
  </si>
  <si>
    <t>dia pic</t>
  </si>
  <si>
    <t>dia sp</t>
  </si>
  <si>
    <t>dio hol</t>
  </si>
  <si>
    <t>dio hys</t>
  </si>
  <si>
    <t>dio lit</t>
  </si>
  <si>
    <t>epi ins</t>
  </si>
  <si>
    <t>epi are</t>
  </si>
  <si>
    <t>epi fas</t>
  </si>
  <si>
    <t>epi fus</t>
  </si>
  <si>
    <t>epi lon</t>
  </si>
  <si>
    <t>epi mer</t>
  </si>
  <si>
    <t>eph fla</t>
  </si>
  <si>
    <t>eut aff</t>
  </si>
  <si>
    <t>fer fer</t>
  </si>
  <si>
    <t>fer ort</t>
  </si>
  <si>
    <t>fis com</t>
  </si>
  <si>
    <t>for fla</t>
  </si>
  <si>
    <t>gna spe</t>
  </si>
  <si>
    <t>gra sex</t>
  </si>
  <si>
    <t>hal cos</t>
  </si>
  <si>
    <t>hal hor</t>
  </si>
  <si>
    <t>hal neb</t>
  </si>
  <si>
    <t>hal nig</t>
  </si>
  <si>
    <t>hal sca</t>
  </si>
  <si>
    <t>hem fas</t>
  </si>
  <si>
    <t>hem mel</t>
  </si>
  <si>
    <t>hen acu</t>
  </si>
  <si>
    <t>hen mon</t>
  </si>
  <si>
    <t>het car</t>
  </si>
  <si>
    <t>hip har</t>
  </si>
  <si>
    <t>hol ann</t>
  </si>
  <si>
    <t>kyp cin</t>
  </si>
  <si>
    <t>kyp sp</t>
  </si>
  <si>
    <t>kyp vai</t>
  </si>
  <si>
    <t>lab uni</t>
  </si>
  <si>
    <t>lab bic</t>
  </si>
  <si>
    <t>lac for</t>
  </si>
  <si>
    <t>lep vai</t>
  </si>
  <si>
    <t>let bor</t>
  </si>
  <si>
    <t>let har</t>
  </si>
  <si>
    <t>let len</t>
  </si>
  <si>
    <t>let mah</t>
  </si>
  <si>
    <t>let mic</t>
  </si>
  <si>
    <t>let obs</t>
  </si>
  <si>
    <t>let sp</t>
  </si>
  <si>
    <t>let var</t>
  </si>
  <si>
    <t>lop cal</t>
  </si>
  <si>
    <t>lut arg</t>
  </si>
  <si>
    <t>lut ehr</t>
  </si>
  <si>
    <t>lut fulvi</t>
  </si>
  <si>
    <t>lut gib</t>
  </si>
  <si>
    <t>lut kas</t>
  </si>
  <si>
    <t>lut lut</t>
  </si>
  <si>
    <t>lut mon</t>
  </si>
  <si>
    <t>mac nig</t>
  </si>
  <si>
    <t>mac bip</t>
  </si>
  <si>
    <t>mei mos</t>
  </si>
  <si>
    <t>mir eva</t>
  </si>
  <si>
    <t>mon gra</t>
  </si>
  <si>
    <t>mul fla</t>
  </si>
  <si>
    <t>mul van</t>
  </si>
  <si>
    <t>myr mur</t>
  </si>
  <si>
    <t>myr sp</t>
  </si>
  <si>
    <t>myr vio</t>
  </si>
  <si>
    <t>nas ann</t>
  </si>
  <si>
    <t>nas bre</t>
  </si>
  <si>
    <t>nas ele</t>
  </si>
  <si>
    <t>nas hex</t>
  </si>
  <si>
    <t>nas uni</t>
  </si>
  <si>
    <t>nas vla</t>
  </si>
  <si>
    <t>neo mel</t>
  </si>
  <si>
    <t>neo azy</t>
  </si>
  <si>
    <t>neo cya</t>
  </si>
  <si>
    <t>neo ind</t>
  </si>
  <si>
    <t>nov tae</t>
  </si>
  <si>
    <t>ost apo</t>
  </si>
  <si>
    <t>ost aur</t>
  </si>
  <si>
    <t>ost cya</t>
  </si>
  <si>
    <t>ost fle</t>
  </si>
  <si>
    <t>ost cub</t>
  </si>
  <si>
    <t>ost mel</t>
  </si>
  <si>
    <t>oxy bim</t>
  </si>
  <si>
    <t>oxy dig</t>
  </si>
  <si>
    <t>oxy men</t>
  </si>
  <si>
    <t>oxy lon</t>
  </si>
  <si>
    <t>par hep</t>
  </si>
  <si>
    <t>par pri</t>
  </si>
  <si>
    <t>par ran</t>
  </si>
  <si>
    <t>par bar</t>
  </si>
  <si>
    <t>par cyc</t>
  </si>
  <si>
    <t>par ind</t>
  </si>
  <si>
    <t>par mac</t>
  </si>
  <si>
    <t>par ple</t>
  </si>
  <si>
    <t>par rub</t>
  </si>
  <si>
    <t>par tri</t>
  </si>
  <si>
    <t>pem sp</t>
  </si>
  <si>
    <t>per jan</t>
  </si>
  <si>
    <t>pla rhi</t>
  </si>
  <si>
    <t>pla tap</t>
  </si>
  <si>
    <t>pla tei</t>
  </si>
  <si>
    <t>ple lae</t>
  </si>
  <si>
    <t>ple alb</t>
  </si>
  <si>
    <t>ple fla</t>
  </si>
  <si>
    <t>ple gat</t>
  </si>
  <si>
    <t>ple sch</t>
  </si>
  <si>
    <t>ple sor</t>
  </si>
  <si>
    <t>ple vit</t>
  </si>
  <si>
    <t>ple dic</t>
  </si>
  <si>
    <t>ple joh</t>
  </si>
  <si>
    <t>ste lac</t>
  </si>
  <si>
    <t>plo lin</t>
  </si>
  <si>
    <t>pom chr</t>
  </si>
  <si>
    <t>pom imp</t>
  </si>
  <si>
    <t>pom sem</t>
  </si>
  <si>
    <t>pom bae</t>
  </si>
  <si>
    <t>pom cae</t>
  </si>
  <si>
    <t>pom pav</t>
  </si>
  <si>
    <t>pom tri</t>
  </si>
  <si>
    <t>pri blo</t>
  </si>
  <si>
    <t>pri ham</t>
  </si>
  <si>
    <t>pri exo</t>
  </si>
  <si>
    <t>pri fra</t>
  </si>
  <si>
    <t>pri kal</t>
  </si>
  <si>
    <t>pse squ</t>
  </si>
  <si>
    <t>pse fla</t>
  </si>
  <si>
    <t>pse fus</t>
  </si>
  <si>
    <t>pse hex</t>
  </si>
  <si>
    <t>pse mol</t>
  </si>
  <si>
    <t>pte evi</t>
  </si>
  <si>
    <t>pte ant</t>
  </si>
  <si>
    <t>pte rad</t>
  </si>
  <si>
    <t>pyc agi</t>
  </si>
  <si>
    <t>pyc nig</t>
  </si>
  <si>
    <t>pyg dia</t>
  </si>
  <si>
    <t>ras kan</t>
  </si>
  <si>
    <t>sar cau</t>
  </si>
  <si>
    <t>sar sp</t>
  </si>
  <si>
    <t>sar spi</t>
  </si>
  <si>
    <t>sar vio</t>
  </si>
  <si>
    <t>sca fre</t>
  </si>
  <si>
    <t>sca gho</t>
  </si>
  <si>
    <t>sca nig</t>
  </si>
  <si>
    <t>sca psi</t>
  </si>
  <si>
    <t>sca rub</t>
  </si>
  <si>
    <t>sca sca</t>
  </si>
  <si>
    <t>sca sp</t>
  </si>
  <si>
    <t>sca tri</t>
  </si>
  <si>
    <t>sco gha</t>
  </si>
  <si>
    <t>sig arg</t>
  </si>
  <si>
    <t>sig lur</t>
  </si>
  <si>
    <t>sig sp</t>
  </si>
  <si>
    <t>sig ste</t>
  </si>
  <si>
    <t>sig sut</t>
  </si>
  <si>
    <t>sph fla</t>
  </si>
  <si>
    <t>ste nig</t>
  </si>
  <si>
    <t>ste alb</t>
  </si>
  <si>
    <t>ste int</t>
  </si>
  <si>
    <t>ste sp</t>
  </si>
  <si>
    <t>ste str</t>
  </si>
  <si>
    <t>ste tri</t>
  </si>
  <si>
    <t>suf bur</t>
  </si>
  <si>
    <t>suf chr</t>
  </si>
  <si>
    <t>tae fuc</t>
  </si>
  <si>
    <t>tae lym</t>
  </si>
  <si>
    <t>tha amb</t>
  </si>
  <si>
    <t>tha har</t>
  </si>
  <si>
    <t>tha heb</t>
  </si>
  <si>
    <t>tha pur</t>
  </si>
  <si>
    <t>tur ful</t>
  </si>
  <si>
    <t>upe tra</t>
  </si>
  <si>
    <t>zeb des</t>
  </si>
  <si>
    <t>zeb sco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</si>
  <si>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</si>
  <si>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</si>
  <si>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</si>
  <si>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</si>
  <si>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</si>
  <si>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</si>
  <si>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</si>
  <si>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</si>
  <si>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</si>
  <si>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</si>
  <si>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 #</t>
  </si>
  <si>
    <t>11 size</t>
  </si>
  <si>
    <t>Size class</t>
  </si>
  <si>
    <t>Lutjanus fulvus</t>
  </si>
  <si>
    <t>Pterois miles</t>
  </si>
  <si>
    <t>Pseudocheilinus evanidus</t>
  </si>
  <si>
    <t>lut fulvu</t>
  </si>
  <si>
    <t>pse eva</t>
  </si>
  <si>
    <t>pte mil</t>
  </si>
  <si>
    <t>Pycnochromis fieldi</t>
  </si>
  <si>
    <t>pyc fie</t>
  </si>
  <si>
    <t>Upeneus heemstra</t>
  </si>
  <si>
    <t>Aspidontus dussumieri</t>
  </si>
  <si>
    <t>Epinephelus multinotatus</t>
  </si>
  <si>
    <t>asp dus</t>
  </si>
  <si>
    <t>epi mul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</si>
</sst>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&quot;-&quot;mmm&quot;-&quot;yyyy"/>
    <numFmt numFmtId="165" formatCode="hh&quot;:&quot;mm"/>
    <numFmt numFmtId="166" formatCode="0.0"/>
  </numFmts>
  <fonts count="18" x14ac:knownFonts="1">
    <font>
      <sz val="10"/>
      <color rgb="FF000000"/>
      <name val="Arial"/>
      <scheme val="minor"/>
    </font>
    <font>
      <sz val="11"/>
      <color rgb="FF000000"/>
      <name val="Calibri"/>
    </font>
    <font>
      <b/>
      <sz val="11"/>
      <color rgb="FF000000"/>
      <name val="Calibri"/>
    </font>
    <font>
      <b/>
      <sz val="12"/>
      <color theme="1"/>
      <name val="Calibri"/>
    </font>
    <font>
      <b/>
      <sz val="11"/>
      <color theme="1"/>
      <name val="Calibri"/>
    </font>
    <font>
      <sz val="11"/>
      <color theme="1"/>
      <name val="Calibri"/>
    </font>
    <font>
      <i/>
      <sz val="14"/>
      <color theme="1"/>
      <name val="Calibri"/>
    </font>
    <font>
      <b/>
      <i/>
      <sz val="12"/>
      <color theme="1"/>
      <name val="Calibri"/>
    </font>
    <font>
      <i/>
      <sz val="11"/>
      <color rgb="FF000000"/>
      <name val="Calibri"/>
    </font>
    <font>
      <i/>
      <sz val="11"/>
      <color theme="1"/>
      <name val="Calibri"/>
    </font>
    <font>
      <sz val="11"/>
      <color theme="1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Arial"/>
      <family val="2"/>
      <scheme val="minor"/>
    </font>
    <font>
      <b/>
      <sz val="14"/>
      <color theme="1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</font>
    <font>
      <b/>
      <sz val="14"/>
      <color rgb="FF000000"/>
      <name val="Arial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1" fillId="0" borderId="0" xfId="0" applyFont="1"/>
    <xf numFmtId="164" fontId="2" fillId="0" borderId="0" xfId="0" applyNumberFormat="1" applyFont="1"/>
    <xf numFmtId="165" fontId="2" fillId="0" borderId="0" xfId="0" applyNumberFormat="1" applyFont="1"/>
    <xf numFmtId="46" fontId="2" fillId="0" borderId="0" xfId="0" applyNumberFormat="1" applyFont="1"/>
    <xf numFmtId="1" fontId="2" fillId="0" borderId="0" xfId="0" applyNumberFormat="1" applyFont="1"/>
    <xf numFmtId="166" fontId="2" fillId="0" borderId="0" xfId="0" applyNumberFormat="1" applyFont="1"/>
    <xf numFmtId="49" fontId="2" fillId="0" borderId="0" xfId="0" applyNumberFormat="1" applyFont="1" applyAlignment="1">
      <alignment horizontal="left"/>
    </xf>
    <xf numFmtId="0" fontId="4" fillId="0" borderId="0" xfId="0" applyFont="1"/>
    <xf numFmtId="164" fontId="5" fillId="0" borderId="0" xfId="0" applyNumberFormat="1" applyFont="1"/>
    <xf numFmtId="165" fontId="5" fillId="0" borderId="0" xfId="0" applyNumberFormat="1" applyFont="1"/>
    <xf numFmtId="46" fontId="1" fillId="0" borderId="0" xfId="0" applyNumberFormat="1" applyFont="1" applyAlignment="1">
      <alignment horizontal="right"/>
    </xf>
    <xf numFmtId="1" fontId="5" fillId="0" borderId="0" xfId="0" applyNumberFormat="1" applyFont="1"/>
    <xf numFmtId="166" fontId="5" fillId="0" borderId="0" xfId="0" applyNumberFormat="1" applyFont="1"/>
    <xf numFmtId="1" fontId="1" fillId="0" borderId="0" xfId="0" applyNumberFormat="1" applyFont="1"/>
    <xf numFmtId="49" fontId="5" fillId="0" borderId="0" xfId="0" applyNumberFormat="1" applyFont="1" applyAlignment="1">
      <alignment horizontal="left"/>
    </xf>
    <xf numFmtId="20" fontId="1" fillId="0" borderId="0" xfId="0" applyNumberFormat="1" applyFont="1"/>
    <xf numFmtId="164" fontId="1" fillId="0" borderId="0" xfId="0" applyNumberFormat="1" applyFont="1"/>
    <xf numFmtId="49" fontId="6" fillId="0" borderId="0" xfId="0" applyNumberFormat="1" applyFont="1" applyAlignment="1">
      <alignment horizontal="center"/>
    </xf>
    <xf numFmtId="49" fontId="7" fillId="0" borderId="0" xfId="0" applyNumberFormat="1" applyFont="1"/>
    <xf numFmtId="49" fontId="3" fillId="0" borderId="1" xfId="0" applyNumberFormat="1" applyFont="1" applyBorder="1"/>
    <xf numFmtId="49" fontId="3" fillId="0" borderId="0" xfId="0" applyNumberFormat="1" applyFont="1"/>
    <xf numFmtId="49" fontId="8" fillId="0" borderId="0" xfId="0" applyNumberFormat="1" applyFont="1"/>
    <xf numFmtId="49" fontId="9" fillId="0" borderId="0" xfId="0" applyNumberFormat="1" applyFont="1"/>
    <xf numFmtId="49" fontId="8" fillId="2" borderId="0" xfId="0" applyNumberFormat="1" applyFont="1" applyFill="1"/>
    <xf numFmtId="49" fontId="11" fillId="2" borderId="0" xfId="0" applyNumberFormat="1" applyFont="1" applyFill="1"/>
    <xf numFmtId="49" fontId="11" fillId="0" borderId="0" xfId="0" applyNumberFormat="1" applyFont="1"/>
    <xf numFmtId="49" fontId="8" fillId="3" borderId="0" xfId="0" applyNumberFormat="1" applyFont="1" applyFill="1"/>
    <xf numFmtId="49" fontId="8" fillId="4" borderId="0" xfId="0" applyNumberFormat="1" applyFont="1" applyFill="1"/>
    <xf numFmtId="0" fontId="0" fillId="5" borderId="3" xfId="0" applyFill="1" applyBorder="1" applyAlignment="1">
      <alignment horizontal="right"/>
    </xf>
    <xf numFmtId="0" fontId="0" fillId="5" borderId="3" xfId="0" applyFill="1" applyBorder="1"/>
    <xf numFmtId="49" fontId="0" fillId="0" borderId="0" xfId="0" applyNumberFormat="1"/>
    <xf numFmtId="0" fontId="0" fillId="0" borderId="3" xfId="0" applyBorder="1"/>
    <xf numFmtId="0" fontId="12" fillId="5" borderId="3" xfId="0" applyFont="1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5" borderId="5" xfId="0" applyFill="1" applyBorder="1" applyAlignment="1">
      <alignment horizontal="right"/>
    </xf>
    <xf numFmtId="0" fontId="0" fillId="5" borderId="0" xfId="0" applyFill="1"/>
    <xf numFmtId="0" fontId="0" fillId="0" borderId="4" xfId="0" applyBorder="1"/>
    <xf numFmtId="0" fontId="0" fillId="0" borderId="5" xfId="0" applyBorder="1"/>
    <xf numFmtId="0" fontId="14" fillId="0" borderId="0" xfId="0" applyFont="1"/>
    <xf numFmtId="0" fontId="16" fillId="0" borderId="3" xfId="0" applyFont="1" applyBorder="1" applyAlignment="1">
      <alignment horizontal="left"/>
    </xf>
    <xf numFmtId="49" fontId="16" fillId="0" borderId="3" xfId="0" applyNumberFormat="1" applyFont="1" applyBorder="1" applyAlignment="1">
      <alignment horizontal="left"/>
    </xf>
    <xf numFmtId="0" fontId="16" fillId="5" borderId="0" xfId="0" applyFont="1" applyFill="1" applyAlignment="1">
      <alignment horizontal="left"/>
    </xf>
    <xf numFmtId="3" fontId="10" fillId="0" borderId="1" xfId="0" applyNumberFormat="1" applyFont="1" applyBorder="1"/>
    <xf numFmtId="3" fontId="10" fillId="0" borderId="0" xfId="0" applyNumberFormat="1" applyFont="1"/>
    <xf numFmtId="3" fontId="15" fillId="0" borderId="1" xfId="0" applyNumberFormat="1" applyFont="1" applyBorder="1"/>
    <xf numFmtId="3" fontId="15" fillId="0" borderId="0" xfId="0" applyNumberFormat="1" applyFont="1"/>
    <xf numFmtId="3" fontId="15" fillId="0" borderId="2" xfId="0" applyNumberFormat="1" applyFont="1" applyBorder="1"/>
    <xf numFmtId="3" fontId="10" fillId="0" borderId="0" xfId="0" applyNumberFormat="1" applyFont="1" applyAlignment="1">
      <alignment horizontal="right"/>
    </xf>
    <xf numFmtId="3" fontId="15" fillId="0" borderId="0" xfId="0" applyNumberFormat="1" applyFont="1" applyAlignment="1">
      <alignment horizontal="right"/>
    </xf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12" fillId="5" borderId="4" xfId="0" applyFon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0</xdr:rowOff>
        </xdr:from>
        <xdr:to>
          <xdr:col>0</xdr:col>
          <xdr:colOff>1333500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all surveys to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0</xdr:row>
          <xdr:rowOff>0</xdr:rowOff>
        </xdr:from>
        <xdr:to>
          <xdr:col>16</xdr:col>
          <xdr:colOff>1333500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all surveys to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180975</xdr:colOff>
          <xdr:row>0</xdr:row>
          <xdr:rowOff>0</xdr:rowOff>
        </xdr:from>
        <xdr:to>
          <xdr:col>32</xdr:col>
          <xdr:colOff>1333500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all surveys to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180975</xdr:colOff>
          <xdr:row>0</xdr:row>
          <xdr:rowOff>0</xdr:rowOff>
        </xdr:from>
        <xdr:to>
          <xdr:col>48</xdr:col>
          <xdr:colOff>1333500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all surveys to Overview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D9E2F3"/>
    <outlinePr summaryBelow="0" summaryRight="0"/>
  </sheetPr>
  <dimension ref="A1:AA62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5" sqref="D25"/>
    </sheetView>
  </sheetViews>
  <sheetFormatPr defaultColWidth="12.7109375" defaultRowHeight="15" customHeight="1" x14ac:dyDescent="0.2"/>
  <cols>
    <col min="1" max="1" width="4.28515625" customWidth="1"/>
    <col min="2" max="2" width="14.140625" customWidth="1"/>
    <col min="3" max="3" width="16.42578125" customWidth="1"/>
    <col min="4" max="4" width="21" customWidth="1"/>
    <col min="5" max="5" width="18" customWidth="1"/>
    <col min="6" max="7" width="5.42578125" customWidth="1"/>
    <col min="8" max="8" width="8.140625" customWidth="1"/>
    <col min="9" max="9" width="8" customWidth="1"/>
    <col min="10" max="10" width="7.28515625" customWidth="1"/>
    <col min="11" max="11" width="5.140625" customWidth="1"/>
    <col min="12" max="13" width="5.28515625" customWidth="1"/>
    <col min="14" max="15" width="6.140625" customWidth="1"/>
    <col min="16" max="16" width="8.28515625" customWidth="1"/>
    <col min="17" max="17" width="5.85546875" customWidth="1"/>
    <col min="18" max="18" width="6.140625" customWidth="1"/>
    <col min="19" max="19" width="7.7109375" customWidth="1"/>
    <col min="20" max="20" width="7.42578125" customWidth="1"/>
    <col min="21" max="21" width="6.7109375" customWidth="1"/>
    <col min="22" max="22" width="7.7109375" customWidth="1"/>
    <col min="23" max="23" width="10.85546875" customWidth="1"/>
    <col min="24" max="24" width="7.42578125" customWidth="1"/>
    <col min="25" max="25" width="8.42578125" customWidth="1"/>
    <col min="26" max="26" width="7.85546875" customWidth="1"/>
    <col min="27" max="27" width="26.7109375" customWidth="1"/>
  </cols>
  <sheetData>
    <row r="1" spans="1:27" ht="15.75" customHeight="1" x14ac:dyDescent="0.25">
      <c r="A1" s="1" t="s">
        <v>3</v>
      </c>
      <c r="B1" s="3" t="s">
        <v>4</v>
      </c>
      <c r="C1" s="1" t="s">
        <v>5</v>
      </c>
      <c r="D1" s="1" t="s">
        <v>6</v>
      </c>
      <c r="E1" s="1" t="s">
        <v>7</v>
      </c>
      <c r="F1" s="4" t="s">
        <v>8</v>
      </c>
      <c r="G1" s="4" t="s">
        <v>9</v>
      </c>
      <c r="H1" s="5" t="s">
        <v>10</v>
      </c>
      <c r="I1" s="6" t="s">
        <v>11</v>
      </c>
      <c r="J1" s="6" t="s">
        <v>12</v>
      </c>
      <c r="K1" s="6" t="s">
        <v>13</v>
      </c>
      <c r="L1" s="6" t="s">
        <v>14</v>
      </c>
      <c r="M1" s="6" t="s">
        <v>15</v>
      </c>
      <c r="N1" s="6" t="s">
        <v>0</v>
      </c>
      <c r="O1" s="6" t="s">
        <v>16</v>
      </c>
      <c r="P1" s="6" t="s">
        <v>17</v>
      </c>
      <c r="Q1" s="6" t="s">
        <v>18</v>
      </c>
      <c r="R1" s="7" t="s">
        <v>19</v>
      </c>
      <c r="S1" s="8" t="s">
        <v>20</v>
      </c>
      <c r="T1" s="1" t="s">
        <v>1</v>
      </c>
      <c r="U1" s="1" t="s">
        <v>2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</row>
    <row r="2" spans="1:27" ht="15.75" customHeight="1" x14ac:dyDescent="0.25">
      <c r="A2" s="9">
        <v>1</v>
      </c>
      <c r="B2" s="10"/>
      <c r="C2" s="2"/>
      <c r="D2" s="2"/>
      <c r="E2" s="2"/>
      <c r="F2" s="11"/>
      <c r="G2" s="11"/>
      <c r="H2" s="12">
        <f t="shared" ref="H2:H21" si="0">G2-F2</f>
        <v>0</v>
      </c>
      <c r="I2" s="13"/>
      <c r="J2" s="13"/>
      <c r="K2" s="13"/>
      <c r="L2" s="13"/>
      <c r="M2" s="13"/>
      <c r="N2" s="13"/>
      <c r="O2" s="13"/>
      <c r="P2" s="13"/>
      <c r="Q2" s="13">
        <f>SUM(I2:P2)</f>
        <v>0</v>
      </c>
      <c r="R2" s="14"/>
      <c r="S2" s="16"/>
      <c r="T2" s="2"/>
      <c r="U2" s="2"/>
      <c r="V2" s="2"/>
      <c r="W2" s="2"/>
      <c r="X2" s="2"/>
      <c r="Y2" s="2"/>
      <c r="Z2" s="15">
        <f t="shared" ref="Z2:Z21" si="1">IF(ISERROR(FIND("Belt", X2))=TRUE, PI()*Y2^2, Y2)</f>
        <v>0</v>
      </c>
      <c r="AA2" s="2"/>
    </row>
    <row r="3" spans="1:27" ht="15.75" customHeight="1" x14ac:dyDescent="0.25">
      <c r="A3" s="9">
        <v>2</v>
      </c>
      <c r="B3" s="10"/>
      <c r="C3" s="2"/>
      <c r="D3" s="2"/>
      <c r="E3" s="2"/>
      <c r="F3" s="11"/>
      <c r="G3" s="11"/>
      <c r="H3" s="12">
        <f t="shared" si="0"/>
        <v>0</v>
      </c>
      <c r="I3" s="13"/>
      <c r="J3" s="13"/>
      <c r="K3" s="13"/>
      <c r="L3" s="13"/>
      <c r="M3" s="13"/>
      <c r="N3" s="13"/>
      <c r="O3" s="13"/>
      <c r="P3" s="13"/>
      <c r="Q3" s="13">
        <f t="shared" ref="Q3:Q21" si="2">SUM(I3:P3)</f>
        <v>0</v>
      </c>
      <c r="R3" s="14"/>
      <c r="S3" s="16"/>
      <c r="T3" s="2"/>
      <c r="U3" s="2"/>
      <c r="V3" s="2"/>
      <c r="W3" s="2"/>
      <c r="X3" s="2"/>
      <c r="Y3" s="2"/>
      <c r="Z3" s="15">
        <f t="shared" si="1"/>
        <v>0</v>
      </c>
      <c r="AA3" s="2"/>
    </row>
    <row r="4" spans="1:27" ht="15.75" customHeight="1" x14ac:dyDescent="0.25">
      <c r="A4" s="9">
        <v>3</v>
      </c>
      <c r="B4" s="10"/>
      <c r="C4" s="2"/>
      <c r="D4" s="2"/>
      <c r="E4" s="2"/>
      <c r="F4" s="11"/>
      <c r="G4" s="11"/>
      <c r="H4" s="12">
        <f t="shared" si="0"/>
        <v>0</v>
      </c>
      <c r="I4" s="13"/>
      <c r="J4" s="13"/>
      <c r="K4" s="13"/>
      <c r="L4" s="13"/>
      <c r="M4" s="13"/>
      <c r="N4" s="13"/>
      <c r="O4" s="13"/>
      <c r="P4" s="13"/>
      <c r="Q4" s="13">
        <f t="shared" si="2"/>
        <v>0</v>
      </c>
      <c r="R4" s="14"/>
      <c r="S4" s="16"/>
      <c r="T4" s="2"/>
      <c r="U4" s="2"/>
      <c r="V4" s="2"/>
      <c r="W4" s="2"/>
      <c r="X4" s="2"/>
      <c r="Y4" s="2"/>
      <c r="Z4" s="15">
        <f t="shared" si="1"/>
        <v>0</v>
      </c>
      <c r="AA4" s="2"/>
    </row>
    <row r="5" spans="1:27" ht="15.75" customHeight="1" x14ac:dyDescent="0.25">
      <c r="A5" s="9">
        <v>4</v>
      </c>
      <c r="B5" s="10"/>
      <c r="C5" s="2"/>
      <c r="D5" s="2"/>
      <c r="E5" s="2"/>
      <c r="F5" s="11"/>
      <c r="G5" s="11"/>
      <c r="H5" s="12">
        <f t="shared" si="0"/>
        <v>0</v>
      </c>
      <c r="I5" s="13"/>
      <c r="J5" s="13"/>
      <c r="K5" s="13"/>
      <c r="L5" s="13"/>
      <c r="M5" s="13"/>
      <c r="N5" s="13"/>
      <c r="O5" s="13"/>
      <c r="P5" s="13"/>
      <c r="Q5" s="13">
        <f t="shared" si="2"/>
        <v>0</v>
      </c>
      <c r="R5" s="14"/>
      <c r="S5" s="16"/>
      <c r="T5" s="2"/>
      <c r="U5" s="2"/>
      <c r="V5" s="2"/>
      <c r="W5" s="2"/>
      <c r="X5" s="2"/>
      <c r="Y5" s="2"/>
      <c r="Z5" s="15">
        <f t="shared" si="1"/>
        <v>0</v>
      </c>
      <c r="AA5" s="2"/>
    </row>
    <row r="6" spans="1:27" ht="15.75" customHeight="1" x14ac:dyDescent="0.25">
      <c r="A6" s="9">
        <v>5</v>
      </c>
      <c r="B6" s="10"/>
      <c r="C6" s="2"/>
      <c r="D6" s="2"/>
      <c r="E6" s="2"/>
      <c r="F6" s="11"/>
      <c r="G6" s="11"/>
      <c r="H6" s="12">
        <f t="shared" si="0"/>
        <v>0</v>
      </c>
      <c r="I6" s="13"/>
      <c r="J6" s="13"/>
      <c r="K6" s="13"/>
      <c r="L6" s="13"/>
      <c r="M6" s="13"/>
      <c r="N6" s="13"/>
      <c r="O6" s="13"/>
      <c r="P6" s="13"/>
      <c r="Q6" s="13">
        <f t="shared" si="2"/>
        <v>0</v>
      </c>
      <c r="R6" s="14"/>
      <c r="S6" s="16"/>
      <c r="T6" s="2"/>
      <c r="U6" s="2"/>
      <c r="V6" s="2"/>
      <c r="W6" s="2"/>
      <c r="X6" s="2"/>
      <c r="Y6" s="2"/>
      <c r="Z6" s="15">
        <f t="shared" si="1"/>
        <v>0</v>
      </c>
      <c r="AA6" s="2"/>
    </row>
    <row r="7" spans="1:27" ht="15.75" customHeight="1" x14ac:dyDescent="0.25">
      <c r="A7" s="9">
        <v>6</v>
      </c>
      <c r="B7" s="10"/>
      <c r="C7" s="2"/>
      <c r="D7" s="2"/>
      <c r="E7" s="2"/>
      <c r="F7" s="11"/>
      <c r="G7" s="11"/>
      <c r="H7" s="12">
        <f t="shared" si="0"/>
        <v>0</v>
      </c>
      <c r="I7" s="13"/>
      <c r="J7" s="13"/>
      <c r="K7" s="13"/>
      <c r="L7" s="13"/>
      <c r="M7" s="13"/>
      <c r="N7" s="13"/>
      <c r="O7" s="13"/>
      <c r="P7" s="13"/>
      <c r="Q7" s="13">
        <f t="shared" si="2"/>
        <v>0</v>
      </c>
      <c r="R7" s="14"/>
      <c r="S7" s="16"/>
      <c r="T7" s="2"/>
      <c r="U7" s="2"/>
      <c r="V7" s="2"/>
      <c r="W7" s="2"/>
      <c r="X7" s="2"/>
      <c r="Y7" s="2"/>
      <c r="Z7" s="15">
        <f t="shared" si="1"/>
        <v>0</v>
      </c>
      <c r="AA7" s="2"/>
    </row>
    <row r="8" spans="1:27" ht="15.75" customHeight="1" x14ac:dyDescent="0.25">
      <c r="A8" s="9">
        <v>7</v>
      </c>
      <c r="B8" s="10"/>
      <c r="C8" s="2"/>
      <c r="D8" s="2"/>
      <c r="E8" s="2"/>
      <c r="F8" s="11"/>
      <c r="G8" s="11"/>
      <c r="H8" s="12">
        <f t="shared" si="0"/>
        <v>0</v>
      </c>
      <c r="I8" s="13"/>
      <c r="J8" s="13"/>
      <c r="K8" s="13"/>
      <c r="L8" s="13"/>
      <c r="M8" s="13"/>
      <c r="N8" s="13"/>
      <c r="O8" s="13"/>
      <c r="P8" s="13"/>
      <c r="Q8" s="13">
        <f t="shared" si="2"/>
        <v>0</v>
      </c>
      <c r="R8" s="14"/>
      <c r="S8" s="16"/>
      <c r="T8" s="2"/>
      <c r="U8" s="2"/>
      <c r="V8" s="2"/>
      <c r="W8" s="2"/>
      <c r="X8" s="2"/>
      <c r="Y8" s="2"/>
      <c r="Z8" s="15">
        <f t="shared" si="1"/>
        <v>0</v>
      </c>
      <c r="AA8" s="2"/>
    </row>
    <row r="9" spans="1:27" ht="15.75" customHeight="1" x14ac:dyDescent="0.25">
      <c r="A9" s="9">
        <v>8</v>
      </c>
      <c r="B9" s="10"/>
      <c r="C9" s="2"/>
      <c r="D9" s="2"/>
      <c r="E9" s="2"/>
      <c r="F9" s="11"/>
      <c r="G9" s="11"/>
      <c r="H9" s="12">
        <f t="shared" si="0"/>
        <v>0</v>
      </c>
      <c r="I9" s="13"/>
      <c r="J9" s="13"/>
      <c r="K9" s="13"/>
      <c r="L9" s="13"/>
      <c r="M9" s="13"/>
      <c r="N9" s="13"/>
      <c r="O9" s="13"/>
      <c r="P9" s="13"/>
      <c r="Q9" s="13">
        <f t="shared" si="2"/>
        <v>0</v>
      </c>
      <c r="R9" s="14"/>
      <c r="S9" s="16"/>
      <c r="T9" s="2"/>
      <c r="U9" s="2"/>
      <c r="V9" s="2"/>
      <c r="W9" s="2"/>
      <c r="X9" s="2"/>
      <c r="Y9" s="2"/>
      <c r="Z9" s="15">
        <f t="shared" si="1"/>
        <v>0</v>
      </c>
      <c r="AA9" s="2"/>
    </row>
    <row r="10" spans="1:27" ht="15.75" customHeight="1" x14ac:dyDescent="0.25">
      <c r="A10" s="9">
        <v>9</v>
      </c>
      <c r="B10" s="10"/>
      <c r="C10" s="2"/>
      <c r="D10" s="2"/>
      <c r="E10" s="2"/>
      <c r="F10" s="11"/>
      <c r="G10" s="11"/>
      <c r="H10" s="12">
        <f t="shared" si="0"/>
        <v>0</v>
      </c>
      <c r="I10" s="13"/>
      <c r="J10" s="13"/>
      <c r="K10" s="13"/>
      <c r="L10" s="13"/>
      <c r="M10" s="13"/>
      <c r="N10" s="13"/>
      <c r="O10" s="13"/>
      <c r="P10" s="13"/>
      <c r="Q10" s="13">
        <f t="shared" si="2"/>
        <v>0</v>
      </c>
      <c r="R10" s="14"/>
      <c r="S10" s="16"/>
      <c r="T10" s="2"/>
      <c r="U10" s="2"/>
      <c r="V10" s="2"/>
      <c r="W10" s="2"/>
      <c r="X10" s="2"/>
      <c r="Y10" s="2"/>
      <c r="Z10" s="15">
        <f t="shared" si="1"/>
        <v>0</v>
      </c>
      <c r="AA10" s="2"/>
    </row>
    <row r="11" spans="1:27" ht="15.75" customHeight="1" x14ac:dyDescent="0.25">
      <c r="A11" s="9">
        <v>10</v>
      </c>
      <c r="B11" s="10"/>
      <c r="C11" s="2"/>
      <c r="D11" s="2"/>
      <c r="E11" s="2"/>
      <c r="F11" s="17"/>
      <c r="G11" s="17"/>
      <c r="H11" s="12">
        <f t="shared" si="0"/>
        <v>0</v>
      </c>
      <c r="I11" s="13"/>
      <c r="J11" s="13"/>
      <c r="K11" s="13"/>
      <c r="L11" s="13"/>
      <c r="M11" s="13"/>
      <c r="N11" s="13"/>
      <c r="O11" s="13"/>
      <c r="P11" s="13"/>
      <c r="Q11" s="13">
        <f t="shared" si="2"/>
        <v>0</v>
      </c>
      <c r="R11" s="14"/>
      <c r="S11" s="16"/>
      <c r="T11" s="2"/>
      <c r="U11" s="2"/>
      <c r="V11" s="2"/>
      <c r="W11" s="2"/>
      <c r="X11" s="2"/>
      <c r="Y11" s="2"/>
      <c r="Z11" s="15">
        <f t="shared" si="1"/>
        <v>0</v>
      </c>
      <c r="AA11" s="2"/>
    </row>
    <row r="12" spans="1:27" ht="15.75" customHeight="1" x14ac:dyDescent="0.25">
      <c r="A12" s="9">
        <v>11</v>
      </c>
      <c r="B12" s="10"/>
      <c r="C12" s="2"/>
      <c r="D12" s="2"/>
      <c r="E12" s="2"/>
      <c r="F12" s="11"/>
      <c r="G12" s="11"/>
      <c r="H12" s="12">
        <f t="shared" si="0"/>
        <v>0</v>
      </c>
      <c r="I12" s="13"/>
      <c r="J12" s="13"/>
      <c r="K12" s="13"/>
      <c r="L12" s="13"/>
      <c r="M12" s="13"/>
      <c r="N12" s="13"/>
      <c r="O12" s="13"/>
      <c r="P12" s="13"/>
      <c r="Q12" s="13">
        <f t="shared" si="2"/>
        <v>0</v>
      </c>
      <c r="R12" s="14"/>
      <c r="S12" s="16"/>
      <c r="T12" s="2"/>
      <c r="U12" s="2"/>
      <c r="V12" s="2"/>
      <c r="W12" s="2"/>
      <c r="X12" s="2"/>
      <c r="Y12" s="2"/>
      <c r="Z12" s="15">
        <f t="shared" si="1"/>
        <v>0</v>
      </c>
      <c r="AA12" s="2"/>
    </row>
    <row r="13" spans="1:27" ht="15.75" customHeight="1" x14ac:dyDescent="0.25">
      <c r="A13" s="9">
        <v>12</v>
      </c>
      <c r="B13" s="10"/>
      <c r="C13" s="2"/>
      <c r="D13" s="2"/>
      <c r="E13" s="2"/>
      <c r="F13" s="11"/>
      <c r="G13" s="11"/>
      <c r="H13" s="12">
        <f t="shared" si="0"/>
        <v>0</v>
      </c>
      <c r="I13" s="13"/>
      <c r="J13" s="13"/>
      <c r="K13" s="13"/>
      <c r="L13" s="13"/>
      <c r="M13" s="13"/>
      <c r="N13" s="13"/>
      <c r="O13" s="13"/>
      <c r="P13" s="13"/>
      <c r="Q13" s="13">
        <f t="shared" si="2"/>
        <v>0</v>
      </c>
      <c r="R13" s="14"/>
      <c r="S13" s="16"/>
      <c r="T13" s="2"/>
      <c r="U13" s="2"/>
      <c r="V13" s="2"/>
      <c r="W13" s="2"/>
      <c r="X13" s="2"/>
      <c r="Y13" s="2"/>
      <c r="Z13" s="15">
        <f t="shared" si="1"/>
        <v>0</v>
      </c>
      <c r="AA13" s="2"/>
    </row>
    <row r="14" spans="1:27" ht="15.75" customHeight="1" x14ac:dyDescent="0.25">
      <c r="A14" s="9">
        <v>13</v>
      </c>
      <c r="B14" s="10"/>
      <c r="C14" s="2"/>
      <c r="D14" s="2"/>
      <c r="E14" s="2"/>
      <c r="F14" s="11"/>
      <c r="G14" s="11"/>
      <c r="H14" s="12">
        <f t="shared" si="0"/>
        <v>0</v>
      </c>
      <c r="I14" s="13"/>
      <c r="J14" s="13"/>
      <c r="K14" s="13"/>
      <c r="L14" s="13"/>
      <c r="M14" s="13"/>
      <c r="N14" s="13"/>
      <c r="O14" s="13"/>
      <c r="P14" s="13"/>
      <c r="Q14" s="13">
        <f t="shared" si="2"/>
        <v>0</v>
      </c>
      <c r="R14" s="14"/>
      <c r="S14" s="16"/>
      <c r="T14" s="2"/>
      <c r="U14" s="2"/>
      <c r="V14" s="2"/>
      <c r="W14" s="2"/>
      <c r="X14" s="2"/>
      <c r="Y14" s="2"/>
      <c r="Z14" s="15">
        <f t="shared" si="1"/>
        <v>0</v>
      </c>
      <c r="AA14" s="2"/>
    </row>
    <row r="15" spans="1:27" ht="15.75" customHeight="1" x14ac:dyDescent="0.25">
      <c r="A15" s="9">
        <v>14</v>
      </c>
      <c r="B15" s="10"/>
      <c r="C15" s="2"/>
      <c r="D15" s="2"/>
      <c r="E15" s="2"/>
      <c r="F15" s="11"/>
      <c r="G15" s="11"/>
      <c r="H15" s="12">
        <f t="shared" si="0"/>
        <v>0</v>
      </c>
      <c r="I15" s="13"/>
      <c r="J15" s="13"/>
      <c r="K15" s="13"/>
      <c r="L15" s="13"/>
      <c r="M15" s="13"/>
      <c r="N15" s="13"/>
      <c r="O15" s="13"/>
      <c r="P15" s="13"/>
      <c r="Q15" s="13">
        <f t="shared" si="2"/>
        <v>0</v>
      </c>
      <c r="R15" s="14"/>
      <c r="S15" s="16"/>
      <c r="T15" s="2"/>
      <c r="U15" s="2"/>
      <c r="V15" s="2"/>
      <c r="W15" s="2"/>
      <c r="X15" s="2"/>
      <c r="Y15" s="2"/>
      <c r="Z15" s="15">
        <f t="shared" si="1"/>
        <v>0</v>
      </c>
      <c r="AA15" s="2"/>
    </row>
    <row r="16" spans="1:27" ht="15.75" customHeight="1" x14ac:dyDescent="0.25">
      <c r="A16" s="9">
        <v>15</v>
      </c>
      <c r="B16" s="10"/>
      <c r="C16" s="2"/>
      <c r="D16" s="2"/>
      <c r="E16" s="2"/>
      <c r="F16" s="11"/>
      <c r="G16" s="11"/>
      <c r="H16" s="12">
        <f t="shared" si="0"/>
        <v>0</v>
      </c>
      <c r="I16" s="13"/>
      <c r="J16" s="13"/>
      <c r="K16" s="13"/>
      <c r="L16" s="13"/>
      <c r="M16" s="13"/>
      <c r="N16" s="13"/>
      <c r="O16" s="13"/>
      <c r="P16" s="13"/>
      <c r="Q16" s="13">
        <f t="shared" si="2"/>
        <v>0</v>
      </c>
      <c r="R16" s="14"/>
      <c r="S16" s="16"/>
      <c r="T16" s="2"/>
      <c r="U16" s="2"/>
      <c r="V16" s="2"/>
      <c r="W16" s="2"/>
      <c r="X16" s="2"/>
      <c r="Y16" s="2"/>
      <c r="Z16" s="15">
        <f t="shared" si="1"/>
        <v>0</v>
      </c>
      <c r="AA16" s="2"/>
    </row>
    <row r="17" spans="1:27" ht="15.75" customHeight="1" x14ac:dyDescent="0.25">
      <c r="A17" s="9">
        <v>16</v>
      </c>
      <c r="B17" s="10"/>
      <c r="C17" s="2"/>
      <c r="D17" s="2"/>
      <c r="E17" s="2"/>
      <c r="F17" s="11"/>
      <c r="G17" s="11"/>
      <c r="H17" s="12">
        <f t="shared" si="0"/>
        <v>0</v>
      </c>
      <c r="I17" s="13"/>
      <c r="J17" s="13"/>
      <c r="K17" s="13"/>
      <c r="L17" s="13"/>
      <c r="M17" s="13"/>
      <c r="N17" s="13"/>
      <c r="O17" s="13"/>
      <c r="P17" s="13"/>
      <c r="Q17" s="13">
        <f t="shared" si="2"/>
        <v>0</v>
      </c>
      <c r="R17" s="14"/>
      <c r="S17" s="16"/>
      <c r="T17" s="2"/>
      <c r="U17" s="2"/>
      <c r="V17" s="2"/>
      <c r="W17" s="2"/>
      <c r="X17" s="2"/>
      <c r="Y17" s="2"/>
      <c r="Z17" s="15">
        <f t="shared" si="1"/>
        <v>0</v>
      </c>
      <c r="AA17" s="2"/>
    </row>
    <row r="18" spans="1:27" ht="15.75" customHeight="1" x14ac:dyDescent="0.25">
      <c r="A18" s="9">
        <v>17</v>
      </c>
      <c r="B18" s="10"/>
      <c r="C18" s="2"/>
      <c r="D18" s="2"/>
      <c r="E18" s="2"/>
      <c r="F18" s="11"/>
      <c r="G18" s="11"/>
      <c r="H18" s="12">
        <f t="shared" si="0"/>
        <v>0</v>
      </c>
      <c r="I18" s="13"/>
      <c r="J18" s="13"/>
      <c r="K18" s="13"/>
      <c r="L18" s="13"/>
      <c r="M18" s="13"/>
      <c r="N18" s="13"/>
      <c r="O18" s="13"/>
      <c r="P18" s="13"/>
      <c r="Q18" s="13">
        <f t="shared" si="2"/>
        <v>0</v>
      </c>
      <c r="R18" s="14"/>
      <c r="S18" s="16"/>
      <c r="T18" s="2"/>
      <c r="U18" s="2"/>
      <c r="V18" s="2"/>
      <c r="W18" s="2"/>
      <c r="X18" s="2"/>
      <c r="Y18" s="2"/>
      <c r="Z18" s="15">
        <f t="shared" si="1"/>
        <v>0</v>
      </c>
      <c r="AA18" s="2"/>
    </row>
    <row r="19" spans="1:27" ht="15.75" customHeight="1" x14ac:dyDescent="0.25">
      <c r="A19" s="9">
        <v>18</v>
      </c>
      <c r="B19" s="10"/>
      <c r="C19" s="2"/>
      <c r="D19" s="2"/>
      <c r="E19" s="2"/>
      <c r="F19" s="11"/>
      <c r="G19" s="11"/>
      <c r="H19" s="12">
        <f t="shared" si="0"/>
        <v>0</v>
      </c>
      <c r="I19" s="13"/>
      <c r="J19" s="13"/>
      <c r="K19" s="13"/>
      <c r="L19" s="13"/>
      <c r="M19" s="13"/>
      <c r="N19" s="13"/>
      <c r="O19" s="13"/>
      <c r="P19" s="13"/>
      <c r="Q19" s="13">
        <f t="shared" si="2"/>
        <v>0</v>
      </c>
      <c r="R19" s="14"/>
      <c r="S19" s="16"/>
      <c r="T19" s="2"/>
      <c r="U19" s="2"/>
      <c r="V19" s="2"/>
      <c r="W19" s="2"/>
      <c r="X19" s="2"/>
      <c r="Y19" s="2"/>
      <c r="Z19" s="15">
        <f t="shared" si="1"/>
        <v>0</v>
      </c>
      <c r="AA19" s="2"/>
    </row>
    <row r="20" spans="1:27" ht="15.75" customHeight="1" x14ac:dyDescent="0.25">
      <c r="A20" s="9">
        <v>19</v>
      </c>
      <c r="B20" s="10"/>
      <c r="C20" s="2"/>
      <c r="D20" s="2"/>
      <c r="E20" s="2"/>
      <c r="F20" s="11"/>
      <c r="G20" s="11"/>
      <c r="H20" s="12">
        <f t="shared" si="0"/>
        <v>0</v>
      </c>
      <c r="I20" s="13"/>
      <c r="J20" s="13"/>
      <c r="K20" s="13"/>
      <c r="L20" s="13"/>
      <c r="M20" s="13"/>
      <c r="N20" s="13"/>
      <c r="O20" s="13"/>
      <c r="P20" s="13"/>
      <c r="Q20" s="13">
        <f t="shared" si="2"/>
        <v>0</v>
      </c>
      <c r="R20" s="14"/>
      <c r="S20" s="16"/>
      <c r="T20" s="2"/>
      <c r="U20" s="2"/>
      <c r="V20" s="2"/>
      <c r="W20" s="2"/>
      <c r="X20" s="2"/>
      <c r="Y20" s="2"/>
      <c r="Z20" s="15">
        <f t="shared" si="1"/>
        <v>0</v>
      </c>
      <c r="AA20" s="2"/>
    </row>
    <row r="21" spans="1:27" ht="15.75" customHeight="1" x14ac:dyDescent="0.25">
      <c r="A21" s="9">
        <v>20</v>
      </c>
      <c r="B21" s="10"/>
      <c r="C21" s="2"/>
      <c r="D21" s="2"/>
      <c r="E21" s="2"/>
      <c r="F21" s="11"/>
      <c r="G21" s="11"/>
      <c r="H21" s="12">
        <f t="shared" si="0"/>
        <v>0</v>
      </c>
      <c r="I21" s="13"/>
      <c r="J21" s="13"/>
      <c r="K21" s="13"/>
      <c r="L21" s="13"/>
      <c r="M21" s="13"/>
      <c r="N21" s="13"/>
      <c r="O21" s="13"/>
      <c r="P21" s="13"/>
      <c r="Q21" s="13">
        <f t="shared" si="2"/>
        <v>0</v>
      </c>
      <c r="R21" s="14"/>
      <c r="S21" s="16"/>
      <c r="T21" s="2"/>
      <c r="U21" s="2"/>
      <c r="V21" s="2"/>
      <c r="W21" s="2"/>
      <c r="X21" s="2"/>
      <c r="Y21" s="2"/>
      <c r="Z21" s="15">
        <f t="shared" si="1"/>
        <v>0</v>
      </c>
      <c r="AA21" s="2"/>
    </row>
    <row r="22" spans="1:27" ht="15.75" customHeight="1" x14ac:dyDescent="0.25">
      <c r="A22" s="2"/>
      <c r="B22" s="18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.75" customHeight="1" x14ac:dyDescent="0.25">
      <c r="A23" s="2"/>
      <c r="B23" s="18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.75" customHeight="1" x14ac:dyDescent="0.25">
      <c r="A24" s="2"/>
      <c r="B24" s="18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.75" customHeight="1" x14ac:dyDescent="0.25">
      <c r="A25" s="2"/>
      <c r="B25" s="18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.75" customHeight="1" x14ac:dyDescent="0.25">
      <c r="A26" s="2"/>
      <c r="B26" s="18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.75" customHeight="1" x14ac:dyDescent="0.25">
      <c r="A27" s="2"/>
      <c r="B27" s="18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.75" customHeight="1" x14ac:dyDescent="0.25">
      <c r="A28" s="2"/>
      <c r="B28" s="18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.75" customHeight="1" x14ac:dyDescent="0.25">
      <c r="A29" s="2"/>
      <c r="B29" s="18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.75" customHeight="1" x14ac:dyDescent="0.25">
      <c r="A30" s="2"/>
      <c r="B30" s="18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.75" customHeight="1" x14ac:dyDescent="0.25">
      <c r="A31" s="2"/>
      <c r="B31" s="18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.75" customHeight="1" x14ac:dyDescent="0.25">
      <c r="A32" s="2"/>
      <c r="B32" s="18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.75" customHeight="1" x14ac:dyDescent="0.25">
      <c r="A33" s="2"/>
      <c r="B33" s="18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.75" customHeight="1" x14ac:dyDescent="0.25">
      <c r="A34" s="2"/>
      <c r="B34" s="18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.75" customHeight="1" x14ac:dyDescent="0.25">
      <c r="A35" s="2"/>
      <c r="B35" s="18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.75" customHeight="1" x14ac:dyDescent="0.25">
      <c r="A36" s="2"/>
      <c r="B36" s="18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5.75" customHeight="1" x14ac:dyDescent="0.25">
      <c r="A37" s="2"/>
      <c r="B37" s="18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.75" customHeight="1" x14ac:dyDescent="0.25">
      <c r="A38" s="2"/>
      <c r="B38" s="18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ht="15.75" customHeight="1" x14ac:dyDescent="0.25">
      <c r="A39" s="2"/>
      <c r="B39" s="18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ht="15.75" customHeight="1" x14ac:dyDescent="0.25">
      <c r="A40" s="2"/>
      <c r="B40" s="18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ht="15.75" customHeight="1" x14ac:dyDescent="0.25">
      <c r="A41" s="2"/>
      <c r="B41" s="18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ht="15.75" customHeight="1" x14ac:dyDescent="0.25">
      <c r="A42" s="2"/>
      <c r="B42" s="18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ht="15.75" customHeight="1" x14ac:dyDescent="0.25">
      <c r="A43" s="2"/>
      <c r="B43" s="18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ht="15.75" customHeight="1" x14ac:dyDescent="0.25">
      <c r="A44" s="2"/>
      <c r="B44" s="18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ht="15.75" customHeight="1" x14ac:dyDescent="0.25">
      <c r="A45" s="2"/>
      <c r="B45" s="18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ht="15.75" customHeight="1" x14ac:dyDescent="0.25">
      <c r="A46" s="2"/>
      <c r="B46" s="1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ht="15.75" customHeight="1" x14ac:dyDescent="0.25">
      <c r="A47" s="2"/>
      <c r="B47" s="18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ht="15.75" customHeight="1" x14ac:dyDescent="0.25">
      <c r="A48" s="2"/>
      <c r="B48" s="18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ht="15.75" customHeight="1" x14ac:dyDescent="0.25">
      <c r="A49" s="2"/>
      <c r="B49" s="18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ht="15.75" customHeight="1" x14ac:dyDescent="0.25">
      <c r="A50" s="2"/>
      <c r="B50" s="18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ht="15.75" customHeight="1" x14ac:dyDescent="0.25">
      <c r="A51" s="2"/>
      <c r="B51" s="18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ht="15.75" customHeight="1" x14ac:dyDescent="0.25">
      <c r="A52" s="2"/>
      <c r="B52" s="18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ht="15.75" customHeight="1" x14ac:dyDescent="0.25">
      <c r="A53" s="2"/>
      <c r="B53" s="18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ht="15.75" customHeight="1" x14ac:dyDescent="0.25">
      <c r="A54" s="2"/>
      <c r="B54" s="18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ht="15.75" customHeight="1" x14ac:dyDescent="0.25">
      <c r="A55" s="2"/>
      <c r="B55" s="18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ht="15.75" customHeight="1" x14ac:dyDescent="0.25">
      <c r="A56" s="2"/>
      <c r="B56" s="18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ht="15.75" customHeight="1" x14ac:dyDescent="0.25">
      <c r="A57" s="2"/>
      <c r="B57" s="18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ht="15.75" customHeight="1" x14ac:dyDescent="0.25">
      <c r="A58" s="2"/>
      <c r="B58" s="18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ht="15.75" customHeight="1" x14ac:dyDescent="0.25">
      <c r="A59" s="2"/>
      <c r="B59" s="18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ht="15.75" customHeight="1" x14ac:dyDescent="0.25">
      <c r="A60" s="2"/>
      <c r="B60" s="18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ht="15.75" customHeight="1" x14ac:dyDescent="0.25">
      <c r="A61" s="2"/>
      <c r="B61" s="18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ht="15.75" customHeight="1" x14ac:dyDescent="0.25">
      <c r="A62" s="2"/>
      <c r="B62" s="18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ht="15.75" customHeight="1" x14ac:dyDescent="0.25">
      <c r="A63" s="2"/>
      <c r="B63" s="18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5.75" customHeight="1" x14ac:dyDescent="0.25">
      <c r="A64" s="2"/>
      <c r="B64" s="18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ht="15.75" customHeight="1" x14ac:dyDescent="0.25">
      <c r="A65" s="2"/>
      <c r="B65" s="18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ht="15.75" customHeight="1" x14ac:dyDescent="0.25">
      <c r="A66" s="2"/>
      <c r="B66" s="18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ht="15.75" customHeight="1" x14ac:dyDescent="0.25">
      <c r="A67" s="2"/>
      <c r="B67" s="18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ht="15.75" customHeight="1" x14ac:dyDescent="0.25">
      <c r="A68" s="2"/>
      <c r="B68" s="18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ht="15.75" customHeight="1" x14ac:dyDescent="0.25">
      <c r="A69" s="2"/>
      <c r="B69" s="18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ht="15.75" customHeight="1" x14ac:dyDescent="0.25">
      <c r="A70" s="2"/>
      <c r="B70" s="18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ht="15.75" customHeight="1" x14ac:dyDescent="0.25">
      <c r="A71" s="2"/>
      <c r="B71" s="18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ht="15.75" customHeight="1" x14ac:dyDescent="0.25">
      <c r="A72" s="2"/>
      <c r="B72" s="18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ht="15.75" customHeight="1" x14ac:dyDescent="0.25">
      <c r="A73" s="2"/>
      <c r="B73" s="1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ht="15.75" customHeight="1" x14ac:dyDescent="0.25">
      <c r="A74" s="2"/>
      <c r="B74" s="1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ht="15.75" customHeight="1" x14ac:dyDescent="0.25">
      <c r="A75" s="2"/>
      <c r="B75" s="18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ht="15.75" customHeight="1" x14ac:dyDescent="0.25">
      <c r="A76" s="2"/>
      <c r="B76" s="18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ht="15.75" customHeight="1" x14ac:dyDescent="0.25">
      <c r="A77" s="2"/>
      <c r="B77" s="18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ht="15.75" customHeight="1" x14ac:dyDescent="0.25">
      <c r="A78" s="2"/>
      <c r="B78" s="18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ht="15.75" customHeight="1" x14ac:dyDescent="0.25">
      <c r="A79" s="2"/>
      <c r="B79" s="1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ht="15.75" customHeight="1" x14ac:dyDescent="0.25">
      <c r="A80" s="2"/>
      <c r="B80" s="1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ht="15.75" customHeight="1" x14ac:dyDescent="0.25">
      <c r="A81" s="2"/>
      <c r="B81" s="1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ht="15.75" customHeight="1" x14ac:dyDescent="0.25">
      <c r="A82" s="2"/>
      <c r="B82" s="1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ht="15.75" customHeight="1" x14ac:dyDescent="0.25">
      <c r="A83" s="2"/>
      <c r="B83" s="1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ht="15.75" customHeight="1" x14ac:dyDescent="0.25">
      <c r="A84" s="2"/>
      <c r="B84" s="1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ht="15.75" customHeight="1" x14ac:dyDescent="0.25">
      <c r="A85" s="2"/>
      <c r="B85" s="1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ht="15.75" customHeight="1" x14ac:dyDescent="0.25">
      <c r="A86" s="2"/>
      <c r="B86" s="1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ht="15.75" customHeight="1" x14ac:dyDescent="0.25">
      <c r="A87" s="2"/>
      <c r="B87" s="1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ht="15.75" customHeight="1" x14ac:dyDescent="0.25">
      <c r="A88" s="2"/>
      <c r="B88" s="1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ht="15.75" customHeight="1" x14ac:dyDescent="0.25">
      <c r="A89" s="2"/>
      <c r="B89" s="18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ht="15.75" customHeight="1" x14ac:dyDescent="0.25">
      <c r="A90" s="2"/>
      <c r="B90" s="18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ht="15.75" customHeight="1" x14ac:dyDescent="0.25">
      <c r="A91" s="2"/>
      <c r="B91" s="18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ht="15.75" customHeight="1" x14ac:dyDescent="0.25">
      <c r="A92" s="2"/>
      <c r="B92" s="18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ht="15.75" customHeight="1" x14ac:dyDescent="0.25">
      <c r="A93" s="2"/>
      <c r="B93" s="18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ht="15.75" customHeight="1" x14ac:dyDescent="0.25">
      <c r="A94" s="2"/>
      <c r="B94" s="18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ht="15.75" customHeight="1" x14ac:dyDescent="0.25">
      <c r="A95" s="2"/>
      <c r="B95" s="18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ht="15.75" customHeight="1" x14ac:dyDescent="0.25">
      <c r="A96" s="2"/>
      <c r="B96" s="18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ht="15.75" customHeight="1" x14ac:dyDescent="0.25">
      <c r="A97" s="2"/>
      <c r="B97" s="18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ht="15.75" customHeight="1" x14ac:dyDescent="0.25">
      <c r="A98" s="2"/>
      <c r="B98" s="18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ht="15.75" customHeight="1" x14ac:dyDescent="0.25">
      <c r="A99" s="2"/>
      <c r="B99" s="18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ht="15.75" customHeight="1" x14ac:dyDescent="0.25">
      <c r="A100" s="2"/>
      <c r="B100" s="18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1:27" ht="15.75" customHeight="1" x14ac:dyDescent="0.25">
      <c r="A101" s="2"/>
      <c r="B101" s="18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1:27" ht="15.75" customHeight="1" x14ac:dyDescent="0.25">
      <c r="A102" s="2"/>
      <c r="B102" s="18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1:27" ht="15.75" customHeight="1" x14ac:dyDescent="0.25">
      <c r="A103" s="2"/>
      <c r="B103" s="18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1:27" ht="15.75" customHeight="1" x14ac:dyDescent="0.25">
      <c r="A104" s="2"/>
      <c r="B104" s="18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1:27" ht="15.75" customHeight="1" x14ac:dyDescent="0.25">
      <c r="A105" s="2"/>
      <c r="B105" s="1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15.75" customHeight="1" x14ac:dyDescent="0.25">
      <c r="A106" s="2"/>
      <c r="B106" s="18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1:27" ht="15.75" customHeight="1" x14ac:dyDescent="0.25">
      <c r="A107" s="2"/>
      <c r="B107" s="18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1:27" ht="15.75" customHeight="1" x14ac:dyDescent="0.25">
      <c r="A108" s="2"/>
      <c r="B108" s="18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1:27" ht="15.75" customHeight="1" x14ac:dyDescent="0.25">
      <c r="A109" s="2"/>
      <c r="B109" s="18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1:27" ht="15.75" customHeight="1" x14ac:dyDescent="0.25">
      <c r="A110" s="2"/>
      <c r="B110" s="18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1:27" ht="15.75" customHeight="1" x14ac:dyDescent="0.25">
      <c r="A111" s="2"/>
      <c r="B111" s="18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15.75" customHeight="1" x14ac:dyDescent="0.25">
      <c r="A112" s="2"/>
      <c r="B112" s="18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1:27" ht="15.75" customHeight="1" x14ac:dyDescent="0.25">
      <c r="A113" s="2"/>
      <c r="B113" s="18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1:27" ht="15.75" customHeight="1" x14ac:dyDescent="0.25">
      <c r="A114" s="2"/>
      <c r="B114" s="18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1:27" ht="15.75" customHeight="1" x14ac:dyDescent="0.25">
      <c r="A115" s="2"/>
      <c r="B115" s="18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15.75" customHeight="1" x14ac:dyDescent="0.25">
      <c r="A116" s="2"/>
      <c r="B116" s="18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1:27" ht="15.75" customHeight="1" x14ac:dyDescent="0.25">
      <c r="A117" s="2"/>
      <c r="B117" s="18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1:27" ht="15.75" customHeight="1" x14ac:dyDescent="0.25">
      <c r="A118" s="2"/>
      <c r="B118" s="18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1:27" ht="15.75" customHeight="1" x14ac:dyDescent="0.25">
      <c r="A119" s="2"/>
      <c r="B119" s="18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1:27" ht="15.75" customHeight="1" x14ac:dyDescent="0.25">
      <c r="A120" s="2"/>
      <c r="B120" s="18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15.75" customHeight="1" x14ac:dyDescent="0.25">
      <c r="A121" s="2"/>
      <c r="B121" s="18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1:27" ht="15.75" customHeight="1" x14ac:dyDescent="0.25">
      <c r="A122" s="2"/>
      <c r="B122" s="18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1:27" ht="15.75" customHeight="1" x14ac:dyDescent="0.25">
      <c r="A123" s="2"/>
      <c r="B123" s="18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1:27" ht="15.75" customHeight="1" x14ac:dyDescent="0.25">
      <c r="A124" s="2"/>
      <c r="B124" s="18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1:27" ht="15.75" customHeight="1" x14ac:dyDescent="0.25">
      <c r="A125" s="2"/>
      <c r="B125" s="18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15.75" customHeight="1" x14ac:dyDescent="0.25">
      <c r="A126" s="2"/>
      <c r="B126" s="18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1:27" ht="15.75" customHeight="1" x14ac:dyDescent="0.25">
      <c r="A127" s="2"/>
      <c r="B127" s="18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1:27" ht="15.75" customHeight="1" x14ac:dyDescent="0.25">
      <c r="A128" s="2"/>
      <c r="B128" s="18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1:27" ht="15.75" customHeight="1" x14ac:dyDescent="0.25">
      <c r="A129" s="2"/>
      <c r="B129" s="18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15.75" customHeight="1" x14ac:dyDescent="0.25">
      <c r="A130" s="2"/>
      <c r="B130" s="18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1:27" ht="15.75" customHeight="1" x14ac:dyDescent="0.25">
      <c r="A131" s="2"/>
      <c r="B131" s="18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1:27" ht="15.75" customHeight="1" x14ac:dyDescent="0.25">
      <c r="A132" s="2"/>
      <c r="B132" s="18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1:27" ht="15.75" customHeight="1" x14ac:dyDescent="0.25">
      <c r="A133" s="2"/>
      <c r="B133" s="18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1:27" ht="15.75" customHeight="1" x14ac:dyDescent="0.25">
      <c r="A134" s="2"/>
      <c r="B134" s="18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15.75" customHeight="1" x14ac:dyDescent="0.25">
      <c r="A135" s="2"/>
      <c r="B135" s="18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1:27" ht="15.75" customHeight="1" x14ac:dyDescent="0.25">
      <c r="A136" s="2"/>
      <c r="B136" s="18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1:27" ht="15.75" customHeight="1" x14ac:dyDescent="0.25">
      <c r="A137" s="2"/>
      <c r="B137" s="18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1:27" ht="15.75" customHeight="1" x14ac:dyDescent="0.25">
      <c r="A138" s="2"/>
      <c r="B138" s="18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1:27" ht="15.75" customHeight="1" x14ac:dyDescent="0.25">
      <c r="A139" s="2"/>
      <c r="B139" s="18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1:27" ht="15.75" customHeight="1" x14ac:dyDescent="0.25">
      <c r="A140" s="2"/>
      <c r="B140" s="18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15.75" customHeight="1" x14ac:dyDescent="0.25">
      <c r="A141" s="2"/>
      <c r="B141" s="18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1:27" ht="15.75" customHeight="1" x14ac:dyDescent="0.25">
      <c r="A142" s="2"/>
      <c r="B142" s="18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1:27" ht="15.75" customHeight="1" x14ac:dyDescent="0.25">
      <c r="A143" s="2"/>
      <c r="B143" s="18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1:27" ht="15.75" customHeight="1" x14ac:dyDescent="0.25">
      <c r="A144" s="2"/>
      <c r="B144" s="18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1:27" ht="15.75" customHeight="1" x14ac:dyDescent="0.25">
      <c r="A145" s="2"/>
      <c r="B145" s="18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1:27" ht="15.75" customHeight="1" x14ac:dyDescent="0.25">
      <c r="A146" s="2"/>
      <c r="B146" s="18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15.75" customHeight="1" x14ac:dyDescent="0.25">
      <c r="A147" s="2"/>
      <c r="B147" s="18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1:27" ht="15.75" customHeight="1" x14ac:dyDescent="0.25">
      <c r="A148" s="2"/>
      <c r="B148" s="18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1:27" ht="15.75" customHeight="1" x14ac:dyDescent="0.25">
      <c r="A149" s="2"/>
      <c r="B149" s="18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1:27" ht="15.75" customHeight="1" x14ac:dyDescent="0.25">
      <c r="A150" s="2"/>
      <c r="B150" s="18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5.75" customHeight="1" x14ac:dyDescent="0.25">
      <c r="A151" s="2"/>
      <c r="B151" s="18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1:27" ht="15.75" customHeight="1" x14ac:dyDescent="0.25">
      <c r="A152" s="2"/>
      <c r="B152" s="18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1:27" ht="15.75" customHeight="1" x14ac:dyDescent="0.25">
      <c r="A153" s="2"/>
      <c r="B153" s="18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15.75" customHeight="1" x14ac:dyDescent="0.25">
      <c r="A154" s="2"/>
      <c r="B154" s="18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1:27" ht="15.75" customHeight="1" x14ac:dyDescent="0.25">
      <c r="A155" s="2"/>
      <c r="B155" s="18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1:27" ht="15.75" customHeight="1" x14ac:dyDescent="0.25">
      <c r="A156" s="2"/>
      <c r="B156" s="18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1:27" ht="15.75" customHeight="1" x14ac:dyDescent="0.25">
      <c r="A157" s="2"/>
      <c r="B157" s="18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1:27" ht="15.75" customHeight="1" x14ac:dyDescent="0.25">
      <c r="A158" s="2"/>
      <c r="B158" s="18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1:27" ht="15.75" customHeight="1" x14ac:dyDescent="0.25">
      <c r="A159" s="2"/>
      <c r="B159" s="18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1:27" ht="15.75" customHeight="1" x14ac:dyDescent="0.25">
      <c r="A160" s="2"/>
      <c r="B160" s="18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1:27" ht="15.75" customHeight="1" x14ac:dyDescent="0.25">
      <c r="A161" s="2"/>
      <c r="B161" s="18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1:27" ht="15.75" customHeight="1" x14ac:dyDescent="0.25">
      <c r="A162" s="2"/>
      <c r="B162" s="18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1:27" ht="15.75" customHeight="1" x14ac:dyDescent="0.25">
      <c r="A163" s="2"/>
      <c r="B163" s="18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1:27" ht="15.75" customHeight="1" x14ac:dyDescent="0.25">
      <c r="A164" s="2"/>
      <c r="B164" s="18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1:27" ht="15.75" customHeight="1" x14ac:dyDescent="0.25">
      <c r="A165" s="2"/>
      <c r="B165" s="18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1:27" ht="15.75" customHeight="1" x14ac:dyDescent="0.25">
      <c r="A166" s="2"/>
      <c r="B166" s="18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1:27" ht="15.75" customHeight="1" x14ac:dyDescent="0.25">
      <c r="A167" s="2"/>
      <c r="B167" s="18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1:27" ht="15.75" customHeight="1" x14ac:dyDescent="0.25">
      <c r="A168" s="2"/>
      <c r="B168" s="18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1:27" ht="15.75" customHeight="1" x14ac:dyDescent="0.25">
      <c r="A169" s="2"/>
      <c r="B169" s="18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1:27" ht="15.75" customHeight="1" x14ac:dyDescent="0.25">
      <c r="A170" s="2"/>
      <c r="B170" s="18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1:27" ht="15.75" customHeight="1" x14ac:dyDescent="0.25">
      <c r="A171" s="2"/>
      <c r="B171" s="18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1:27" ht="15.75" customHeight="1" x14ac:dyDescent="0.25">
      <c r="A172" s="2"/>
      <c r="B172" s="18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1:27" ht="15.75" customHeight="1" x14ac:dyDescent="0.25">
      <c r="A173" s="2"/>
      <c r="B173" s="18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1:27" ht="15.75" customHeight="1" x14ac:dyDescent="0.25">
      <c r="A174" s="2"/>
      <c r="B174" s="18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1:27" ht="15.75" customHeight="1" x14ac:dyDescent="0.25">
      <c r="A175" s="2"/>
      <c r="B175" s="18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1:27" ht="15.75" customHeight="1" x14ac:dyDescent="0.25">
      <c r="A176" s="2"/>
      <c r="B176" s="18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1:27" ht="15.75" customHeight="1" x14ac:dyDescent="0.25">
      <c r="A177" s="2"/>
      <c r="B177" s="18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1:27" ht="15.75" customHeight="1" x14ac:dyDescent="0.25">
      <c r="A178" s="2"/>
      <c r="B178" s="18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1:27" ht="15.75" customHeight="1" x14ac:dyDescent="0.25">
      <c r="A179" s="2"/>
      <c r="B179" s="18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1:27" ht="15.75" customHeight="1" x14ac:dyDescent="0.25">
      <c r="A180" s="2"/>
      <c r="B180" s="18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1:27" ht="15.75" customHeight="1" x14ac:dyDescent="0.25">
      <c r="A181" s="2"/>
      <c r="B181" s="18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1:27" ht="15.75" customHeight="1" x14ac:dyDescent="0.25">
      <c r="A182" s="2"/>
      <c r="B182" s="18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1:27" ht="15.75" customHeight="1" x14ac:dyDescent="0.25">
      <c r="A183" s="2"/>
      <c r="B183" s="18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1:27" ht="15.75" customHeight="1" x14ac:dyDescent="0.25">
      <c r="A184" s="2"/>
      <c r="B184" s="18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1:27" ht="15.75" customHeight="1" x14ac:dyDescent="0.25">
      <c r="A185" s="2"/>
      <c r="B185" s="18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1:27" ht="15.75" customHeight="1" x14ac:dyDescent="0.25">
      <c r="A186" s="2"/>
      <c r="B186" s="18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1:27" ht="15.75" customHeight="1" x14ac:dyDescent="0.25">
      <c r="A187" s="2"/>
      <c r="B187" s="18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1:27" ht="15.75" customHeight="1" x14ac:dyDescent="0.25">
      <c r="A188" s="2"/>
      <c r="B188" s="18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1:27" ht="15.75" customHeight="1" x14ac:dyDescent="0.25">
      <c r="A189" s="2"/>
      <c r="B189" s="18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1:27" ht="15.75" customHeight="1" x14ac:dyDescent="0.25">
      <c r="A190" s="2"/>
      <c r="B190" s="18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1:27" ht="15.75" customHeight="1" x14ac:dyDescent="0.25">
      <c r="A191" s="2"/>
      <c r="B191" s="18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1:27" ht="15.75" customHeight="1" x14ac:dyDescent="0.25">
      <c r="A192" s="2"/>
      <c r="B192" s="18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1:27" ht="15.75" customHeight="1" x14ac:dyDescent="0.25">
      <c r="A193" s="2"/>
      <c r="B193" s="18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1:27" ht="15.75" customHeight="1" x14ac:dyDescent="0.25">
      <c r="A194" s="2"/>
      <c r="B194" s="18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1:27" ht="15.75" customHeight="1" x14ac:dyDescent="0.25">
      <c r="A195" s="2"/>
      <c r="B195" s="18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1:27" ht="15.75" customHeight="1" x14ac:dyDescent="0.25">
      <c r="A196" s="2"/>
      <c r="B196" s="18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1:27" ht="15.75" customHeight="1" x14ac:dyDescent="0.25">
      <c r="A197" s="2"/>
      <c r="B197" s="18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1:27" ht="15.75" customHeight="1" x14ac:dyDescent="0.25">
      <c r="A198" s="2"/>
      <c r="B198" s="18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1:27" ht="15.75" customHeight="1" x14ac:dyDescent="0.25">
      <c r="A199" s="2"/>
      <c r="B199" s="18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1:27" ht="15.75" customHeight="1" x14ac:dyDescent="0.25">
      <c r="A200" s="2"/>
      <c r="B200" s="18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1:27" ht="15.75" customHeight="1" x14ac:dyDescent="0.25">
      <c r="A201" s="2"/>
      <c r="B201" s="18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1:27" ht="15.75" customHeight="1" x14ac:dyDescent="0.25">
      <c r="A202" s="2"/>
      <c r="B202" s="18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1:27" ht="15.75" customHeight="1" x14ac:dyDescent="0.25">
      <c r="A203" s="2"/>
      <c r="B203" s="18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1:27" ht="15.75" customHeight="1" x14ac:dyDescent="0.25">
      <c r="A204" s="2"/>
      <c r="B204" s="18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1:27" ht="15.75" customHeight="1" x14ac:dyDescent="0.25">
      <c r="A205" s="2"/>
      <c r="B205" s="18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1:27" ht="15.75" customHeight="1" x14ac:dyDescent="0.25">
      <c r="A206" s="2"/>
      <c r="B206" s="18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1:27" ht="15.75" customHeight="1" x14ac:dyDescent="0.25">
      <c r="A207" s="2"/>
      <c r="B207" s="18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1:27" ht="15.75" customHeight="1" x14ac:dyDescent="0.25">
      <c r="A208" s="2"/>
      <c r="B208" s="18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1:27" ht="15.75" customHeight="1" x14ac:dyDescent="0.25">
      <c r="A209" s="2"/>
      <c r="B209" s="18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1:27" ht="15.75" customHeight="1" x14ac:dyDescent="0.25">
      <c r="A210" s="2"/>
      <c r="B210" s="18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1:27" ht="15.75" customHeight="1" x14ac:dyDescent="0.25">
      <c r="A211" s="2"/>
      <c r="B211" s="18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1:27" ht="15.75" customHeight="1" x14ac:dyDescent="0.25">
      <c r="A212" s="2"/>
      <c r="B212" s="18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1:27" ht="15.75" customHeight="1" x14ac:dyDescent="0.25">
      <c r="A213" s="2"/>
      <c r="B213" s="18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1:27" ht="15.75" customHeight="1" x14ac:dyDescent="0.25">
      <c r="A214" s="2"/>
      <c r="B214" s="18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1:27" ht="15.75" customHeight="1" x14ac:dyDescent="0.25">
      <c r="A215" s="2"/>
      <c r="B215" s="18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1:27" ht="15.75" customHeight="1" x14ac:dyDescent="0.25">
      <c r="A216" s="2"/>
      <c r="B216" s="18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1:27" ht="15.75" customHeight="1" x14ac:dyDescent="0.25">
      <c r="A217" s="2"/>
      <c r="B217" s="18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1:27" ht="15.75" customHeight="1" x14ac:dyDescent="0.25">
      <c r="A218" s="2"/>
      <c r="B218" s="18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1:27" ht="15.75" customHeight="1" x14ac:dyDescent="0.25">
      <c r="A219" s="2"/>
      <c r="B219" s="18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1:27" ht="15.75" customHeight="1" x14ac:dyDescent="0.25">
      <c r="A220" s="2"/>
      <c r="B220" s="18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1:27" ht="15.75" customHeight="1" x14ac:dyDescent="0.25">
      <c r="A221" s="2"/>
      <c r="B221" s="18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1:27" ht="15.75" customHeight="1" x14ac:dyDescent="0.25">
      <c r="A222" s="2"/>
      <c r="B222" s="18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1:27" ht="15.75" customHeight="1" x14ac:dyDescent="0.25">
      <c r="A223" s="2"/>
      <c r="B223" s="18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1:27" ht="15.75" customHeight="1" x14ac:dyDescent="0.25">
      <c r="A224" s="2"/>
      <c r="B224" s="18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1:27" ht="15.75" customHeight="1" x14ac:dyDescent="0.25">
      <c r="A225" s="2"/>
      <c r="B225" s="18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1:27" ht="15.75" customHeight="1" x14ac:dyDescent="0.25">
      <c r="A226" s="2"/>
      <c r="B226" s="18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1:27" ht="15.75" customHeight="1" x14ac:dyDescent="0.25">
      <c r="A227" s="2"/>
      <c r="B227" s="18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1:27" ht="15.75" customHeight="1" x14ac:dyDescent="0.25">
      <c r="A228" s="2"/>
      <c r="B228" s="18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1:27" ht="15.75" customHeight="1" x14ac:dyDescent="0.25">
      <c r="A229" s="2"/>
      <c r="B229" s="18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1:27" ht="15.75" customHeight="1" x14ac:dyDescent="0.25">
      <c r="A230" s="2"/>
      <c r="B230" s="18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1:27" ht="15.75" customHeight="1" x14ac:dyDescent="0.25">
      <c r="A231" s="2"/>
      <c r="B231" s="18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1:27" ht="15.75" customHeight="1" x14ac:dyDescent="0.25">
      <c r="A232" s="2"/>
      <c r="B232" s="18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1:27" ht="15.75" customHeight="1" x14ac:dyDescent="0.25">
      <c r="A233" s="2"/>
      <c r="B233" s="18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1:27" ht="15.75" customHeight="1" x14ac:dyDescent="0.25">
      <c r="A234" s="2"/>
      <c r="B234" s="18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1:27" ht="15.75" customHeight="1" x14ac:dyDescent="0.25">
      <c r="A235" s="2"/>
      <c r="B235" s="18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1:27" ht="15.75" customHeight="1" x14ac:dyDescent="0.25">
      <c r="A236" s="2"/>
      <c r="B236" s="18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1:27" ht="15.75" customHeight="1" x14ac:dyDescent="0.25">
      <c r="A237" s="2"/>
      <c r="B237" s="18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1:27" ht="15.75" customHeight="1" x14ac:dyDescent="0.25">
      <c r="A238" s="2"/>
      <c r="B238" s="18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1:27" ht="15.75" customHeight="1" x14ac:dyDescent="0.25">
      <c r="A239" s="2"/>
      <c r="B239" s="18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1:27" ht="15.75" customHeight="1" x14ac:dyDescent="0.25">
      <c r="A240" s="2"/>
      <c r="B240" s="18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1:27" ht="15.75" customHeight="1" x14ac:dyDescent="0.25">
      <c r="A241" s="2"/>
      <c r="B241" s="18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1:27" ht="15.75" customHeight="1" x14ac:dyDescent="0.25">
      <c r="A242" s="2"/>
      <c r="B242" s="18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1:27" ht="15.75" customHeight="1" x14ac:dyDescent="0.25">
      <c r="A243" s="2"/>
      <c r="B243" s="18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1:27" ht="15.75" customHeight="1" x14ac:dyDescent="0.25">
      <c r="A244" s="2"/>
      <c r="B244" s="18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1:27" ht="15.75" customHeight="1" x14ac:dyDescent="0.25">
      <c r="A245" s="2"/>
      <c r="B245" s="18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1:27" ht="15.75" customHeight="1" x14ac:dyDescent="0.25">
      <c r="A246" s="2"/>
      <c r="B246" s="18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1:27" ht="15.75" customHeight="1" x14ac:dyDescent="0.25">
      <c r="A247" s="2"/>
      <c r="B247" s="18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1:27" ht="15.75" customHeight="1" x14ac:dyDescent="0.25">
      <c r="A248" s="2"/>
      <c r="B248" s="18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1:27" ht="15.75" customHeight="1" x14ac:dyDescent="0.25">
      <c r="A249" s="2"/>
      <c r="B249" s="18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1:27" ht="15.75" customHeight="1" x14ac:dyDescent="0.25">
      <c r="A250" s="2"/>
      <c r="B250" s="18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1:27" ht="15.75" customHeight="1" x14ac:dyDescent="0.25">
      <c r="A251" s="2"/>
      <c r="B251" s="18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1:27" ht="15.75" customHeight="1" x14ac:dyDescent="0.25">
      <c r="A252" s="2"/>
      <c r="B252" s="18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1:27" ht="15.75" customHeight="1" x14ac:dyDescent="0.25">
      <c r="A253" s="2"/>
      <c r="B253" s="18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1:27" ht="15.75" customHeight="1" x14ac:dyDescent="0.25">
      <c r="A254" s="2"/>
      <c r="B254" s="18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1:27" ht="15.75" customHeight="1" x14ac:dyDescent="0.25">
      <c r="A255" s="2"/>
      <c r="B255" s="18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1:27" ht="15.75" customHeight="1" x14ac:dyDescent="0.25">
      <c r="A256" s="2"/>
      <c r="B256" s="18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1:27" ht="15.75" customHeight="1" x14ac:dyDescent="0.25">
      <c r="A257" s="2"/>
      <c r="B257" s="18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1:27" ht="15.75" customHeight="1" x14ac:dyDescent="0.25">
      <c r="A258" s="2"/>
      <c r="B258" s="18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1:27" ht="15.75" customHeight="1" x14ac:dyDescent="0.25">
      <c r="A259" s="2"/>
      <c r="B259" s="18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1:27" ht="15.75" customHeight="1" x14ac:dyDescent="0.25">
      <c r="A260" s="2"/>
      <c r="B260" s="18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1:27" ht="15.75" customHeight="1" x14ac:dyDescent="0.25">
      <c r="A261" s="2"/>
      <c r="B261" s="18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1:27" ht="15.75" customHeight="1" x14ac:dyDescent="0.25">
      <c r="A262" s="2"/>
      <c r="B262" s="18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1:27" ht="15.75" customHeight="1" x14ac:dyDescent="0.25">
      <c r="A263" s="2"/>
      <c r="B263" s="18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1:27" ht="15.75" customHeight="1" x14ac:dyDescent="0.25">
      <c r="A264" s="2"/>
      <c r="B264" s="18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1:27" ht="15.75" customHeight="1" x14ac:dyDescent="0.25">
      <c r="A265" s="2"/>
      <c r="B265" s="18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1:27" ht="15.75" customHeight="1" x14ac:dyDescent="0.25">
      <c r="A266" s="2"/>
      <c r="B266" s="18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1:27" ht="15.75" customHeight="1" x14ac:dyDescent="0.25">
      <c r="A267" s="2"/>
      <c r="B267" s="18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1:27" ht="15.75" customHeight="1" x14ac:dyDescent="0.25">
      <c r="A268" s="2"/>
      <c r="B268" s="18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1:27" ht="15.75" customHeight="1" x14ac:dyDescent="0.25">
      <c r="A269" s="2"/>
      <c r="B269" s="18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1:27" ht="15.75" customHeight="1" x14ac:dyDescent="0.25">
      <c r="A270" s="2"/>
      <c r="B270" s="18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1:27" ht="15.75" customHeight="1" x14ac:dyDescent="0.25">
      <c r="A271" s="2"/>
      <c r="B271" s="18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1:27" ht="15.75" customHeight="1" x14ac:dyDescent="0.25">
      <c r="A272" s="2"/>
      <c r="B272" s="18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1:27" ht="15.75" customHeight="1" x14ac:dyDescent="0.25">
      <c r="A273" s="2"/>
      <c r="B273" s="18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1:27" ht="15.75" customHeight="1" x14ac:dyDescent="0.25">
      <c r="A274" s="2"/>
      <c r="B274" s="18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1:27" ht="15.75" customHeight="1" x14ac:dyDescent="0.25">
      <c r="A275" s="2"/>
      <c r="B275" s="18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1:27" ht="15.75" customHeight="1" x14ac:dyDescent="0.25">
      <c r="A276" s="2"/>
      <c r="B276" s="18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1:27" ht="15.75" customHeight="1" x14ac:dyDescent="0.25">
      <c r="A277" s="2"/>
      <c r="B277" s="18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1:27" ht="15.75" customHeight="1" x14ac:dyDescent="0.25">
      <c r="A278" s="2"/>
      <c r="B278" s="18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1:27" ht="15.75" customHeight="1" x14ac:dyDescent="0.25">
      <c r="A279" s="2"/>
      <c r="B279" s="18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1:27" ht="15.75" customHeight="1" x14ac:dyDescent="0.25">
      <c r="A280" s="2"/>
      <c r="B280" s="18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1:27" ht="15.75" customHeight="1" x14ac:dyDescent="0.25">
      <c r="A281" s="2"/>
      <c r="B281" s="18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1:27" ht="15.75" customHeight="1" x14ac:dyDescent="0.25">
      <c r="A282" s="2"/>
      <c r="B282" s="18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1:27" ht="15.75" customHeight="1" x14ac:dyDescent="0.25">
      <c r="A283" s="2"/>
      <c r="B283" s="18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1:27" ht="15.75" customHeight="1" x14ac:dyDescent="0.25">
      <c r="A284" s="2"/>
      <c r="B284" s="18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1:27" ht="15.75" customHeight="1" x14ac:dyDescent="0.25">
      <c r="A285" s="2"/>
      <c r="B285" s="18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1:27" ht="15.75" customHeight="1" x14ac:dyDescent="0.25">
      <c r="A286" s="2"/>
      <c r="B286" s="18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1:27" ht="15.75" customHeight="1" x14ac:dyDescent="0.25">
      <c r="A287" s="2"/>
      <c r="B287" s="18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1:27" ht="15.75" customHeight="1" x14ac:dyDescent="0.25">
      <c r="A288" s="2"/>
      <c r="B288" s="18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1:27" ht="15.75" customHeight="1" x14ac:dyDescent="0.25">
      <c r="A289" s="2"/>
      <c r="B289" s="18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1:27" ht="15.75" customHeight="1" x14ac:dyDescent="0.25">
      <c r="A290" s="2"/>
      <c r="B290" s="18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1:27" ht="15.75" customHeight="1" x14ac:dyDescent="0.25">
      <c r="A291" s="2"/>
      <c r="B291" s="18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1:27" ht="15.75" customHeight="1" x14ac:dyDescent="0.25">
      <c r="A292" s="2"/>
      <c r="B292" s="18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1:27" ht="15.75" customHeight="1" x14ac:dyDescent="0.25">
      <c r="A293" s="2"/>
      <c r="B293" s="18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1:27" ht="15.75" customHeight="1" x14ac:dyDescent="0.25">
      <c r="A294" s="2"/>
      <c r="B294" s="18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1:27" ht="15.75" customHeight="1" x14ac:dyDescent="0.25">
      <c r="A295" s="2"/>
      <c r="B295" s="18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1:27" ht="15.75" customHeight="1" x14ac:dyDescent="0.25">
      <c r="A296" s="2"/>
      <c r="B296" s="18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1:27" ht="15.75" customHeight="1" x14ac:dyDescent="0.25">
      <c r="A297" s="2"/>
      <c r="B297" s="18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1:27" ht="15.75" customHeight="1" x14ac:dyDescent="0.25">
      <c r="A298" s="2"/>
      <c r="B298" s="18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1:27" ht="15.75" customHeight="1" x14ac:dyDescent="0.25">
      <c r="A299" s="2"/>
      <c r="B299" s="18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1:27" ht="15.75" customHeight="1" x14ac:dyDescent="0.25">
      <c r="A300" s="2"/>
      <c r="B300" s="18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1:27" ht="15.75" customHeight="1" x14ac:dyDescent="0.25">
      <c r="A301" s="2"/>
      <c r="B301" s="18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1:27" ht="15.75" customHeight="1" x14ac:dyDescent="0.25">
      <c r="A302" s="2"/>
      <c r="B302" s="18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1:27" ht="15.75" customHeight="1" x14ac:dyDescent="0.25">
      <c r="A303" s="2"/>
      <c r="B303" s="18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1:27" ht="15.75" customHeight="1" x14ac:dyDescent="0.25">
      <c r="A304" s="2"/>
      <c r="B304" s="18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1:27" ht="15.75" customHeight="1" x14ac:dyDescent="0.25">
      <c r="A305" s="2"/>
      <c r="B305" s="18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1:27" ht="15.75" customHeight="1" x14ac:dyDescent="0.25">
      <c r="A306" s="2"/>
      <c r="B306" s="18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1:27" ht="15.75" customHeight="1" x14ac:dyDescent="0.25">
      <c r="A307" s="2"/>
      <c r="B307" s="18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1:27" ht="15.75" customHeight="1" x14ac:dyDescent="0.25">
      <c r="A308" s="2"/>
      <c r="B308" s="18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1:27" ht="15.75" customHeight="1" x14ac:dyDescent="0.25">
      <c r="A309" s="2"/>
      <c r="B309" s="18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1:27" ht="15.75" customHeight="1" x14ac:dyDescent="0.25">
      <c r="A310" s="2"/>
      <c r="B310" s="18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1:27" ht="15.75" customHeight="1" x14ac:dyDescent="0.25">
      <c r="A311" s="2"/>
      <c r="B311" s="18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1:27" ht="15.75" customHeight="1" x14ac:dyDescent="0.25">
      <c r="A312" s="2"/>
      <c r="B312" s="18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1:27" ht="15.75" customHeight="1" x14ac:dyDescent="0.25">
      <c r="A313" s="2"/>
      <c r="B313" s="18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1:27" ht="15.75" customHeight="1" x14ac:dyDescent="0.25">
      <c r="A314" s="2"/>
      <c r="B314" s="18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1:27" ht="15.75" customHeight="1" x14ac:dyDescent="0.25">
      <c r="A315" s="2"/>
      <c r="B315" s="18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1:27" ht="15.75" customHeight="1" x14ac:dyDescent="0.25">
      <c r="A316" s="2"/>
      <c r="B316" s="18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1:27" ht="15.75" customHeight="1" x14ac:dyDescent="0.25">
      <c r="A317" s="2"/>
      <c r="B317" s="18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1:27" ht="15.75" customHeight="1" x14ac:dyDescent="0.25">
      <c r="A318" s="2"/>
      <c r="B318" s="18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1:27" ht="15.75" customHeight="1" x14ac:dyDescent="0.25">
      <c r="A319" s="2"/>
      <c r="B319" s="18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1:27" ht="15.75" customHeight="1" x14ac:dyDescent="0.25">
      <c r="A320" s="2"/>
      <c r="B320" s="18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1:27" ht="15.75" customHeight="1" x14ac:dyDescent="0.25">
      <c r="A321" s="2"/>
      <c r="B321" s="18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1:27" ht="15.75" customHeight="1" x14ac:dyDescent="0.25">
      <c r="A322" s="2"/>
      <c r="B322" s="18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1:27" ht="15.75" customHeight="1" x14ac:dyDescent="0.25">
      <c r="A323" s="2"/>
      <c r="B323" s="18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1:27" ht="15.75" customHeight="1" x14ac:dyDescent="0.25">
      <c r="A324" s="2"/>
      <c r="B324" s="18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1:27" ht="15.75" customHeight="1" x14ac:dyDescent="0.25">
      <c r="A325" s="2"/>
      <c r="B325" s="18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1:27" ht="15.75" customHeight="1" x14ac:dyDescent="0.25">
      <c r="A326" s="2"/>
      <c r="B326" s="18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1:27" ht="15.75" customHeight="1" x14ac:dyDescent="0.25">
      <c r="A327" s="2"/>
      <c r="B327" s="18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1:27" ht="15.75" customHeight="1" x14ac:dyDescent="0.25">
      <c r="A328" s="2"/>
      <c r="B328" s="18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1:27" ht="15.75" customHeight="1" x14ac:dyDescent="0.25">
      <c r="A329" s="2"/>
      <c r="B329" s="18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1:27" ht="15.75" customHeight="1" x14ac:dyDescent="0.25">
      <c r="A330" s="2"/>
      <c r="B330" s="18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1:27" ht="15.75" customHeight="1" x14ac:dyDescent="0.25">
      <c r="A331" s="2"/>
      <c r="B331" s="18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1:27" ht="15.75" customHeight="1" x14ac:dyDescent="0.25">
      <c r="A332" s="2"/>
      <c r="B332" s="18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1:27" ht="15.75" customHeight="1" x14ac:dyDescent="0.25">
      <c r="A333" s="2"/>
      <c r="B333" s="18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1:27" ht="15.75" customHeight="1" x14ac:dyDescent="0.25">
      <c r="A334" s="2"/>
      <c r="B334" s="18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1:27" ht="15.75" customHeight="1" x14ac:dyDescent="0.25">
      <c r="A335" s="2"/>
      <c r="B335" s="18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1:27" ht="15.75" customHeight="1" x14ac:dyDescent="0.25">
      <c r="A336" s="2"/>
      <c r="B336" s="18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1:27" ht="15.75" customHeight="1" x14ac:dyDescent="0.25">
      <c r="A337" s="2"/>
      <c r="B337" s="18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1:27" ht="15.75" customHeight="1" x14ac:dyDescent="0.25">
      <c r="A338" s="2"/>
      <c r="B338" s="18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1:27" ht="15.75" customHeight="1" x14ac:dyDescent="0.25">
      <c r="A339" s="2"/>
      <c r="B339" s="18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1:27" ht="15.75" customHeight="1" x14ac:dyDescent="0.25">
      <c r="A340" s="2"/>
      <c r="B340" s="18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1:27" ht="15.75" customHeight="1" x14ac:dyDescent="0.25">
      <c r="A341" s="2"/>
      <c r="B341" s="18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1:27" ht="15.75" customHeight="1" x14ac:dyDescent="0.25">
      <c r="A342" s="2"/>
      <c r="B342" s="18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1:27" ht="15.75" customHeight="1" x14ac:dyDescent="0.25">
      <c r="A343" s="2"/>
      <c r="B343" s="18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1:27" ht="15.75" customHeight="1" x14ac:dyDescent="0.25">
      <c r="A344" s="2"/>
      <c r="B344" s="18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1:27" ht="15.75" customHeight="1" x14ac:dyDescent="0.25">
      <c r="A345" s="2"/>
      <c r="B345" s="18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1:27" ht="15.75" customHeight="1" x14ac:dyDescent="0.25">
      <c r="A346" s="2"/>
      <c r="B346" s="18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1:27" ht="15.75" customHeight="1" x14ac:dyDescent="0.25">
      <c r="A347" s="2"/>
      <c r="B347" s="18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1:27" ht="15.75" customHeight="1" x14ac:dyDescent="0.25">
      <c r="A348" s="2"/>
      <c r="B348" s="18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1:27" ht="15.75" customHeight="1" x14ac:dyDescent="0.25">
      <c r="A349" s="2"/>
      <c r="B349" s="18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1:27" ht="15.75" customHeight="1" x14ac:dyDescent="0.25">
      <c r="A350" s="2"/>
      <c r="B350" s="18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1:27" ht="15.75" customHeight="1" x14ac:dyDescent="0.25">
      <c r="A351" s="2"/>
      <c r="B351" s="18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1:27" ht="15.75" customHeight="1" x14ac:dyDescent="0.25">
      <c r="A352" s="2"/>
      <c r="B352" s="18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1:27" ht="15.75" customHeight="1" x14ac:dyDescent="0.25">
      <c r="A353" s="2"/>
      <c r="B353" s="18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1:27" ht="15.75" customHeight="1" x14ac:dyDescent="0.25">
      <c r="A354" s="2"/>
      <c r="B354" s="18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1:27" ht="15.75" customHeight="1" x14ac:dyDescent="0.25">
      <c r="A355" s="2"/>
      <c r="B355" s="18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1:27" ht="15.75" customHeight="1" x14ac:dyDescent="0.25">
      <c r="A356" s="2"/>
      <c r="B356" s="18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1:27" ht="15.75" customHeight="1" x14ac:dyDescent="0.25">
      <c r="A357" s="2"/>
      <c r="B357" s="18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1:27" ht="15.75" customHeight="1" x14ac:dyDescent="0.25">
      <c r="A358" s="2"/>
      <c r="B358" s="18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1:27" ht="15.75" customHeight="1" x14ac:dyDescent="0.25">
      <c r="A359" s="2"/>
      <c r="B359" s="18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1:27" ht="15.75" customHeight="1" x14ac:dyDescent="0.25">
      <c r="A360" s="2"/>
      <c r="B360" s="18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1:27" ht="15.75" customHeight="1" x14ac:dyDescent="0.25">
      <c r="A361" s="2"/>
      <c r="B361" s="18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1:27" ht="15.75" customHeight="1" x14ac:dyDescent="0.25">
      <c r="A362" s="2"/>
      <c r="B362" s="18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1:27" ht="15.75" customHeight="1" x14ac:dyDescent="0.25">
      <c r="A363" s="2"/>
      <c r="B363" s="18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1:27" ht="15.75" customHeight="1" x14ac:dyDescent="0.25">
      <c r="A364" s="2"/>
      <c r="B364" s="18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1:27" ht="15.75" customHeight="1" x14ac:dyDescent="0.25">
      <c r="A365" s="2"/>
      <c r="B365" s="18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1:27" ht="15.75" customHeight="1" x14ac:dyDescent="0.25">
      <c r="A366" s="2"/>
      <c r="B366" s="18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1:27" ht="15.75" customHeight="1" x14ac:dyDescent="0.25">
      <c r="A367" s="2"/>
      <c r="B367" s="18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1:27" ht="15.75" customHeight="1" x14ac:dyDescent="0.25">
      <c r="A368" s="2"/>
      <c r="B368" s="18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1:27" ht="15.75" customHeight="1" x14ac:dyDescent="0.25">
      <c r="A369" s="2"/>
      <c r="B369" s="18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1:27" ht="15.75" customHeight="1" x14ac:dyDescent="0.25">
      <c r="A370" s="2"/>
      <c r="B370" s="18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1:27" ht="15.75" customHeight="1" x14ac:dyDescent="0.25">
      <c r="A371" s="2"/>
      <c r="B371" s="18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1:27" ht="15.75" customHeight="1" x14ac:dyDescent="0.25">
      <c r="A372" s="2"/>
      <c r="B372" s="18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1:27" ht="15.75" customHeight="1" x14ac:dyDescent="0.25">
      <c r="A373" s="2"/>
      <c r="B373" s="18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1:27" ht="15.75" customHeight="1" x14ac:dyDescent="0.25">
      <c r="A374" s="2"/>
      <c r="B374" s="18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1:27" ht="15.75" customHeight="1" x14ac:dyDescent="0.25">
      <c r="A375" s="2"/>
      <c r="B375" s="18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1:27" ht="15.75" customHeight="1" x14ac:dyDescent="0.25">
      <c r="A376" s="2"/>
      <c r="B376" s="18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1:27" ht="15.75" customHeight="1" x14ac:dyDescent="0.25">
      <c r="A377" s="2"/>
      <c r="B377" s="18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1:27" ht="15.75" customHeight="1" x14ac:dyDescent="0.25">
      <c r="A378" s="2"/>
      <c r="B378" s="18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1:27" ht="15.75" customHeight="1" x14ac:dyDescent="0.25">
      <c r="A379" s="2"/>
      <c r="B379" s="18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1:27" ht="15.75" customHeight="1" x14ac:dyDescent="0.25">
      <c r="A380" s="2"/>
      <c r="B380" s="18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1:27" ht="15.75" customHeight="1" x14ac:dyDescent="0.25">
      <c r="A381" s="2"/>
      <c r="B381" s="18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1:27" ht="15.75" customHeight="1" x14ac:dyDescent="0.25">
      <c r="A382" s="2"/>
      <c r="B382" s="18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1:27" ht="15.75" customHeight="1" x14ac:dyDescent="0.25">
      <c r="A383" s="2"/>
      <c r="B383" s="18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1:27" ht="15.75" customHeight="1" x14ac:dyDescent="0.25">
      <c r="A384" s="2"/>
      <c r="B384" s="18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1:27" ht="15.75" customHeight="1" x14ac:dyDescent="0.25">
      <c r="A385" s="2"/>
      <c r="B385" s="18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1:27" ht="15.75" customHeight="1" x14ac:dyDescent="0.25">
      <c r="A386" s="2"/>
      <c r="B386" s="18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1:27" ht="15.75" customHeight="1" x14ac:dyDescent="0.25">
      <c r="A387" s="2"/>
      <c r="B387" s="18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1:27" ht="15.75" customHeight="1" x14ac:dyDescent="0.25">
      <c r="A388" s="2"/>
      <c r="B388" s="18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1:27" ht="15.75" customHeight="1" x14ac:dyDescent="0.25">
      <c r="A389" s="2"/>
      <c r="B389" s="18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1:27" ht="15.75" customHeight="1" x14ac:dyDescent="0.25">
      <c r="A390" s="2"/>
      <c r="B390" s="18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1:27" ht="15.75" customHeight="1" x14ac:dyDescent="0.25">
      <c r="A391" s="2"/>
      <c r="B391" s="18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1:27" ht="15.75" customHeight="1" x14ac:dyDescent="0.25">
      <c r="A392" s="2"/>
      <c r="B392" s="18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1:27" ht="15.75" customHeight="1" x14ac:dyDescent="0.25">
      <c r="A393" s="2"/>
      <c r="B393" s="18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1:27" ht="15.75" customHeight="1" x14ac:dyDescent="0.25">
      <c r="A394" s="2"/>
      <c r="B394" s="18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1:27" ht="15.75" customHeight="1" x14ac:dyDescent="0.25">
      <c r="A395" s="2"/>
      <c r="B395" s="18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1:27" ht="15.75" customHeight="1" x14ac:dyDescent="0.25">
      <c r="A396" s="2"/>
      <c r="B396" s="18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1:27" ht="15.75" customHeight="1" x14ac:dyDescent="0.25">
      <c r="A397" s="2"/>
      <c r="B397" s="18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1:27" ht="15.75" customHeight="1" x14ac:dyDescent="0.25">
      <c r="A398" s="2"/>
      <c r="B398" s="18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1:27" ht="15.75" customHeight="1" x14ac:dyDescent="0.25">
      <c r="A399" s="2"/>
      <c r="B399" s="18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1:27" ht="15.75" customHeight="1" x14ac:dyDescent="0.25">
      <c r="A400" s="2"/>
      <c r="B400" s="18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1:27" ht="15.75" customHeight="1" x14ac:dyDescent="0.25">
      <c r="A401" s="2"/>
      <c r="B401" s="18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1:27" ht="15.75" customHeight="1" x14ac:dyDescent="0.25">
      <c r="A402" s="2"/>
      <c r="B402" s="18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1:27" ht="15.75" customHeight="1" x14ac:dyDescent="0.25">
      <c r="A403" s="2"/>
      <c r="B403" s="18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1:27" ht="15.75" customHeight="1" x14ac:dyDescent="0.25">
      <c r="A404" s="2"/>
      <c r="B404" s="18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1:27" ht="15.75" customHeight="1" x14ac:dyDescent="0.25">
      <c r="A405" s="2"/>
      <c r="B405" s="18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1:27" ht="15.75" customHeight="1" x14ac:dyDescent="0.25">
      <c r="A406" s="2"/>
      <c r="B406" s="18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1:27" ht="15.75" customHeight="1" x14ac:dyDescent="0.25">
      <c r="A407" s="2"/>
      <c r="B407" s="18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1:27" ht="15.75" customHeight="1" x14ac:dyDescent="0.25">
      <c r="A408" s="2"/>
      <c r="B408" s="18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1:27" ht="15.75" customHeight="1" x14ac:dyDescent="0.25">
      <c r="A409" s="2"/>
      <c r="B409" s="18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1:27" ht="15.75" customHeight="1" x14ac:dyDescent="0.25">
      <c r="A410" s="2"/>
      <c r="B410" s="18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1:27" ht="15.75" customHeight="1" x14ac:dyDescent="0.25">
      <c r="A411" s="2"/>
      <c r="B411" s="18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1:27" ht="15.75" customHeight="1" x14ac:dyDescent="0.25">
      <c r="A412" s="2"/>
      <c r="B412" s="18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1:27" ht="15.75" customHeight="1" x14ac:dyDescent="0.25">
      <c r="A413" s="2"/>
      <c r="B413" s="18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1:27" ht="15.75" customHeight="1" x14ac:dyDescent="0.25">
      <c r="A414" s="2"/>
      <c r="B414" s="18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1:27" ht="15.75" customHeight="1" x14ac:dyDescent="0.25">
      <c r="A415" s="2"/>
      <c r="B415" s="18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1:27" ht="15.75" customHeight="1" x14ac:dyDescent="0.25">
      <c r="A416" s="2"/>
      <c r="B416" s="18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1:27" ht="15.75" customHeight="1" x14ac:dyDescent="0.25">
      <c r="A417" s="2"/>
      <c r="B417" s="18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1:27" ht="15.75" customHeight="1" x14ac:dyDescent="0.25">
      <c r="A418" s="2"/>
      <c r="B418" s="18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1:27" ht="15.75" customHeight="1" x14ac:dyDescent="0.25">
      <c r="A419" s="2"/>
      <c r="B419" s="18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1:27" ht="15.75" customHeight="1" x14ac:dyDescent="0.25">
      <c r="A420" s="2"/>
      <c r="B420" s="18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1:27" ht="15.75" customHeight="1" x14ac:dyDescent="0.25">
      <c r="A421" s="2"/>
      <c r="B421" s="18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1:27" ht="15.75" customHeight="1" x14ac:dyDescent="0.25">
      <c r="A422" s="2"/>
      <c r="B422" s="18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1:27" ht="15.75" customHeight="1" x14ac:dyDescent="0.25">
      <c r="A423" s="2"/>
      <c r="B423" s="18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1:27" ht="15.75" customHeight="1" x14ac:dyDescent="0.25">
      <c r="A424" s="2"/>
      <c r="B424" s="18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1:27" ht="15.75" customHeight="1" x14ac:dyDescent="0.25">
      <c r="A425" s="2"/>
      <c r="B425" s="18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1:27" ht="15.75" customHeight="1" x14ac:dyDescent="0.25">
      <c r="A426" s="2"/>
      <c r="B426" s="18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1:27" ht="15.75" customHeight="1" x14ac:dyDescent="0.25">
      <c r="A427" s="2"/>
      <c r="B427" s="18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1:27" ht="15.75" customHeight="1" x14ac:dyDescent="0.25">
      <c r="A428" s="2"/>
      <c r="B428" s="18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1:27" ht="15.75" customHeight="1" x14ac:dyDescent="0.25">
      <c r="A429" s="2"/>
      <c r="B429" s="18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1:27" ht="15.75" customHeight="1" x14ac:dyDescent="0.25">
      <c r="A430" s="2"/>
      <c r="B430" s="18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1:27" ht="15.75" customHeight="1" x14ac:dyDescent="0.25">
      <c r="A431" s="2"/>
      <c r="B431" s="18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1:27" ht="15.75" customHeight="1" x14ac:dyDescent="0.25">
      <c r="A432" s="2"/>
      <c r="B432" s="18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1:27" ht="15.75" customHeight="1" x14ac:dyDescent="0.25">
      <c r="A433" s="2"/>
      <c r="B433" s="18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1:27" ht="15.75" customHeight="1" x14ac:dyDescent="0.25">
      <c r="A434" s="2"/>
      <c r="B434" s="18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1:27" ht="15.75" customHeight="1" x14ac:dyDescent="0.25">
      <c r="A435" s="2"/>
      <c r="B435" s="18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1:27" ht="15.75" customHeight="1" x14ac:dyDescent="0.25">
      <c r="A436" s="2"/>
      <c r="B436" s="18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1:27" ht="15.75" customHeight="1" x14ac:dyDescent="0.25">
      <c r="A437" s="2"/>
      <c r="B437" s="18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1:27" ht="15.75" customHeight="1" x14ac:dyDescent="0.25">
      <c r="A438" s="2"/>
      <c r="B438" s="18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1:27" ht="15.75" customHeight="1" x14ac:dyDescent="0.25">
      <c r="A439" s="2"/>
      <c r="B439" s="18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1:27" ht="15.75" customHeight="1" x14ac:dyDescent="0.25">
      <c r="A440" s="2"/>
      <c r="B440" s="18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1:27" ht="15.75" customHeight="1" x14ac:dyDescent="0.25">
      <c r="A441" s="2"/>
      <c r="B441" s="18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1:27" ht="15.75" customHeight="1" x14ac:dyDescent="0.25">
      <c r="A442" s="2"/>
      <c r="B442" s="18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1:27" ht="15.75" customHeight="1" x14ac:dyDescent="0.25">
      <c r="A443" s="2"/>
      <c r="B443" s="18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1:27" ht="15.75" customHeight="1" x14ac:dyDescent="0.25">
      <c r="A444" s="2"/>
      <c r="B444" s="18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1:27" ht="15.75" customHeight="1" x14ac:dyDescent="0.25">
      <c r="A445" s="2"/>
      <c r="B445" s="18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1:27" ht="15.75" customHeight="1" x14ac:dyDescent="0.25">
      <c r="A446" s="2"/>
      <c r="B446" s="18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1:27" ht="15.75" customHeight="1" x14ac:dyDescent="0.25">
      <c r="A447" s="2"/>
      <c r="B447" s="18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1:27" ht="15.75" customHeight="1" x14ac:dyDescent="0.25">
      <c r="A448" s="2"/>
      <c r="B448" s="18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1:27" ht="15.75" customHeight="1" x14ac:dyDescent="0.25">
      <c r="A449" s="2"/>
      <c r="B449" s="18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1:27" ht="15.75" customHeight="1" x14ac:dyDescent="0.25">
      <c r="A450" s="2"/>
      <c r="B450" s="18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1:27" ht="15.75" customHeight="1" x14ac:dyDescent="0.25">
      <c r="A451" s="2"/>
      <c r="B451" s="18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1:27" ht="15.75" customHeight="1" x14ac:dyDescent="0.25">
      <c r="A452" s="2"/>
      <c r="B452" s="18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1:27" ht="15.75" customHeight="1" x14ac:dyDescent="0.25">
      <c r="A453" s="2"/>
      <c r="B453" s="18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1:27" ht="15.75" customHeight="1" x14ac:dyDescent="0.25">
      <c r="A454" s="2"/>
      <c r="B454" s="18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1:27" ht="15.75" customHeight="1" x14ac:dyDescent="0.25">
      <c r="A455" s="2"/>
      <c r="B455" s="18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1:27" ht="15.75" customHeight="1" x14ac:dyDescent="0.25">
      <c r="A456" s="2"/>
      <c r="B456" s="18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1:27" ht="15.75" customHeight="1" x14ac:dyDescent="0.25">
      <c r="A457" s="2"/>
      <c r="B457" s="18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1:27" ht="15.75" customHeight="1" x14ac:dyDescent="0.25">
      <c r="A458" s="2"/>
      <c r="B458" s="18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1:27" ht="15.75" customHeight="1" x14ac:dyDescent="0.25">
      <c r="A459" s="2"/>
      <c r="B459" s="18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1:27" ht="15.75" customHeight="1" x14ac:dyDescent="0.25">
      <c r="A460" s="2"/>
      <c r="B460" s="18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1:27" ht="15.75" customHeight="1" x14ac:dyDescent="0.25">
      <c r="A461" s="2"/>
      <c r="B461" s="18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1:27" ht="15.75" customHeight="1" x14ac:dyDescent="0.25">
      <c r="A462" s="2"/>
      <c r="B462" s="18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1:27" ht="15.75" customHeight="1" x14ac:dyDescent="0.25">
      <c r="A463" s="2"/>
      <c r="B463" s="18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1:27" ht="15.75" customHeight="1" x14ac:dyDescent="0.25">
      <c r="A464" s="2"/>
      <c r="B464" s="18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1:27" ht="15.75" customHeight="1" x14ac:dyDescent="0.25">
      <c r="A465" s="2"/>
      <c r="B465" s="18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ht="15.75" customHeight="1" x14ac:dyDescent="0.25">
      <c r="A466" s="2"/>
      <c r="B466" s="18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ht="15.75" customHeight="1" x14ac:dyDescent="0.25">
      <c r="A467" s="2"/>
      <c r="B467" s="18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ht="15.75" customHeight="1" x14ac:dyDescent="0.25">
      <c r="A468" s="2"/>
      <c r="B468" s="18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ht="15.75" customHeight="1" x14ac:dyDescent="0.25">
      <c r="A469" s="2"/>
      <c r="B469" s="18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ht="15.75" customHeight="1" x14ac:dyDescent="0.25">
      <c r="A470" s="2"/>
      <c r="B470" s="18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ht="15.75" customHeight="1" x14ac:dyDescent="0.25">
      <c r="A471" s="2"/>
      <c r="B471" s="18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ht="15.75" customHeight="1" x14ac:dyDescent="0.25">
      <c r="A472" s="2"/>
      <c r="B472" s="18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ht="15.75" customHeight="1" x14ac:dyDescent="0.25">
      <c r="A473" s="2"/>
      <c r="B473" s="18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ht="15.75" customHeight="1" x14ac:dyDescent="0.25">
      <c r="A474" s="2"/>
      <c r="B474" s="18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ht="15.75" customHeight="1" x14ac:dyDescent="0.25">
      <c r="A475" s="2"/>
      <c r="B475" s="18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ht="15.75" customHeight="1" x14ac:dyDescent="0.25">
      <c r="A476" s="2"/>
      <c r="B476" s="18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ht="15.75" customHeight="1" x14ac:dyDescent="0.25">
      <c r="A477" s="2"/>
      <c r="B477" s="18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ht="15.75" customHeight="1" x14ac:dyDescent="0.25">
      <c r="A478" s="2"/>
      <c r="B478" s="18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ht="15.75" customHeight="1" x14ac:dyDescent="0.25">
      <c r="A479" s="2"/>
      <c r="B479" s="18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1:27" ht="15.75" customHeight="1" x14ac:dyDescent="0.25">
      <c r="A480" s="2"/>
      <c r="B480" s="18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1:27" ht="15.75" customHeight="1" x14ac:dyDescent="0.25">
      <c r="A481" s="2"/>
      <c r="B481" s="18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1:27" ht="15.75" customHeight="1" x14ac:dyDescent="0.25">
      <c r="A482" s="2"/>
      <c r="B482" s="18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1:27" ht="15.75" customHeight="1" x14ac:dyDescent="0.25">
      <c r="A483" s="2"/>
      <c r="B483" s="18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1:27" ht="15.75" customHeight="1" x14ac:dyDescent="0.25">
      <c r="A484" s="2"/>
      <c r="B484" s="18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1:27" ht="15.75" customHeight="1" x14ac:dyDescent="0.25">
      <c r="A485" s="2"/>
      <c r="B485" s="18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1:27" ht="15.75" customHeight="1" x14ac:dyDescent="0.25">
      <c r="A486" s="2"/>
      <c r="B486" s="18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1:27" ht="15.75" customHeight="1" x14ac:dyDescent="0.25">
      <c r="A487" s="2"/>
      <c r="B487" s="18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ht="15.75" customHeight="1" x14ac:dyDescent="0.25">
      <c r="A488" s="2"/>
      <c r="B488" s="18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ht="15.75" customHeight="1" x14ac:dyDescent="0.25">
      <c r="A489" s="2"/>
      <c r="B489" s="18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ht="15.75" customHeight="1" x14ac:dyDescent="0.25">
      <c r="A490" s="2"/>
      <c r="B490" s="18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ht="15.75" customHeight="1" x14ac:dyDescent="0.25">
      <c r="A491" s="2"/>
      <c r="B491" s="18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ht="15.75" customHeight="1" x14ac:dyDescent="0.25">
      <c r="A492" s="2"/>
      <c r="B492" s="18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ht="15.75" customHeight="1" x14ac:dyDescent="0.25">
      <c r="A493" s="2"/>
      <c r="B493" s="18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ht="15.75" customHeight="1" x14ac:dyDescent="0.25">
      <c r="A494" s="2"/>
      <c r="B494" s="18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ht="15.75" customHeight="1" x14ac:dyDescent="0.25">
      <c r="A495" s="2"/>
      <c r="B495" s="18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ht="15.75" customHeight="1" x14ac:dyDescent="0.25">
      <c r="A496" s="2"/>
      <c r="B496" s="18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ht="15.75" customHeight="1" x14ac:dyDescent="0.25">
      <c r="A497" s="2"/>
      <c r="B497" s="18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ht="15.75" customHeight="1" x14ac:dyDescent="0.25">
      <c r="A498" s="2"/>
      <c r="B498" s="18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ht="15.75" customHeight="1" x14ac:dyDescent="0.25">
      <c r="A499" s="2"/>
      <c r="B499" s="18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ht="15.75" customHeight="1" x14ac:dyDescent="0.25">
      <c r="A500" s="2"/>
      <c r="B500" s="18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ht="15.75" customHeight="1" x14ac:dyDescent="0.25">
      <c r="A501" s="2"/>
      <c r="B501" s="18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ht="15.75" customHeight="1" x14ac:dyDescent="0.25">
      <c r="A502" s="2"/>
      <c r="B502" s="18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ht="15.75" customHeight="1" x14ac:dyDescent="0.25">
      <c r="A503" s="2"/>
      <c r="B503" s="18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ht="15.75" customHeight="1" x14ac:dyDescent="0.25">
      <c r="A504" s="2"/>
      <c r="B504" s="18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1:27" ht="15.75" customHeight="1" x14ac:dyDescent="0.25">
      <c r="A505" s="2"/>
      <c r="B505" s="18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1:27" ht="15.75" customHeight="1" x14ac:dyDescent="0.25">
      <c r="A506" s="2"/>
      <c r="B506" s="18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1:27" ht="15.75" customHeight="1" x14ac:dyDescent="0.25">
      <c r="A507" s="2"/>
      <c r="B507" s="18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1:27" ht="15.75" customHeight="1" x14ac:dyDescent="0.25">
      <c r="A508" s="2"/>
      <c r="B508" s="18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1:27" ht="15.75" customHeight="1" x14ac:dyDescent="0.25">
      <c r="A509" s="2"/>
      <c r="B509" s="18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1:27" ht="15.75" customHeight="1" x14ac:dyDescent="0.25">
      <c r="A510" s="2"/>
      <c r="B510" s="18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1:27" ht="15.75" customHeight="1" x14ac:dyDescent="0.25">
      <c r="A511" s="2"/>
      <c r="B511" s="18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1:27" ht="15.75" customHeight="1" x14ac:dyDescent="0.25">
      <c r="A512" s="2"/>
      <c r="B512" s="18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ht="15.75" customHeight="1" x14ac:dyDescent="0.25">
      <c r="A513" s="2"/>
      <c r="B513" s="18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ht="15.75" customHeight="1" x14ac:dyDescent="0.25">
      <c r="A514" s="2"/>
      <c r="B514" s="18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ht="15.75" customHeight="1" x14ac:dyDescent="0.25">
      <c r="A515" s="2"/>
      <c r="B515" s="18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ht="15.75" customHeight="1" x14ac:dyDescent="0.25">
      <c r="A516" s="2"/>
      <c r="B516" s="18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ht="15.75" customHeight="1" x14ac:dyDescent="0.25">
      <c r="A517" s="2"/>
      <c r="B517" s="18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ht="15.75" customHeight="1" x14ac:dyDescent="0.25">
      <c r="A518" s="2"/>
      <c r="B518" s="18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ht="15.75" customHeight="1" x14ac:dyDescent="0.25">
      <c r="A519" s="2"/>
      <c r="B519" s="18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ht="15.75" customHeight="1" x14ac:dyDescent="0.25">
      <c r="A520" s="2"/>
      <c r="B520" s="18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ht="15.75" customHeight="1" x14ac:dyDescent="0.25">
      <c r="A521" s="2"/>
      <c r="B521" s="18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ht="15.75" customHeight="1" x14ac:dyDescent="0.25">
      <c r="A522" s="2"/>
      <c r="B522" s="18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ht="15.75" customHeight="1" x14ac:dyDescent="0.25">
      <c r="A523" s="2"/>
      <c r="B523" s="18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ht="15.75" customHeight="1" x14ac:dyDescent="0.25">
      <c r="A524" s="2"/>
      <c r="B524" s="18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ht="15.75" customHeight="1" x14ac:dyDescent="0.25">
      <c r="A525" s="2"/>
      <c r="B525" s="18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ht="15.75" customHeight="1" x14ac:dyDescent="0.25">
      <c r="A526" s="2"/>
      <c r="B526" s="18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ht="15.75" customHeight="1" x14ac:dyDescent="0.25">
      <c r="A527" s="2"/>
      <c r="B527" s="18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ht="15.75" customHeight="1" x14ac:dyDescent="0.25">
      <c r="A528" s="2"/>
      <c r="B528" s="18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ht="15.75" customHeight="1" x14ac:dyDescent="0.25">
      <c r="A529" s="2"/>
      <c r="B529" s="18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1:27" ht="15.75" customHeight="1" x14ac:dyDescent="0.25">
      <c r="A530" s="2"/>
      <c r="B530" s="18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1:27" ht="15.75" customHeight="1" x14ac:dyDescent="0.25">
      <c r="A531" s="2"/>
      <c r="B531" s="18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1:27" ht="15.75" customHeight="1" x14ac:dyDescent="0.25">
      <c r="A532" s="2"/>
      <c r="B532" s="18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1:27" ht="15.75" customHeight="1" x14ac:dyDescent="0.25">
      <c r="A533" s="2"/>
      <c r="B533" s="18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1:27" ht="15.75" customHeight="1" x14ac:dyDescent="0.25">
      <c r="A534" s="2"/>
      <c r="B534" s="18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1:27" ht="15.75" customHeight="1" x14ac:dyDescent="0.25">
      <c r="A535" s="2"/>
      <c r="B535" s="18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1:27" ht="15.75" customHeight="1" x14ac:dyDescent="0.25">
      <c r="A536" s="2"/>
      <c r="B536" s="18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1:27" ht="15.75" customHeight="1" x14ac:dyDescent="0.25">
      <c r="A537" s="2"/>
      <c r="B537" s="18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ht="15.75" customHeight="1" x14ac:dyDescent="0.25">
      <c r="A538" s="2"/>
      <c r="B538" s="18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ht="15.75" customHeight="1" x14ac:dyDescent="0.25">
      <c r="A539" s="2"/>
      <c r="B539" s="18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ht="15.75" customHeight="1" x14ac:dyDescent="0.25">
      <c r="A540" s="2"/>
      <c r="B540" s="18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ht="15.75" customHeight="1" x14ac:dyDescent="0.25">
      <c r="A541" s="2"/>
      <c r="B541" s="18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ht="15.75" customHeight="1" x14ac:dyDescent="0.25">
      <c r="A542" s="2"/>
      <c r="B542" s="18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ht="15.75" customHeight="1" x14ac:dyDescent="0.25">
      <c r="A543" s="2"/>
      <c r="B543" s="18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ht="15.75" customHeight="1" x14ac:dyDescent="0.25">
      <c r="A544" s="2"/>
      <c r="B544" s="18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ht="15.75" customHeight="1" x14ac:dyDescent="0.25">
      <c r="A545" s="2"/>
      <c r="B545" s="18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ht="15.75" customHeight="1" x14ac:dyDescent="0.25">
      <c r="A546" s="2"/>
      <c r="B546" s="18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ht="15.75" customHeight="1" x14ac:dyDescent="0.25">
      <c r="A547" s="2"/>
      <c r="B547" s="18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ht="15.75" customHeight="1" x14ac:dyDescent="0.25">
      <c r="A548" s="2"/>
      <c r="B548" s="18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ht="15.75" customHeight="1" x14ac:dyDescent="0.25">
      <c r="A549" s="2"/>
      <c r="B549" s="18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ht="15.75" customHeight="1" x14ac:dyDescent="0.25">
      <c r="A550" s="2"/>
      <c r="B550" s="18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ht="15.75" customHeight="1" x14ac:dyDescent="0.25">
      <c r="A551" s="2"/>
      <c r="B551" s="18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ht="15.75" customHeight="1" x14ac:dyDescent="0.25">
      <c r="A552" s="2"/>
      <c r="B552" s="18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ht="15.75" customHeight="1" x14ac:dyDescent="0.25">
      <c r="A553" s="2"/>
      <c r="B553" s="18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ht="15.75" customHeight="1" x14ac:dyDescent="0.25">
      <c r="A554" s="2"/>
      <c r="B554" s="18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1:27" ht="15.75" customHeight="1" x14ac:dyDescent="0.25">
      <c r="A555" s="2"/>
      <c r="B555" s="18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1:27" ht="15.75" customHeight="1" x14ac:dyDescent="0.25">
      <c r="A556" s="2"/>
      <c r="B556" s="18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1:27" ht="15.75" customHeight="1" x14ac:dyDescent="0.25">
      <c r="A557" s="2"/>
      <c r="B557" s="18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1:27" ht="15.75" customHeight="1" x14ac:dyDescent="0.25">
      <c r="A558" s="2"/>
      <c r="B558" s="18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1:27" ht="15.75" customHeight="1" x14ac:dyDescent="0.25">
      <c r="A559" s="2"/>
      <c r="B559" s="18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1:27" ht="15.75" customHeight="1" x14ac:dyDescent="0.25">
      <c r="A560" s="2"/>
      <c r="B560" s="18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1:27" ht="15.75" customHeight="1" x14ac:dyDescent="0.25">
      <c r="A561" s="2"/>
      <c r="B561" s="18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1:27" ht="15.75" customHeight="1" x14ac:dyDescent="0.25">
      <c r="A562" s="2"/>
      <c r="B562" s="18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ht="15.75" customHeight="1" x14ac:dyDescent="0.25">
      <c r="A563" s="2"/>
      <c r="B563" s="18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ht="15.75" customHeight="1" x14ac:dyDescent="0.25">
      <c r="A564" s="2"/>
      <c r="B564" s="18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ht="15.75" customHeight="1" x14ac:dyDescent="0.25">
      <c r="A565" s="2"/>
      <c r="B565" s="18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ht="15.75" customHeight="1" x14ac:dyDescent="0.25">
      <c r="A566" s="2"/>
      <c r="B566" s="18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ht="15.75" customHeight="1" x14ac:dyDescent="0.25">
      <c r="A567" s="2"/>
      <c r="B567" s="18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ht="15.75" customHeight="1" x14ac:dyDescent="0.25">
      <c r="A568" s="2"/>
      <c r="B568" s="18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ht="15.75" customHeight="1" x14ac:dyDescent="0.25">
      <c r="A569" s="2"/>
      <c r="B569" s="18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ht="15.75" customHeight="1" x14ac:dyDescent="0.25">
      <c r="A570" s="2"/>
      <c r="B570" s="18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ht="15.75" customHeight="1" x14ac:dyDescent="0.25">
      <c r="A571" s="2"/>
      <c r="B571" s="18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ht="15.75" customHeight="1" x14ac:dyDescent="0.25">
      <c r="A572" s="2"/>
      <c r="B572" s="18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ht="15.75" customHeight="1" x14ac:dyDescent="0.25">
      <c r="A573" s="2"/>
      <c r="B573" s="18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ht="15.75" customHeight="1" x14ac:dyDescent="0.25">
      <c r="A574" s="2"/>
      <c r="B574" s="18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ht="15.75" customHeight="1" x14ac:dyDescent="0.25">
      <c r="A575" s="2"/>
      <c r="B575" s="18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ht="15.75" customHeight="1" x14ac:dyDescent="0.25">
      <c r="A576" s="2"/>
      <c r="B576" s="18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ht="15.75" customHeight="1" x14ac:dyDescent="0.25">
      <c r="A577" s="2"/>
      <c r="B577" s="18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ht="15.75" customHeight="1" x14ac:dyDescent="0.25">
      <c r="A578" s="2"/>
      <c r="B578" s="18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ht="15.75" customHeight="1" x14ac:dyDescent="0.25">
      <c r="A579" s="2"/>
      <c r="B579" s="18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1:27" ht="15.75" customHeight="1" x14ac:dyDescent="0.25">
      <c r="A580" s="2"/>
      <c r="B580" s="18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1:27" ht="15.75" customHeight="1" x14ac:dyDescent="0.25">
      <c r="A581" s="2"/>
      <c r="B581" s="18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1:27" ht="15.75" customHeight="1" x14ac:dyDescent="0.25">
      <c r="A582" s="2"/>
      <c r="B582" s="18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1:27" ht="15.75" customHeight="1" x14ac:dyDescent="0.25">
      <c r="A583" s="2"/>
      <c r="B583" s="18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1:27" ht="15.75" customHeight="1" x14ac:dyDescent="0.25">
      <c r="A584" s="2"/>
      <c r="B584" s="18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1:27" ht="15.75" customHeight="1" x14ac:dyDescent="0.25">
      <c r="A585" s="2"/>
      <c r="B585" s="18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1:27" ht="15.75" customHeight="1" x14ac:dyDescent="0.25">
      <c r="A586" s="2"/>
      <c r="B586" s="18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1:27" ht="15.75" customHeight="1" x14ac:dyDescent="0.25">
      <c r="A587" s="2"/>
      <c r="B587" s="18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ht="15.75" customHeight="1" x14ac:dyDescent="0.25">
      <c r="A588" s="2"/>
      <c r="B588" s="18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ht="15.75" customHeight="1" x14ac:dyDescent="0.25">
      <c r="A589" s="2"/>
      <c r="B589" s="18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ht="15.75" customHeight="1" x14ac:dyDescent="0.25">
      <c r="A590" s="2"/>
      <c r="B590" s="18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ht="15.75" customHeight="1" x14ac:dyDescent="0.25">
      <c r="A591" s="2"/>
      <c r="B591" s="18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ht="15.75" customHeight="1" x14ac:dyDescent="0.25">
      <c r="A592" s="2"/>
      <c r="B592" s="18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ht="15.75" customHeight="1" x14ac:dyDescent="0.25">
      <c r="A593" s="2"/>
      <c r="B593" s="18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ht="15.75" customHeight="1" x14ac:dyDescent="0.25">
      <c r="A594" s="2"/>
      <c r="B594" s="18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ht="15.75" customHeight="1" x14ac:dyDescent="0.25">
      <c r="A595" s="2"/>
      <c r="B595" s="18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ht="15.75" customHeight="1" x14ac:dyDescent="0.25">
      <c r="A596" s="2"/>
      <c r="B596" s="18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ht="15.75" customHeight="1" x14ac:dyDescent="0.25">
      <c r="A597" s="2"/>
      <c r="B597" s="18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ht="15.75" customHeight="1" x14ac:dyDescent="0.25">
      <c r="A598" s="2"/>
      <c r="B598" s="18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ht="15.75" customHeight="1" x14ac:dyDescent="0.25">
      <c r="A599" s="2"/>
      <c r="B599" s="18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ht="15.75" customHeight="1" x14ac:dyDescent="0.25">
      <c r="A600" s="2"/>
      <c r="B600" s="18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ht="15.75" customHeight="1" x14ac:dyDescent="0.25">
      <c r="A601" s="2"/>
      <c r="B601" s="18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ht="15.75" customHeight="1" x14ac:dyDescent="0.25">
      <c r="A602" s="2"/>
      <c r="B602" s="18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ht="15.75" customHeight="1" x14ac:dyDescent="0.25">
      <c r="A603" s="2"/>
      <c r="B603" s="18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ht="15.75" customHeight="1" x14ac:dyDescent="0.25">
      <c r="A604" s="2"/>
      <c r="B604" s="18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1:27" ht="15.75" customHeight="1" x14ac:dyDescent="0.25">
      <c r="A605" s="2"/>
      <c r="B605" s="18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1:27" ht="15.75" customHeight="1" x14ac:dyDescent="0.25">
      <c r="A606" s="2"/>
      <c r="B606" s="18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1:27" ht="15.75" customHeight="1" x14ac:dyDescent="0.25">
      <c r="A607" s="2"/>
      <c r="B607" s="18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1:27" ht="15.75" customHeight="1" x14ac:dyDescent="0.25">
      <c r="A608" s="2"/>
      <c r="B608" s="18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1:27" ht="15.75" customHeight="1" x14ac:dyDescent="0.25">
      <c r="A609" s="2"/>
      <c r="B609" s="18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1:27" ht="15.75" customHeight="1" x14ac:dyDescent="0.25">
      <c r="A610" s="2"/>
      <c r="B610" s="18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1:27" ht="15.75" customHeight="1" x14ac:dyDescent="0.25">
      <c r="A611" s="2"/>
      <c r="B611" s="18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1:27" ht="15.75" customHeight="1" x14ac:dyDescent="0.25">
      <c r="A612" s="2"/>
      <c r="B612" s="18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ht="15.75" customHeight="1" x14ac:dyDescent="0.25">
      <c r="A613" s="2"/>
      <c r="B613" s="18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ht="15.75" customHeight="1" x14ac:dyDescent="0.25">
      <c r="A614" s="2"/>
      <c r="B614" s="18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ht="15.75" customHeight="1" x14ac:dyDescent="0.25">
      <c r="A615" s="2"/>
      <c r="B615" s="18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ht="15.75" customHeight="1" x14ac:dyDescent="0.25">
      <c r="A616" s="2"/>
      <c r="B616" s="18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ht="15.75" customHeight="1" x14ac:dyDescent="0.25">
      <c r="A617" s="2"/>
      <c r="B617" s="18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ht="15.75" customHeight="1" x14ac:dyDescent="0.25">
      <c r="A618" s="2"/>
      <c r="B618" s="18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ht="15.75" customHeight="1" x14ac:dyDescent="0.25">
      <c r="A619" s="2"/>
      <c r="B619" s="18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ht="15.75" customHeight="1" x14ac:dyDescent="0.25">
      <c r="A620" s="2"/>
      <c r="B620" s="18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</sheetData>
  <autoFilter ref="A1:AA21" xr:uid="{00000000-0009-0000-0000-000001000000}"/>
  <conditionalFormatting sqref="Q1:Q21">
    <cfRule type="cellIs" dxfId="3" priority="2" operator="equal">
      <formula>100</formula>
    </cfRule>
  </conditionalFormatting>
  <conditionalFormatting sqref="X1:X21">
    <cfRule type="cellIs" dxfId="2" priority="4" operator="equal">
      <formula>"Stationary"</formula>
    </cfRule>
  </conditionalFormatting>
  <conditionalFormatting sqref="Y1:Y21">
    <cfRule type="expression" dxfId="1" priority="3">
      <formula>X1="Stationary"</formula>
    </cfRule>
  </conditionalFormatting>
  <conditionalFormatting sqref="Z1:Z21">
    <cfRule type="notContainsBlanks" dxfId="0" priority="1">
      <formula>LEN(TRIM(Z1))&gt;0</formula>
    </cfRule>
  </conditionalFormatting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D9E2F3"/>
    <outlinePr summaryBelow="0" summaryRight="0"/>
  </sheetPr>
  <dimension ref="A1:AW311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20" sqref="A120"/>
    </sheetView>
  </sheetViews>
  <sheetFormatPr defaultColWidth="12.7109375" defaultRowHeight="15" customHeight="1" x14ac:dyDescent="0.2"/>
  <cols>
    <col min="1" max="1" width="26.7109375" customWidth="1"/>
    <col min="2" max="24" width="5.85546875" customWidth="1"/>
    <col min="25" max="25" width="6.5703125" customWidth="1"/>
    <col min="26" max="26" width="4.85546875" customWidth="1"/>
    <col min="27" max="49" width="5.85546875" customWidth="1"/>
  </cols>
  <sheetData>
    <row r="1" spans="1:49" ht="14.25" customHeight="1" x14ac:dyDescent="0.3">
      <c r="A1" s="19" t="s">
        <v>27</v>
      </c>
      <c r="B1" s="51" t="str">
        <f>_xlfn.CONCAT(Raw!C1," ",Raw!C2)</f>
        <v>Survey 1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/>
      <c r="N1" s="51" t="str">
        <f>_xlfn.CONCAT(Raw!S1," ",Raw!S2)</f>
        <v>Survey 2</v>
      </c>
      <c r="O1" s="52"/>
      <c r="P1" s="52"/>
      <c r="Q1" s="52"/>
      <c r="R1" s="52"/>
      <c r="S1" s="52"/>
      <c r="T1" s="52"/>
      <c r="U1" s="52"/>
      <c r="V1" s="52"/>
      <c r="W1" s="52"/>
      <c r="X1" s="52"/>
      <c r="Y1" s="53"/>
      <c r="Z1" s="51" t="str">
        <f>_xlfn.CONCAT(Raw!AI1," ",Raw!AI2)</f>
        <v>Survey 3</v>
      </c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3"/>
      <c r="AL1" s="51" t="str">
        <f>_xlfn.CONCAT(Raw!AY1," ",Raw!AY2)</f>
        <v>Survey 4</v>
      </c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</row>
    <row r="2" spans="1:49" ht="15.75" customHeight="1" x14ac:dyDescent="0.25">
      <c r="A2" s="20" t="s">
        <v>28</v>
      </c>
      <c r="B2" s="21" t="s">
        <v>29</v>
      </c>
      <c r="C2" s="21" t="s">
        <v>30</v>
      </c>
      <c r="D2" s="22" t="s">
        <v>31</v>
      </c>
      <c r="E2" s="22" t="s">
        <v>32</v>
      </c>
      <c r="F2" s="22" t="s">
        <v>33</v>
      </c>
      <c r="G2" s="22" t="s">
        <v>34</v>
      </c>
      <c r="H2" s="22" t="s">
        <v>35</v>
      </c>
      <c r="I2" s="22" t="s">
        <v>36</v>
      </c>
      <c r="J2" s="22" t="s">
        <v>37</v>
      </c>
      <c r="K2" s="22" t="s">
        <v>38</v>
      </c>
      <c r="L2" s="22" t="s">
        <v>39</v>
      </c>
      <c r="M2" s="22" t="s">
        <v>40</v>
      </c>
      <c r="N2" s="21" t="s">
        <v>41</v>
      </c>
      <c r="O2" s="22" t="s">
        <v>42</v>
      </c>
      <c r="P2" s="22" t="s">
        <v>43</v>
      </c>
      <c r="Q2" s="22" t="s">
        <v>44</v>
      </c>
      <c r="R2" s="22" t="s">
        <v>45</v>
      </c>
      <c r="S2" s="22" t="s">
        <v>46</v>
      </c>
      <c r="T2" s="22" t="s">
        <v>47</v>
      </c>
      <c r="U2" s="22" t="s">
        <v>48</v>
      </c>
      <c r="V2" s="22" t="s">
        <v>49</v>
      </c>
      <c r="W2" s="22" t="s">
        <v>50</v>
      </c>
      <c r="X2" s="22" t="s">
        <v>51</v>
      </c>
      <c r="Y2" s="22" t="s">
        <v>52</v>
      </c>
      <c r="Z2" s="21" t="s">
        <v>53</v>
      </c>
      <c r="AA2" s="22" t="s">
        <v>54</v>
      </c>
      <c r="AB2" s="22" t="s">
        <v>55</v>
      </c>
      <c r="AC2" s="22" t="s">
        <v>56</v>
      </c>
      <c r="AD2" s="22" t="s">
        <v>57</v>
      </c>
      <c r="AE2" s="22" t="s">
        <v>58</v>
      </c>
      <c r="AF2" s="22" t="s">
        <v>59</v>
      </c>
      <c r="AG2" s="22" t="s">
        <v>60</v>
      </c>
      <c r="AH2" s="22" t="s">
        <v>61</v>
      </c>
      <c r="AI2" s="22" t="s">
        <v>62</v>
      </c>
      <c r="AJ2" s="22" t="s">
        <v>63</v>
      </c>
      <c r="AK2" s="22" t="s">
        <v>64</v>
      </c>
      <c r="AL2" s="21" t="s">
        <v>65</v>
      </c>
      <c r="AM2" s="22" t="s">
        <v>66</v>
      </c>
      <c r="AN2" s="22" t="s">
        <v>67</v>
      </c>
      <c r="AO2" s="22" t="s">
        <v>68</v>
      </c>
      <c r="AP2" s="22" t="s">
        <v>69</v>
      </c>
      <c r="AQ2" s="22" t="s">
        <v>70</v>
      </c>
      <c r="AR2" s="22" t="s">
        <v>71</v>
      </c>
      <c r="AS2" s="22" t="s">
        <v>72</v>
      </c>
      <c r="AT2" s="22" t="s">
        <v>73</v>
      </c>
      <c r="AU2" s="22" t="s">
        <v>74</v>
      </c>
      <c r="AV2" s="22" t="s">
        <v>75</v>
      </c>
      <c r="AW2" s="22" t="s">
        <v>76</v>
      </c>
    </row>
    <row r="3" spans="1:49" ht="15.75" customHeight="1" x14ac:dyDescent="0.25">
      <c r="A3" s="23" t="s">
        <v>77</v>
      </c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8"/>
      <c r="Z3" s="44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4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</row>
    <row r="4" spans="1:49" ht="15.75" customHeight="1" x14ac:dyDescent="0.25">
      <c r="A4" s="23" t="s">
        <v>78</v>
      </c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6"/>
      <c r="O4" s="47"/>
      <c r="P4" s="47"/>
      <c r="Q4" s="49"/>
      <c r="R4" s="47"/>
      <c r="S4" s="47"/>
      <c r="T4" s="47"/>
      <c r="U4" s="47"/>
      <c r="V4" s="47"/>
      <c r="W4" s="47"/>
      <c r="X4" s="47"/>
      <c r="Y4" s="48"/>
      <c r="Z4" s="4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4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</row>
    <row r="5" spans="1:49" ht="15.75" customHeight="1" x14ac:dyDescent="0.25">
      <c r="A5" s="23" t="s">
        <v>79</v>
      </c>
      <c r="B5" s="44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8"/>
      <c r="Z5" s="44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4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</row>
    <row r="6" spans="1:49" ht="15.75" customHeight="1" x14ac:dyDescent="0.25">
      <c r="A6" s="23" t="s">
        <v>80</v>
      </c>
      <c r="B6" s="44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6"/>
      <c r="O6" s="47"/>
      <c r="P6" s="47"/>
      <c r="Q6" s="47"/>
      <c r="R6" s="47"/>
      <c r="S6" s="47"/>
      <c r="T6" s="47"/>
      <c r="U6" s="47"/>
      <c r="V6" s="47"/>
      <c r="W6" s="47"/>
      <c r="X6" s="47"/>
      <c r="Y6" s="48"/>
      <c r="Z6" s="44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4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</row>
    <row r="7" spans="1:49" ht="15.75" customHeight="1" x14ac:dyDescent="0.25">
      <c r="A7" s="23" t="s">
        <v>81</v>
      </c>
      <c r="B7" s="44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6"/>
      <c r="O7" s="47"/>
      <c r="P7" s="47"/>
      <c r="Q7" s="47"/>
      <c r="R7" s="47"/>
      <c r="S7" s="47"/>
      <c r="T7" s="47"/>
      <c r="U7" s="47"/>
      <c r="V7" s="47"/>
      <c r="W7" s="47"/>
      <c r="X7" s="47"/>
      <c r="Y7" s="48"/>
      <c r="Z7" s="44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4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</row>
    <row r="8" spans="1:49" ht="15.75" customHeight="1" x14ac:dyDescent="0.25">
      <c r="A8" s="25" t="s">
        <v>82</v>
      </c>
      <c r="B8" s="44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  <c r="O8" s="47"/>
      <c r="P8" s="47"/>
      <c r="Q8" s="47"/>
      <c r="R8" s="47"/>
      <c r="S8" s="47"/>
      <c r="T8" s="47"/>
      <c r="U8" s="47"/>
      <c r="V8" s="47"/>
      <c r="W8" s="47"/>
      <c r="X8" s="47"/>
      <c r="Y8" s="48"/>
      <c r="Z8" s="44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4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</row>
    <row r="9" spans="1:49" ht="15.75" customHeight="1" x14ac:dyDescent="0.25">
      <c r="A9" s="23" t="s">
        <v>83</v>
      </c>
      <c r="B9" s="44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6"/>
      <c r="O9" s="47"/>
      <c r="P9" s="47"/>
      <c r="Q9" s="47"/>
      <c r="R9" s="47"/>
      <c r="S9" s="47"/>
      <c r="T9" s="47"/>
      <c r="U9" s="47"/>
      <c r="V9" s="47"/>
      <c r="W9" s="47"/>
      <c r="X9" s="47"/>
      <c r="Y9" s="48"/>
      <c r="Z9" s="44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4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</row>
    <row r="10" spans="1:49" ht="15.75" customHeight="1" x14ac:dyDescent="0.25">
      <c r="A10" s="23" t="s">
        <v>84</v>
      </c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6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8"/>
      <c r="Z10" s="44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4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</row>
    <row r="11" spans="1:49" ht="15.75" customHeight="1" x14ac:dyDescent="0.25">
      <c r="A11" s="23" t="s">
        <v>85</v>
      </c>
      <c r="B11" s="44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6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44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4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</row>
    <row r="12" spans="1:49" ht="15.75" customHeight="1" x14ac:dyDescent="0.25">
      <c r="A12" s="23" t="s">
        <v>381</v>
      </c>
      <c r="B12" s="44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6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8"/>
      <c r="Z12" s="44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4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</row>
    <row r="13" spans="1:49" ht="15.75" customHeight="1" x14ac:dyDescent="0.25">
      <c r="A13" s="25" t="s">
        <v>86</v>
      </c>
      <c r="B13" s="44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6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8"/>
      <c r="Z13" s="44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4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</row>
    <row r="14" spans="1:49" ht="15.75" customHeight="1" x14ac:dyDescent="0.25">
      <c r="A14" s="23" t="s">
        <v>87</v>
      </c>
      <c r="B14" s="44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6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8"/>
      <c r="Z14" s="44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4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</row>
    <row r="15" spans="1:49" ht="15.75" customHeight="1" x14ac:dyDescent="0.25">
      <c r="A15" s="23" t="s">
        <v>88</v>
      </c>
      <c r="B15" s="44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6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8"/>
      <c r="Z15" s="44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4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</row>
    <row r="16" spans="1:49" ht="15.75" customHeight="1" x14ac:dyDescent="0.25">
      <c r="A16" s="23" t="s">
        <v>89</v>
      </c>
      <c r="B16" s="44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6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8"/>
      <c r="Z16" s="44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4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</row>
    <row r="17" spans="1:49" ht="15.75" customHeight="1" x14ac:dyDescent="0.25">
      <c r="A17" s="23" t="s">
        <v>90</v>
      </c>
      <c r="B17" s="44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6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8"/>
      <c r="Z17" s="44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4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</row>
    <row r="18" spans="1:49" ht="15.75" customHeight="1" x14ac:dyDescent="0.25">
      <c r="A18" s="23" t="s">
        <v>91</v>
      </c>
      <c r="B18" s="44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6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8"/>
      <c r="Z18" s="44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4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</row>
    <row r="19" spans="1:49" ht="15.75" customHeight="1" x14ac:dyDescent="0.25">
      <c r="A19" s="23" t="s">
        <v>92</v>
      </c>
      <c r="B19" s="44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6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8"/>
      <c r="Z19" s="44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4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</row>
    <row r="20" spans="1:49" ht="15.75" customHeight="1" x14ac:dyDescent="0.25">
      <c r="A20" s="23" t="s">
        <v>93</v>
      </c>
      <c r="B20" s="44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6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8"/>
      <c r="Z20" s="44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4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</row>
    <row r="21" spans="1:49" ht="15.75" customHeight="1" x14ac:dyDescent="0.25">
      <c r="A21" s="25" t="s">
        <v>94</v>
      </c>
      <c r="B21" s="44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6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8"/>
      <c r="Z21" s="44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4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</row>
    <row r="22" spans="1:49" ht="15.75" customHeight="1" x14ac:dyDescent="0.25">
      <c r="A22" s="23" t="s">
        <v>95</v>
      </c>
      <c r="B22" s="44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6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8"/>
      <c r="Z22" s="44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4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</row>
    <row r="23" spans="1:49" ht="15.75" customHeight="1" x14ac:dyDescent="0.25">
      <c r="A23" s="23" t="s">
        <v>96</v>
      </c>
      <c r="B23" s="44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6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8"/>
      <c r="Z23" s="44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4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</row>
    <row r="24" spans="1:49" ht="15.75" customHeight="1" x14ac:dyDescent="0.25">
      <c r="A24" s="23" t="s">
        <v>97</v>
      </c>
      <c r="B24" s="44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6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8"/>
      <c r="Z24" s="44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4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</row>
    <row r="25" spans="1:49" ht="15.75" customHeight="1" x14ac:dyDescent="0.25">
      <c r="A25" s="23" t="s">
        <v>98</v>
      </c>
      <c r="B25" s="44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6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8"/>
      <c r="Z25" s="44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4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</row>
    <row r="26" spans="1:49" ht="15.75" customHeight="1" x14ac:dyDescent="0.25">
      <c r="A26" s="23" t="s">
        <v>99</v>
      </c>
      <c r="B26" s="4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6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8"/>
      <c r="Z26" s="44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4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</row>
    <row r="27" spans="1:49" ht="15.75" customHeight="1" x14ac:dyDescent="0.25">
      <c r="A27" s="23" t="s">
        <v>100</v>
      </c>
      <c r="B27" s="44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6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8"/>
      <c r="Z27" s="44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4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</row>
    <row r="28" spans="1:49" ht="15.75" customHeight="1" x14ac:dyDescent="0.25">
      <c r="A28" s="23" t="s">
        <v>101</v>
      </c>
      <c r="B28" s="44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6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8"/>
      <c r="Z28" s="44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4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</row>
    <row r="29" spans="1:49" ht="15.75" customHeight="1" x14ac:dyDescent="0.25">
      <c r="A29" s="25" t="s">
        <v>102</v>
      </c>
      <c r="B29" s="44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6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8"/>
      <c r="Z29" s="44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4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</row>
    <row r="30" spans="1:49" ht="15.75" customHeight="1" x14ac:dyDescent="0.25">
      <c r="A30" s="23" t="s">
        <v>103</v>
      </c>
      <c r="B30" s="44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6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8"/>
      <c r="Z30" s="44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4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</row>
    <row r="31" spans="1:49" ht="15.75" customHeight="1" x14ac:dyDescent="0.25">
      <c r="A31" s="23" t="s">
        <v>104</v>
      </c>
      <c r="B31" s="44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6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8"/>
      <c r="Z31" s="44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4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</row>
    <row r="32" spans="1:49" ht="15.75" customHeight="1" x14ac:dyDescent="0.25">
      <c r="A32" s="23" t="s">
        <v>105</v>
      </c>
      <c r="B32" s="44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6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8"/>
      <c r="Z32" s="44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4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</row>
    <row r="33" spans="1:49" ht="15.75" customHeight="1" x14ac:dyDescent="0.25">
      <c r="A33" s="25" t="s">
        <v>106</v>
      </c>
      <c r="B33" s="44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6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8"/>
      <c r="Z33" s="44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4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</row>
    <row r="34" spans="1:49" ht="15.75" customHeight="1" x14ac:dyDescent="0.25">
      <c r="A34" s="23" t="s">
        <v>107</v>
      </c>
      <c r="B34" s="44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6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8"/>
      <c r="Z34" s="44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4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</row>
    <row r="35" spans="1:49" ht="15.75" customHeight="1" x14ac:dyDescent="0.25">
      <c r="A35" s="23" t="s">
        <v>108</v>
      </c>
      <c r="B35" s="44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6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8"/>
      <c r="Z35" s="44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4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</row>
    <row r="36" spans="1:49" ht="15.75" customHeight="1" x14ac:dyDescent="0.25">
      <c r="A36" s="26" t="s">
        <v>703</v>
      </c>
      <c r="B36" s="44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6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8"/>
      <c r="Z36" s="44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4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</row>
    <row r="37" spans="1:49" ht="15.75" customHeight="1" x14ac:dyDescent="0.25">
      <c r="A37" s="23" t="s">
        <v>109</v>
      </c>
      <c r="B37" s="44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6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8"/>
      <c r="Z37" s="44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4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</row>
    <row r="38" spans="1:49" ht="15.75" customHeight="1" x14ac:dyDescent="0.25">
      <c r="A38" s="23" t="s">
        <v>110</v>
      </c>
      <c r="B38" s="44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6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8"/>
      <c r="Z38" s="44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4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</row>
    <row r="39" spans="1:49" ht="15.75" customHeight="1" x14ac:dyDescent="0.25">
      <c r="A39" s="23" t="s">
        <v>111</v>
      </c>
      <c r="B39" s="44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6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8"/>
      <c r="Z39" s="44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4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</row>
    <row r="40" spans="1:49" ht="15.75" customHeight="1" x14ac:dyDescent="0.25">
      <c r="A40" s="23" t="s">
        <v>112</v>
      </c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6"/>
      <c r="O40" s="47"/>
      <c r="P40" s="47"/>
      <c r="Q40" s="50"/>
      <c r="R40" s="47"/>
      <c r="S40" s="47"/>
      <c r="T40" s="47"/>
      <c r="U40" s="47"/>
      <c r="V40" s="47"/>
      <c r="W40" s="47"/>
      <c r="X40" s="47"/>
      <c r="Y40" s="48"/>
      <c r="Z40" s="44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4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</row>
    <row r="41" spans="1:49" ht="15.75" customHeight="1" x14ac:dyDescent="0.25">
      <c r="A41" s="23" t="s">
        <v>113</v>
      </c>
      <c r="B41" s="44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6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8"/>
      <c r="Z41" s="44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4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</row>
    <row r="42" spans="1:49" ht="15.75" customHeight="1" x14ac:dyDescent="0.25">
      <c r="A42" s="23" t="s">
        <v>114</v>
      </c>
      <c r="B42" s="44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6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8"/>
      <c r="Z42" s="44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4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</row>
    <row r="43" spans="1:49" ht="15.75" customHeight="1" x14ac:dyDescent="0.25">
      <c r="A43" s="25" t="s">
        <v>115</v>
      </c>
      <c r="B43" s="44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6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8"/>
      <c r="Z43" s="44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4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</row>
    <row r="44" spans="1:49" ht="15.75" customHeight="1" x14ac:dyDescent="0.25">
      <c r="A44" s="23" t="s">
        <v>116</v>
      </c>
      <c r="B44" s="44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6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8"/>
      <c r="Z44" s="44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4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</row>
    <row r="45" spans="1:49" ht="15.75" customHeight="1" x14ac:dyDescent="0.25">
      <c r="A45" s="23" t="s">
        <v>117</v>
      </c>
      <c r="B45" s="44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6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8"/>
      <c r="Z45" s="44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4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</row>
    <row r="46" spans="1:49" ht="15.75" customHeight="1" x14ac:dyDescent="0.25">
      <c r="A46" s="23" t="s">
        <v>118</v>
      </c>
      <c r="B46" s="44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6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8"/>
      <c r="Z46" s="44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4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</row>
    <row r="47" spans="1:49" ht="15.75" customHeight="1" x14ac:dyDescent="0.25">
      <c r="A47" s="23" t="s">
        <v>119</v>
      </c>
      <c r="B47" s="44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6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8"/>
      <c r="Z47" s="44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4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</row>
    <row r="48" spans="1:49" ht="15.75" customHeight="1" x14ac:dyDescent="0.25">
      <c r="A48" s="23" t="s">
        <v>120</v>
      </c>
      <c r="B48" s="44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6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8"/>
      <c r="Z48" s="44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4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</row>
    <row r="49" spans="1:49" ht="15.75" customHeight="1" x14ac:dyDescent="0.25">
      <c r="A49" s="25" t="s">
        <v>121</v>
      </c>
      <c r="B49" s="44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6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8"/>
      <c r="Z49" s="44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4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</row>
    <row r="50" spans="1:49" ht="15.75" customHeight="1" x14ac:dyDescent="0.25">
      <c r="A50" s="23" t="s">
        <v>122</v>
      </c>
      <c r="B50" s="44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6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8"/>
      <c r="Z50" s="44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4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</row>
    <row r="51" spans="1:49" ht="15.75" customHeight="1" x14ac:dyDescent="0.25">
      <c r="A51" s="23" t="s">
        <v>123</v>
      </c>
      <c r="B51" s="44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6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8"/>
      <c r="Z51" s="44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4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</row>
    <row r="52" spans="1:49" ht="15.75" customHeight="1" x14ac:dyDescent="0.25">
      <c r="A52" s="23" t="s">
        <v>124</v>
      </c>
      <c r="B52" s="44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6"/>
      <c r="O52" s="47"/>
      <c r="P52" s="47"/>
      <c r="Q52" s="47"/>
      <c r="R52" s="47"/>
      <c r="S52" s="47"/>
      <c r="T52" s="45"/>
      <c r="U52" s="47"/>
      <c r="V52" s="47"/>
      <c r="W52" s="47"/>
      <c r="X52" s="47"/>
      <c r="Y52" s="48"/>
      <c r="Z52" s="44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4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</row>
    <row r="53" spans="1:49" ht="15.75" customHeight="1" x14ac:dyDescent="0.25">
      <c r="A53" s="23" t="s">
        <v>125</v>
      </c>
      <c r="B53" s="44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6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8"/>
      <c r="Z53" s="44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4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</row>
    <row r="54" spans="1:49" ht="15.75" customHeight="1" x14ac:dyDescent="0.25">
      <c r="A54" s="25" t="s">
        <v>126</v>
      </c>
      <c r="B54" s="44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6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8"/>
      <c r="Z54" s="44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4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</row>
    <row r="55" spans="1:49" ht="15.75" customHeight="1" x14ac:dyDescent="0.25">
      <c r="A55" s="23" t="s">
        <v>127</v>
      </c>
      <c r="B55" s="44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6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8"/>
      <c r="Z55" s="44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4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</row>
    <row r="56" spans="1:49" ht="15.75" customHeight="1" x14ac:dyDescent="0.25">
      <c r="A56" s="23" t="s">
        <v>382</v>
      </c>
      <c r="B56" s="44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6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8"/>
      <c r="Z56" s="44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4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</row>
    <row r="57" spans="1:49" ht="15.75" customHeight="1" x14ac:dyDescent="0.25">
      <c r="A57" s="23" t="s">
        <v>128</v>
      </c>
      <c r="B57" s="44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6"/>
      <c r="O57" s="47"/>
      <c r="P57" s="45"/>
      <c r="Q57" s="47"/>
      <c r="R57" s="47"/>
      <c r="S57" s="47"/>
      <c r="T57" s="47"/>
      <c r="U57" s="47"/>
      <c r="V57" s="47"/>
      <c r="W57" s="47"/>
      <c r="X57" s="47"/>
      <c r="Y57" s="48"/>
      <c r="Z57" s="44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4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</row>
    <row r="58" spans="1:49" ht="15.75" customHeight="1" x14ac:dyDescent="0.25">
      <c r="A58" s="23" t="s">
        <v>129</v>
      </c>
      <c r="B58" s="44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6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8"/>
      <c r="Z58" s="44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4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</row>
    <row r="59" spans="1:49" ht="15.75" customHeight="1" x14ac:dyDescent="0.25">
      <c r="A59" s="23" t="s">
        <v>130</v>
      </c>
      <c r="B59" s="44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6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8"/>
      <c r="Z59" s="44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4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</row>
    <row r="60" spans="1:49" ht="15.75" customHeight="1" x14ac:dyDescent="0.25">
      <c r="A60" s="25" t="s">
        <v>131</v>
      </c>
      <c r="B60" s="44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6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8"/>
      <c r="Z60" s="44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4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</row>
    <row r="61" spans="1:49" ht="15.75" customHeight="1" x14ac:dyDescent="0.25">
      <c r="A61" s="23" t="s">
        <v>132</v>
      </c>
      <c r="B61" s="44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6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8"/>
      <c r="Z61" s="44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4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</row>
    <row r="62" spans="1:49" ht="15.75" customHeight="1" x14ac:dyDescent="0.25">
      <c r="A62" s="23" t="s">
        <v>133</v>
      </c>
      <c r="B62" s="44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6"/>
      <c r="O62" s="47"/>
      <c r="P62" s="50"/>
      <c r="Q62" s="47"/>
      <c r="R62" s="47"/>
      <c r="S62" s="47"/>
      <c r="T62" s="47"/>
      <c r="U62" s="47"/>
      <c r="V62" s="47"/>
      <c r="W62" s="47"/>
      <c r="X62" s="47"/>
      <c r="Y62" s="48"/>
      <c r="Z62" s="44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4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</row>
    <row r="63" spans="1:49" ht="15.75" customHeight="1" x14ac:dyDescent="0.25">
      <c r="A63" s="23" t="s">
        <v>383</v>
      </c>
      <c r="B63" s="44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6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8"/>
      <c r="Z63" s="44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4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</row>
    <row r="64" spans="1:49" ht="15.75" customHeight="1" x14ac:dyDescent="0.25">
      <c r="A64" s="23" t="s">
        <v>134</v>
      </c>
      <c r="B64" s="44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6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8"/>
      <c r="Z64" s="44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4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</row>
    <row r="65" spans="1:49" ht="15.75" customHeight="1" x14ac:dyDescent="0.25">
      <c r="A65" s="23" t="s">
        <v>135</v>
      </c>
      <c r="B65" s="44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6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8"/>
      <c r="Z65" s="44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4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</row>
    <row r="66" spans="1:49" ht="15.75" customHeight="1" x14ac:dyDescent="0.25">
      <c r="A66" s="23" t="s">
        <v>136</v>
      </c>
      <c r="B66" s="44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6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8"/>
      <c r="Z66" s="44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4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</row>
    <row r="67" spans="1:49" ht="15.75" customHeight="1" x14ac:dyDescent="0.25">
      <c r="A67" s="25" t="s">
        <v>137</v>
      </c>
      <c r="B67" s="44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6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8"/>
      <c r="Z67" s="44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4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</row>
    <row r="68" spans="1:49" ht="15.75" customHeight="1" x14ac:dyDescent="0.25">
      <c r="A68" s="23" t="s">
        <v>138</v>
      </c>
      <c r="B68" s="44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6"/>
      <c r="O68" s="47"/>
      <c r="P68" s="47"/>
      <c r="Q68" s="50"/>
      <c r="R68" s="47"/>
      <c r="S68" s="47"/>
      <c r="T68" s="47"/>
      <c r="U68" s="47"/>
      <c r="V68" s="47"/>
      <c r="W68" s="47"/>
      <c r="X68" s="47"/>
      <c r="Y68" s="48"/>
      <c r="Z68" s="44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4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</row>
    <row r="69" spans="1:49" ht="15.75" customHeight="1" x14ac:dyDescent="0.25">
      <c r="A69" s="23" t="s">
        <v>139</v>
      </c>
      <c r="B69" s="44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6"/>
      <c r="O69" s="47"/>
      <c r="P69" s="47"/>
      <c r="Q69" s="47"/>
      <c r="R69" s="47"/>
      <c r="S69" s="45"/>
      <c r="T69" s="45"/>
      <c r="U69" s="47"/>
      <c r="V69" s="47"/>
      <c r="W69" s="47"/>
      <c r="X69" s="47"/>
      <c r="Y69" s="48"/>
      <c r="Z69" s="44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4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</row>
    <row r="70" spans="1:49" ht="15.75" customHeight="1" x14ac:dyDescent="0.25">
      <c r="A70" s="23" t="s">
        <v>140</v>
      </c>
      <c r="B70" s="44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6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8"/>
      <c r="Z70" s="44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4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</row>
    <row r="71" spans="1:49" ht="15.75" customHeight="1" x14ac:dyDescent="0.25">
      <c r="A71" s="23" t="s">
        <v>141</v>
      </c>
      <c r="B71" s="44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6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8"/>
      <c r="Z71" s="44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4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</row>
    <row r="72" spans="1:49" ht="15.75" customHeight="1" x14ac:dyDescent="0.25">
      <c r="A72" s="23" t="s">
        <v>384</v>
      </c>
      <c r="B72" s="44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6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8"/>
      <c r="Z72" s="44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4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</row>
    <row r="73" spans="1:49" ht="15.75" customHeight="1" x14ac:dyDescent="0.25">
      <c r="A73" s="23" t="s">
        <v>142</v>
      </c>
      <c r="B73" s="44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6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8"/>
      <c r="Z73" s="44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4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</row>
    <row r="74" spans="1:49" ht="15.75" customHeight="1" x14ac:dyDescent="0.25">
      <c r="A74" s="23" t="s">
        <v>143</v>
      </c>
      <c r="B74" s="44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6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8"/>
      <c r="Z74" s="44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4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</row>
    <row r="75" spans="1:49" ht="15.75" customHeight="1" x14ac:dyDescent="0.25">
      <c r="A75" s="23" t="s">
        <v>144</v>
      </c>
      <c r="B75" s="44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6"/>
      <c r="O75" s="47"/>
      <c r="P75" s="47"/>
      <c r="Q75" s="47"/>
      <c r="R75" s="45"/>
      <c r="S75" s="47"/>
      <c r="T75" s="47"/>
      <c r="U75" s="47"/>
      <c r="V75" s="47"/>
      <c r="W75" s="47"/>
      <c r="X75" s="47"/>
      <c r="Y75" s="48"/>
      <c r="Z75" s="44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4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</row>
    <row r="76" spans="1:49" ht="15.75" customHeight="1" x14ac:dyDescent="0.25">
      <c r="A76" s="23" t="s">
        <v>145</v>
      </c>
      <c r="B76" s="44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6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8"/>
      <c r="Z76" s="44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4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</row>
    <row r="77" spans="1:49" ht="15.75" customHeight="1" x14ac:dyDescent="0.25">
      <c r="A77" s="23" t="s">
        <v>146</v>
      </c>
      <c r="B77" s="44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6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8"/>
      <c r="Z77" s="44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4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</row>
    <row r="78" spans="1:49" ht="15.75" customHeight="1" x14ac:dyDescent="0.25">
      <c r="A78" s="23" t="s">
        <v>147</v>
      </c>
      <c r="B78" s="44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6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8"/>
      <c r="Z78" s="44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4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</row>
    <row r="79" spans="1:49" ht="15.75" customHeight="1" x14ac:dyDescent="0.25">
      <c r="A79" s="23" t="s">
        <v>148</v>
      </c>
      <c r="B79" s="44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6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8"/>
      <c r="Z79" s="44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4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</row>
    <row r="80" spans="1:49" ht="15.75" customHeight="1" x14ac:dyDescent="0.25">
      <c r="A80" s="23" t="s">
        <v>149</v>
      </c>
      <c r="B80" s="44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6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8"/>
      <c r="Z80" s="44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4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</row>
    <row r="81" spans="1:49" ht="15.75" customHeight="1" x14ac:dyDescent="0.25">
      <c r="A81" s="23" t="s">
        <v>150</v>
      </c>
      <c r="B81" s="44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6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8"/>
      <c r="Z81" s="44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4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</row>
    <row r="82" spans="1:49" ht="15.75" customHeight="1" x14ac:dyDescent="0.25">
      <c r="A82" s="23" t="s">
        <v>151</v>
      </c>
      <c r="B82" s="44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6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8"/>
      <c r="Z82" s="44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4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</row>
    <row r="83" spans="1:49" ht="15.75" customHeight="1" x14ac:dyDescent="0.25">
      <c r="A83" s="23" t="s">
        <v>152</v>
      </c>
      <c r="B83" s="44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6"/>
      <c r="O83" s="47"/>
      <c r="P83" s="47"/>
      <c r="Q83" s="47"/>
      <c r="R83" s="45"/>
      <c r="S83" s="47"/>
      <c r="T83" s="47"/>
      <c r="U83" s="47"/>
      <c r="V83" s="47"/>
      <c r="W83" s="47"/>
      <c r="X83" s="47"/>
      <c r="Y83" s="48"/>
      <c r="Z83" s="44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4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</row>
    <row r="84" spans="1:49" ht="15.75" customHeight="1" x14ac:dyDescent="0.25">
      <c r="A84" s="23" t="s">
        <v>153</v>
      </c>
      <c r="B84" s="44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6"/>
      <c r="O84" s="47"/>
      <c r="P84" s="45"/>
      <c r="Q84" s="45"/>
      <c r="R84" s="47"/>
      <c r="S84" s="47"/>
      <c r="T84" s="47"/>
      <c r="U84" s="47"/>
      <c r="V84" s="47"/>
      <c r="W84" s="47"/>
      <c r="X84" s="47"/>
      <c r="Y84" s="48"/>
      <c r="Z84" s="44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4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</row>
    <row r="85" spans="1:49" ht="15.75" customHeight="1" x14ac:dyDescent="0.25">
      <c r="A85" s="23" t="s">
        <v>154</v>
      </c>
      <c r="B85" s="44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6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8"/>
      <c r="Z85" s="44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4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</row>
    <row r="86" spans="1:49" ht="15.75" customHeight="1" x14ac:dyDescent="0.25">
      <c r="A86" s="23" t="s">
        <v>155</v>
      </c>
      <c r="B86" s="44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6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8"/>
      <c r="Z86" s="44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4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</row>
    <row r="87" spans="1:49" ht="15.75" customHeight="1" x14ac:dyDescent="0.25">
      <c r="A87" s="23" t="s">
        <v>156</v>
      </c>
      <c r="B87" s="44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6"/>
      <c r="O87" s="47"/>
      <c r="P87" s="47"/>
      <c r="Q87" s="45"/>
      <c r="R87" s="47"/>
      <c r="S87" s="47"/>
      <c r="T87" s="47"/>
      <c r="U87" s="47"/>
      <c r="V87" s="47"/>
      <c r="W87" s="47"/>
      <c r="X87" s="47"/>
      <c r="Y87" s="48"/>
      <c r="Z87" s="44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4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</row>
    <row r="88" spans="1:49" ht="15.75" customHeight="1" x14ac:dyDescent="0.25">
      <c r="A88" s="23" t="s">
        <v>157</v>
      </c>
      <c r="B88" s="44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6"/>
      <c r="O88" s="47"/>
      <c r="P88" s="47"/>
      <c r="Q88" s="47"/>
      <c r="R88" s="47"/>
      <c r="S88" s="50"/>
      <c r="T88" s="47"/>
      <c r="U88" s="47"/>
      <c r="V88" s="47"/>
      <c r="W88" s="47"/>
      <c r="X88" s="47"/>
      <c r="Y88" s="48"/>
      <c r="Z88" s="44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4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</row>
    <row r="89" spans="1:49" ht="15.75" customHeight="1" x14ac:dyDescent="0.25">
      <c r="A89" s="23" t="s">
        <v>158</v>
      </c>
      <c r="B89" s="44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6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8"/>
      <c r="Z89" s="44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4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</row>
    <row r="90" spans="1:49" ht="15.75" customHeight="1" x14ac:dyDescent="0.25">
      <c r="A90" s="23" t="s">
        <v>159</v>
      </c>
      <c r="B90" s="44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6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8"/>
      <c r="Z90" s="44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4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</row>
    <row r="91" spans="1:49" ht="15.75" customHeight="1" x14ac:dyDescent="0.25">
      <c r="A91" s="25" t="s">
        <v>160</v>
      </c>
      <c r="B91" s="44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6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8"/>
      <c r="Z91" s="44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4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</row>
    <row r="92" spans="1:49" ht="15.75" customHeight="1" x14ac:dyDescent="0.25">
      <c r="A92" s="23" t="s">
        <v>161</v>
      </c>
      <c r="B92" s="44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6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8"/>
      <c r="Z92" s="44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4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</row>
    <row r="93" spans="1:49" ht="15.75" customHeight="1" x14ac:dyDescent="0.25">
      <c r="A93" s="23" t="s">
        <v>385</v>
      </c>
      <c r="B93" s="44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6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8"/>
      <c r="Z93" s="44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4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</row>
    <row r="94" spans="1:49" ht="15.75" customHeight="1" x14ac:dyDescent="0.25">
      <c r="A94" s="23" t="s">
        <v>162</v>
      </c>
      <c r="B94" s="44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6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8"/>
      <c r="Z94" s="44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4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</row>
    <row r="95" spans="1:49" ht="15.75" customHeight="1" x14ac:dyDescent="0.25">
      <c r="A95" s="23" t="s">
        <v>163</v>
      </c>
      <c r="B95" s="44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6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8"/>
      <c r="Z95" s="44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4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</row>
    <row r="96" spans="1:49" ht="15.75" customHeight="1" x14ac:dyDescent="0.25">
      <c r="A96" s="23" t="s">
        <v>164</v>
      </c>
      <c r="B96" s="44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6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8"/>
      <c r="Z96" s="44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4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</row>
    <row r="97" spans="1:49" ht="15.75" customHeight="1" x14ac:dyDescent="0.25">
      <c r="A97" s="23" t="s">
        <v>165</v>
      </c>
      <c r="B97" s="44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6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8"/>
      <c r="Z97" s="44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4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</row>
    <row r="98" spans="1:49" ht="15.75" customHeight="1" x14ac:dyDescent="0.25">
      <c r="A98" s="23" t="s">
        <v>166</v>
      </c>
      <c r="B98" s="44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6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8"/>
      <c r="Z98" s="44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4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</row>
    <row r="99" spans="1:49" ht="15.75" customHeight="1" x14ac:dyDescent="0.25">
      <c r="A99" s="23" t="s">
        <v>167</v>
      </c>
      <c r="B99" s="44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6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8"/>
      <c r="Z99" s="44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4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</row>
    <row r="100" spans="1:49" ht="15.75" customHeight="1" x14ac:dyDescent="0.25">
      <c r="A100" s="23" t="s">
        <v>168</v>
      </c>
      <c r="B100" s="44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6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8"/>
      <c r="Z100" s="44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4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</row>
    <row r="101" spans="1:49" ht="15.75" customHeight="1" x14ac:dyDescent="0.25">
      <c r="A101" s="23" t="s">
        <v>169</v>
      </c>
      <c r="B101" s="44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6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8"/>
      <c r="Z101" s="44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4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</row>
    <row r="102" spans="1:49" ht="15.75" customHeight="1" x14ac:dyDescent="0.25">
      <c r="A102" s="23" t="s">
        <v>170</v>
      </c>
      <c r="B102" s="44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6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8"/>
      <c r="Z102" s="44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4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5"/>
    </row>
    <row r="103" spans="1:49" ht="15.75" customHeight="1" x14ac:dyDescent="0.25">
      <c r="A103" s="23" t="s">
        <v>171</v>
      </c>
      <c r="B103" s="44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6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8"/>
      <c r="Z103" s="44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4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5"/>
    </row>
    <row r="104" spans="1:49" ht="15.75" customHeight="1" x14ac:dyDescent="0.25">
      <c r="A104" s="23" t="s">
        <v>172</v>
      </c>
      <c r="B104" s="44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6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8"/>
      <c r="Z104" s="44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4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</row>
    <row r="105" spans="1:49" ht="15.75" customHeight="1" x14ac:dyDescent="0.25">
      <c r="A105" s="23" t="s">
        <v>173</v>
      </c>
      <c r="B105" s="44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6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8"/>
      <c r="Z105" s="44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4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</row>
    <row r="106" spans="1:49" ht="15.75" customHeight="1" x14ac:dyDescent="0.25">
      <c r="A106" s="23" t="s">
        <v>174</v>
      </c>
      <c r="B106" s="44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6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8"/>
      <c r="Z106" s="44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4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</row>
    <row r="107" spans="1:49" ht="15.75" customHeight="1" x14ac:dyDescent="0.25">
      <c r="A107" s="23" t="s">
        <v>175</v>
      </c>
      <c r="B107" s="44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6"/>
      <c r="O107" s="47"/>
      <c r="P107" s="47"/>
      <c r="Q107" s="50"/>
      <c r="R107" s="47"/>
      <c r="S107" s="47"/>
      <c r="T107" s="47"/>
      <c r="U107" s="47"/>
      <c r="V107" s="47"/>
      <c r="W107" s="47"/>
      <c r="X107" s="47"/>
      <c r="Y107" s="48"/>
      <c r="Z107" s="44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4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</row>
    <row r="108" spans="1:49" ht="15.75" customHeight="1" x14ac:dyDescent="0.25">
      <c r="A108" s="23" t="s">
        <v>176</v>
      </c>
      <c r="B108" s="44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6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8"/>
      <c r="Z108" s="44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4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</row>
    <row r="109" spans="1:49" ht="15.75" customHeight="1" x14ac:dyDescent="0.25">
      <c r="A109" s="23" t="s">
        <v>386</v>
      </c>
      <c r="B109" s="44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6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8"/>
      <c r="Z109" s="44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4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</row>
    <row r="110" spans="1:49" ht="15.75" customHeight="1" x14ac:dyDescent="0.25">
      <c r="A110" s="23" t="s">
        <v>177</v>
      </c>
      <c r="B110" s="44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6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8"/>
      <c r="Z110" s="44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4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</row>
    <row r="111" spans="1:49" ht="15.75" customHeight="1" x14ac:dyDescent="0.25">
      <c r="A111" s="23" t="s">
        <v>178</v>
      </c>
      <c r="B111" s="44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6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8"/>
      <c r="Z111" s="44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4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</row>
    <row r="112" spans="1:49" ht="15.75" customHeight="1" x14ac:dyDescent="0.25">
      <c r="A112" s="25" t="s">
        <v>179</v>
      </c>
      <c r="B112" s="44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6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8"/>
      <c r="Z112" s="44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4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</row>
    <row r="113" spans="1:49" ht="15.75" customHeight="1" x14ac:dyDescent="0.25">
      <c r="A113" s="23" t="s">
        <v>180</v>
      </c>
      <c r="B113" s="44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6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8"/>
      <c r="Z113" s="44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4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</row>
    <row r="114" spans="1:49" ht="15.75" customHeight="1" x14ac:dyDescent="0.25">
      <c r="A114" s="23" t="s">
        <v>181</v>
      </c>
      <c r="B114" s="44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6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8"/>
      <c r="Z114" s="44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4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</row>
    <row r="115" spans="1:49" ht="15.75" customHeight="1" x14ac:dyDescent="0.25">
      <c r="A115" s="23" t="s">
        <v>182</v>
      </c>
      <c r="B115" s="44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6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8"/>
      <c r="Z115" s="44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4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</row>
    <row r="116" spans="1:49" ht="15.75" customHeight="1" x14ac:dyDescent="0.25">
      <c r="A116" s="23" t="s">
        <v>183</v>
      </c>
      <c r="B116" s="44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6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8"/>
      <c r="Z116" s="44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4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</row>
    <row r="117" spans="1:49" ht="15.75" customHeight="1" x14ac:dyDescent="0.25">
      <c r="A117" s="23" t="s">
        <v>184</v>
      </c>
      <c r="B117" s="44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6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8"/>
      <c r="Z117" s="44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4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</row>
    <row r="118" spans="1:49" ht="15.75" customHeight="1" x14ac:dyDescent="0.25">
      <c r="A118" s="23" t="s">
        <v>185</v>
      </c>
      <c r="B118" s="44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6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8"/>
      <c r="Z118" s="44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4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</row>
    <row r="119" spans="1:49" ht="15.75" customHeight="1" x14ac:dyDescent="0.25">
      <c r="A119" s="23" t="s">
        <v>186</v>
      </c>
      <c r="B119" s="44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6"/>
      <c r="O119" s="47"/>
      <c r="P119" s="47"/>
      <c r="Q119" s="45"/>
      <c r="R119" s="45"/>
      <c r="S119" s="50"/>
      <c r="T119" s="47"/>
      <c r="U119" s="47"/>
      <c r="V119" s="47"/>
      <c r="W119" s="47"/>
      <c r="X119" s="47"/>
      <c r="Y119" s="48"/>
      <c r="Z119" s="44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4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</row>
    <row r="120" spans="1:49" ht="15.75" customHeight="1" x14ac:dyDescent="0.25">
      <c r="A120" s="23" t="s">
        <v>187</v>
      </c>
      <c r="B120" s="44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6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8"/>
      <c r="Z120" s="44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4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</row>
    <row r="121" spans="1:49" ht="15.75" customHeight="1" x14ac:dyDescent="0.25">
      <c r="A121" s="23" t="s">
        <v>188</v>
      </c>
      <c r="B121" s="44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6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8"/>
      <c r="Z121" s="44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4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</row>
    <row r="122" spans="1:49" ht="15.75" customHeight="1" x14ac:dyDescent="0.25">
      <c r="A122" s="24" t="s">
        <v>189</v>
      </c>
      <c r="B122" s="44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6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8"/>
      <c r="Z122" s="44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4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</row>
    <row r="123" spans="1:49" ht="15.75" customHeight="1" x14ac:dyDescent="0.25">
      <c r="A123" s="23" t="s">
        <v>190</v>
      </c>
      <c r="B123" s="44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6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8"/>
      <c r="Z123" s="44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4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</row>
    <row r="124" spans="1:49" ht="15.75" customHeight="1" x14ac:dyDescent="0.25">
      <c r="A124" s="23" t="s">
        <v>191</v>
      </c>
      <c r="B124" s="44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6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8"/>
      <c r="Z124" s="44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4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</row>
    <row r="125" spans="1:49" ht="15.75" customHeight="1" x14ac:dyDescent="0.25">
      <c r="A125" s="23" t="s">
        <v>192</v>
      </c>
      <c r="B125" s="44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4"/>
      <c r="O125" s="45"/>
      <c r="P125" s="47"/>
      <c r="Q125" s="50"/>
      <c r="R125" s="50"/>
      <c r="S125" s="47"/>
      <c r="T125" s="47"/>
      <c r="U125" s="47"/>
      <c r="V125" s="47"/>
      <c r="W125" s="47"/>
      <c r="X125" s="47"/>
      <c r="Y125" s="48"/>
      <c r="Z125" s="44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4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</row>
    <row r="126" spans="1:49" ht="15.75" customHeight="1" x14ac:dyDescent="0.25">
      <c r="A126" s="23" t="s">
        <v>193</v>
      </c>
      <c r="B126" s="44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6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8"/>
      <c r="Z126" s="44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4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</row>
    <row r="127" spans="1:49" ht="15.75" customHeight="1" x14ac:dyDescent="0.25">
      <c r="A127" s="23" t="s">
        <v>387</v>
      </c>
      <c r="B127" s="44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6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8"/>
      <c r="Z127" s="44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4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</row>
    <row r="128" spans="1:49" ht="15.75" customHeight="1" x14ac:dyDescent="0.25">
      <c r="A128" s="27" t="s">
        <v>194</v>
      </c>
      <c r="B128" s="44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6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8"/>
      <c r="Z128" s="44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4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</row>
    <row r="129" spans="1:49" ht="15.75" customHeight="1" x14ac:dyDescent="0.25">
      <c r="A129" s="23" t="s">
        <v>195</v>
      </c>
      <c r="B129" s="44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6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8"/>
      <c r="Z129" s="44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4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</row>
    <row r="130" spans="1:49" ht="15.75" customHeight="1" x14ac:dyDescent="0.25">
      <c r="A130" s="23" t="s">
        <v>196</v>
      </c>
      <c r="B130" s="44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6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8"/>
      <c r="Z130" s="44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4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</row>
    <row r="131" spans="1:49" ht="15.75" customHeight="1" x14ac:dyDescent="0.25">
      <c r="A131" s="23" t="s">
        <v>197</v>
      </c>
      <c r="B131" s="44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6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8"/>
      <c r="Z131" s="44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4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</row>
    <row r="132" spans="1:49" ht="15.75" customHeight="1" x14ac:dyDescent="0.25">
      <c r="A132" s="23" t="s">
        <v>198</v>
      </c>
      <c r="B132" s="44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6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8"/>
      <c r="Z132" s="44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4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</row>
    <row r="133" spans="1:49" ht="15.75" customHeight="1" x14ac:dyDescent="0.25">
      <c r="A133" s="23" t="s">
        <v>199</v>
      </c>
      <c r="B133" s="44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6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8"/>
      <c r="Z133" s="44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4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</row>
    <row r="134" spans="1:49" ht="15.75" customHeight="1" x14ac:dyDescent="0.25">
      <c r="A134" s="25" t="s">
        <v>200</v>
      </c>
      <c r="B134" s="44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6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8"/>
      <c r="Z134" s="44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4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</row>
    <row r="135" spans="1:49" ht="15.75" customHeight="1" x14ac:dyDescent="0.25">
      <c r="A135" s="23" t="s">
        <v>201</v>
      </c>
      <c r="B135" s="44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6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8"/>
      <c r="Z135" s="44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4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</row>
    <row r="136" spans="1:49" ht="15.75" customHeight="1" x14ac:dyDescent="0.25">
      <c r="A136" s="23" t="s">
        <v>202</v>
      </c>
      <c r="B136" s="44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6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8"/>
      <c r="Z136" s="44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4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</row>
    <row r="137" spans="1:49" ht="15.75" customHeight="1" x14ac:dyDescent="0.25">
      <c r="A137" s="26" t="s">
        <v>704</v>
      </c>
      <c r="B137" s="44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6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8"/>
      <c r="Z137" s="44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4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</row>
    <row r="138" spans="1:49" ht="15.75" customHeight="1" x14ac:dyDescent="0.25">
      <c r="A138" s="26" t="s">
        <v>203</v>
      </c>
      <c r="B138" s="44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6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8"/>
      <c r="Z138" s="44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4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</row>
    <row r="139" spans="1:49" ht="15.75" customHeight="1" x14ac:dyDescent="0.25">
      <c r="A139" s="25" t="s">
        <v>204</v>
      </c>
      <c r="B139" s="44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6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8"/>
      <c r="Z139" s="44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4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</row>
    <row r="140" spans="1:49" ht="15.75" customHeight="1" x14ac:dyDescent="0.25">
      <c r="A140" s="25" t="s">
        <v>205</v>
      </c>
      <c r="B140" s="44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6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8"/>
      <c r="Z140" s="44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4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</row>
    <row r="141" spans="1:49" ht="15.75" customHeight="1" x14ac:dyDescent="0.25">
      <c r="A141" s="25" t="s">
        <v>206</v>
      </c>
      <c r="B141" s="44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6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8"/>
      <c r="Z141" s="44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4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</row>
    <row r="142" spans="1:49" ht="15.75" customHeight="1" x14ac:dyDescent="0.25">
      <c r="A142" s="23" t="s">
        <v>207</v>
      </c>
      <c r="B142" s="44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6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8"/>
      <c r="Z142" s="44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4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</row>
    <row r="143" spans="1:49" ht="15.75" customHeight="1" x14ac:dyDescent="0.25">
      <c r="A143" s="23" t="s">
        <v>208</v>
      </c>
      <c r="B143" s="44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6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8"/>
      <c r="Z143" s="44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4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</row>
    <row r="144" spans="1:49" ht="15.75" customHeight="1" x14ac:dyDescent="0.25">
      <c r="A144" s="25" t="s">
        <v>209</v>
      </c>
      <c r="B144" s="44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6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8"/>
      <c r="Z144" s="44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4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</row>
    <row r="145" spans="1:49" ht="15.75" customHeight="1" x14ac:dyDescent="0.25">
      <c r="A145" s="23" t="s">
        <v>210</v>
      </c>
      <c r="B145" s="44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6"/>
      <c r="O145" s="47"/>
      <c r="P145" s="47"/>
      <c r="Q145" s="45"/>
      <c r="R145" s="47"/>
      <c r="S145" s="47"/>
      <c r="T145" s="47"/>
      <c r="U145" s="47"/>
      <c r="V145" s="47"/>
      <c r="W145" s="47"/>
      <c r="X145" s="47"/>
      <c r="Y145" s="48"/>
      <c r="Z145" s="44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4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</row>
    <row r="146" spans="1:49" ht="15.75" customHeight="1" x14ac:dyDescent="0.25">
      <c r="A146" s="23" t="s">
        <v>211</v>
      </c>
      <c r="B146" s="44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6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8"/>
      <c r="Z146" s="44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4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</row>
    <row r="147" spans="1:49" ht="15.75" customHeight="1" x14ac:dyDescent="0.25">
      <c r="A147" s="23" t="s">
        <v>212</v>
      </c>
      <c r="B147" s="44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6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8"/>
      <c r="Z147" s="44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4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</row>
    <row r="148" spans="1:49" ht="15.75" customHeight="1" x14ac:dyDescent="0.25">
      <c r="A148" s="23" t="s">
        <v>213</v>
      </c>
      <c r="B148" s="44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6"/>
      <c r="O148" s="47"/>
      <c r="P148" s="47"/>
      <c r="Q148" s="47"/>
      <c r="R148" s="50"/>
      <c r="S148" s="45"/>
      <c r="T148" s="47"/>
      <c r="U148" s="47"/>
      <c r="V148" s="47"/>
      <c r="W148" s="47"/>
      <c r="X148" s="47"/>
      <c r="Y148" s="48"/>
      <c r="Z148" s="44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4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</row>
    <row r="149" spans="1:49" ht="15.75" customHeight="1" x14ac:dyDescent="0.25">
      <c r="A149" s="23" t="s">
        <v>214</v>
      </c>
      <c r="B149" s="44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6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8"/>
      <c r="Z149" s="44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4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5"/>
    </row>
    <row r="150" spans="1:49" ht="15.75" customHeight="1" x14ac:dyDescent="0.25">
      <c r="A150" s="25" t="s">
        <v>215</v>
      </c>
      <c r="B150" s="44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6"/>
      <c r="O150" s="47"/>
      <c r="P150" s="47"/>
      <c r="Q150" s="47"/>
      <c r="R150" s="47"/>
      <c r="S150" s="45"/>
      <c r="T150" s="47"/>
      <c r="U150" s="47"/>
      <c r="V150" s="47"/>
      <c r="W150" s="47"/>
      <c r="X150" s="47"/>
      <c r="Y150" s="48"/>
      <c r="Z150" s="44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4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5"/>
    </row>
    <row r="151" spans="1:49" ht="15.75" customHeight="1" x14ac:dyDescent="0.25">
      <c r="A151" s="23" t="s">
        <v>216</v>
      </c>
      <c r="B151" s="44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6"/>
      <c r="O151" s="47"/>
      <c r="P151" s="47"/>
      <c r="Q151" s="47"/>
      <c r="R151" s="47"/>
      <c r="S151" s="45"/>
      <c r="T151" s="47"/>
      <c r="U151" s="47"/>
      <c r="V151" s="47"/>
      <c r="W151" s="47"/>
      <c r="X151" s="47"/>
      <c r="Y151" s="48"/>
      <c r="Z151" s="44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4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5"/>
    </row>
    <row r="152" spans="1:49" ht="15.75" customHeight="1" x14ac:dyDescent="0.25">
      <c r="A152" s="23" t="s">
        <v>217</v>
      </c>
      <c r="B152" s="44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6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8"/>
      <c r="Z152" s="44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4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</row>
    <row r="153" spans="1:49" ht="15.75" customHeight="1" x14ac:dyDescent="0.25">
      <c r="A153" s="23" t="s">
        <v>218</v>
      </c>
      <c r="B153" s="44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6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8"/>
      <c r="Z153" s="44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4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5"/>
    </row>
    <row r="154" spans="1:49" ht="15.75" customHeight="1" x14ac:dyDescent="0.25">
      <c r="A154" s="23" t="s">
        <v>219</v>
      </c>
      <c r="B154" s="44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6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8"/>
      <c r="Z154" s="44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4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5"/>
    </row>
    <row r="155" spans="1:49" ht="15.75" customHeight="1" x14ac:dyDescent="0.25">
      <c r="A155" s="25" t="s">
        <v>220</v>
      </c>
      <c r="B155" s="44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6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8"/>
      <c r="Z155" s="44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4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</row>
    <row r="156" spans="1:49" ht="15.75" customHeight="1" x14ac:dyDescent="0.25">
      <c r="A156" s="23" t="s">
        <v>221</v>
      </c>
      <c r="B156" s="44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6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8"/>
      <c r="Z156" s="44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4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5"/>
    </row>
    <row r="157" spans="1:49" ht="15.75" customHeight="1" x14ac:dyDescent="0.25">
      <c r="A157" s="23" t="s">
        <v>222</v>
      </c>
      <c r="B157" s="44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6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8"/>
      <c r="Z157" s="44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4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</row>
    <row r="158" spans="1:49" ht="15.75" customHeight="1" x14ac:dyDescent="0.25">
      <c r="A158" s="25" t="s">
        <v>223</v>
      </c>
      <c r="B158" s="44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6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8"/>
      <c r="Z158" s="44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4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</row>
    <row r="159" spans="1:49" ht="15.75" customHeight="1" x14ac:dyDescent="0.25">
      <c r="A159" s="23" t="s">
        <v>224</v>
      </c>
      <c r="B159" s="44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6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8"/>
      <c r="Z159" s="44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4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</row>
    <row r="160" spans="1:49" ht="15.75" customHeight="1" x14ac:dyDescent="0.25">
      <c r="A160" s="23" t="s">
        <v>225</v>
      </c>
      <c r="B160" s="44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6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8"/>
      <c r="Z160" s="44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4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</row>
    <row r="161" spans="1:49" ht="15.75" customHeight="1" x14ac:dyDescent="0.25">
      <c r="A161" s="23" t="s">
        <v>226</v>
      </c>
      <c r="B161" s="44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6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8"/>
      <c r="Z161" s="44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4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</row>
    <row r="162" spans="1:49" ht="15.75" customHeight="1" x14ac:dyDescent="0.25">
      <c r="A162" s="23" t="s">
        <v>227</v>
      </c>
      <c r="B162" s="44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6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8"/>
      <c r="Z162" s="44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4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5"/>
    </row>
    <row r="163" spans="1:49" ht="15.75" customHeight="1" x14ac:dyDescent="0.25">
      <c r="A163" s="23" t="s">
        <v>228</v>
      </c>
      <c r="B163" s="44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6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8"/>
      <c r="Z163" s="44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4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</row>
    <row r="164" spans="1:49" ht="15.75" customHeight="1" x14ac:dyDescent="0.25">
      <c r="A164" s="23" t="s">
        <v>229</v>
      </c>
      <c r="B164" s="44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6"/>
      <c r="O164" s="47"/>
      <c r="P164" s="50"/>
      <c r="Q164" s="45"/>
      <c r="R164" s="45"/>
      <c r="S164" s="47"/>
      <c r="T164" s="47"/>
      <c r="U164" s="47"/>
      <c r="V164" s="47"/>
      <c r="W164" s="47"/>
      <c r="X164" s="47"/>
      <c r="Y164" s="48"/>
      <c r="Z164" s="44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4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5"/>
    </row>
    <row r="165" spans="1:49" ht="15.75" customHeight="1" x14ac:dyDescent="0.25">
      <c r="A165" s="23" t="s">
        <v>230</v>
      </c>
      <c r="B165" s="44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6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8"/>
      <c r="Z165" s="44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4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</row>
    <row r="166" spans="1:49" ht="15.75" customHeight="1" x14ac:dyDescent="0.25">
      <c r="A166" s="23" t="s">
        <v>231</v>
      </c>
      <c r="B166" s="44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6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8"/>
      <c r="Z166" s="44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4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</row>
    <row r="167" spans="1:49" ht="15.75" customHeight="1" x14ac:dyDescent="0.25">
      <c r="A167" s="23" t="s">
        <v>232</v>
      </c>
      <c r="B167" s="44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6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8"/>
      <c r="Z167" s="44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4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5"/>
    </row>
    <row r="168" spans="1:49" ht="15.75" customHeight="1" x14ac:dyDescent="0.25">
      <c r="A168" s="23" t="s">
        <v>233</v>
      </c>
      <c r="B168" s="44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6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8"/>
      <c r="Z168" s="44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4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5"/>
    </row>
    <row r="169" spans="1:49" ht="15.75" customHeight="1" x14ac:dyDescent="0.25">
      <c r="A169" s="23" t="s">
        <v>234</v>
      </c>
      <c r="B169" s="44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6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8"/>
      <c r="Z169" s="44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4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</row>
    <row r="170" spans="1:49" ht="15.75" customHeight="1" x14ac:dyDescent="0.25">
      <c r="A170" s="23" t="s">
        <v>235</v>
      </c>
      <c r="B170" s="44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6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8"/>
      <c r="Z170" s="44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4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5"/>
    </row>
    <row r="171" spans="1:49" ht="15.75" customHeight="1" x14ac:dyDescent="0.25">
      <c r="A171" s="25" t="s">
        <v>236</v>
      </c>
      <c r="B171" s="44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6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8"/>
      <c r="Z171" s="44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4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5"/>
    </row>
    <row r="172" spans="1:49" ht="15.75" customHeight="1" x14ac:dyDescent="0.25">
      <c r="A172" s="23" t="s">
        <v>237</v>
      </c>
      <c r="B172" s="44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6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8"/>
      <c r="Z172" s="44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4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5"/>
    </row>
    <row r="173" spans="1:49" ht="15.75" customHeight="1" x14ac:dyDescent="0.25">
      <c r="A173" s="23" t="s">
        <v>238</v>
      </c>
      <c r="B173" s="44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6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8"/>
      <c r="Z173" s="44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4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5"/>
    </row>
    <row r="174" spans="1:49" ht="15.75" customHeight="1" x14ac:dyDescent="0.25">
      <c r="A174" s="25" t="s">
        <v>239</v>
      </c>
      <c r="B174" s="44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6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8"/>
      <c r="Z174" s="44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4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</row>
    <row r="175" spans="1:49" ht="15.75" customHeight="1" x14ac:dyDescent="0.25">
      <c r="A175" s="23" t="s">
        <v>240</v>
      </c>
      <c r="B175" s="44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6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8"/>
      <c r="Z175" s="44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4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5"/>
    </row>
    <row r="176" spans="1:49" ht="15.75" customHeight="1" x14ac:dyDescent="0.25">
      <c r="A176" s="25" t="s">
        <v>241</v>
      </c>
      <c r="B176" s="44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6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8"/>
      <c r="Z176" s="44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4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5"/>
    </row>
    <row r="177" spans="1:49" ht="15.75" customHeight="1" x14ac:dyDescent="0.25">
      <c r="A177" s="23" t="s">
        <v>242</v>
      </c>
      <c r="B177" s="44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6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8"/>
      <c r="Z177" s="44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4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5"/>
    </row>
    <row r="178" spans="1:49" ht="15.75" customHeight="1" x14ac:dyDescent="0.25">
      <c r="A178" s="23" t="s">
        <v>243</v>
      </c>
      <c r="B178" s="44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6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8"/>
      <c r="Z178" s="44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4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</row>
    <row r="179" spans="1:49" ht="15.75" customHeight="1" x14ac:dyDescent="0.25">
      <c r="A179" s="23" t="s">
        <v>244</v>
      </c>
      <c r="B179" s="44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6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8"/>
      <c r="Z179" s="44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4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5"/>
    </row>
    <row r="180" spans="1:49" ht="15.75" customHeight="1" x14ac:dyDescent="0.25">
      <c r="A180" s="29" t="s">
        <v>694</v>
      </c>
      <c r="B180" s="44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6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8"/>
      <c r="Z180" s="44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4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</row>
    <row r="181" spans="1:49" ht="15.75" customHeight="1" x14ac:dyDescent="0.25">
      <c r="A181" s="23" t="s">
        <v>245</v>
      </c>
      <c r="B181" s="44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6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8"/>
      <c r="Z181" s="44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4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5"/>
    </row>
    <row r="182" spans="1:49" ht="15.75" customHeight="1" x14ac:dyDescent="0.25">
      <c r="A182" s="23" t="s">
        <v>246</v>
      </c>
      <c r="B182" s="44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6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8"/>
      <c r="Z182" s="44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4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5"/>
    </row>
    <row r="183" spans="1:49" ht="15.75" customHeight="1" x14ac:dyDescent="0.25">
      <c r="A183" s="23" t="s">
        <v>247</v>
      </c>
      <c r="B183" s="44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6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8"/>
      <c r="Z183" s="44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4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5"/>
    </row>
    <row r="184" spans="1:49" ht="15.75" customHeight="1" x14ac:dyDescent="0.25">
      <c r="A184" s="23" t="s">
        <v>248</v>
      </c>
      <c r="B184" s="44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6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8"/>
      <c r="Z184" s="44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4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5"/>
    </row>
    <row r="185" spans="1:49" ht="15.75" customHeight="1" x14ac:dyDescent="0.25">
      <c r="A185" s="23" t="s">
        <v>249</v>
      </c>
      <c r="B185" s="44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6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8"/>
      <c r="Z185" s="44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4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</row>
    <row r="186" spans="1:49" ht="15.75" customHeight="1" x14ac:dyDescent="0.25">
      <c r="A186" s="25" t="s">
        <v>250</v>
      </c>
      <c r="B186" s="44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6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8"/>
      <c r="Z186" s="44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4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</row>
    <row r="187" spans="1:49" ht="15.75" customHeight="1" x14ac:dyDescent="0.25">
      <c r="A187" s="23" t="s">
        <v>251</v>
      </c>
      <c r="B187" s="44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6"/>
      <c r="O187" s="47"/>
      <c r="P187" s="50"/>
      <c r="Q187" s="47"/>
      <c r="R187" s="47"/>
      <c r="S187" s="47"/>
      <c r="T187" s="47"/>
      <c r="U187" s="47"/>
      <c r="V187" s="47"/>
      <c r="W187" s="47"/>
      <c r="X187" s="47"/>
      <c r="Y187" s="48"/>
      <c r="Z187" s="44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4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5"/>
    </row>
    <row r="188" spans="1:49" ht="15.75" customHeight="1" x14ac:dyDescent="0.25">
      <c r="A188" s="25" t="s">
        <v>252</v>
      </c>
      <c r="B188" s="44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6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8"/>
      <c r="Z188" s="44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4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5"/>
    </row>
    <row r="189" spans="1:49" ht="15.75" customHeight="1" x14ac:dyDescent="0.25">
      <c r="A189" s="23" t="s">
        <v>253</v>
      </c>
      <c r="B189" s="44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6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8"/>
      <c r="Z189" s="44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4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</row>
    <row r="190" spans="1:49" ht="15.75" customHeight="1" x14ac:dyDescent="0.25">
      <c r="A190" s="23" t="s">
        <v>254</v>
      </c>
      <c r="B190" s="44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6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8"/>
      <c r="Z190" s="44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4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5"/>
    </row>
    <row r="191" spans="1:49" ht="15.75" customHeight="1" x14ac:dyDescent="0.25">
      <c r="A191" s="23" t="s">
        <v>255</v>
      </c>
      <c r="B191" s="44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6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8"/>
      <c r="Z191" s="44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4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5"/>
    </row>
    <row r="192" spans="1:49" ht="15.75" customHeight="1" x14ac:dyDescent="0.25">
      <c r="A192" s="23" t="s">
        <v>256</v>
      </c>
      <c r="B192" s="44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6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8"/>
      <c r="Z192" s="44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4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</row>
    <row r="193" spans="1:49" ht="15.75" customHeight="1" x14ac:dyDescent="0.25">
      <c r="A193" s="23" t="s">
        <v>388</v>
      </c>
      <c r="B193" s="44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6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8"/>
      <c r="Z193" s="44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4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5"/>
    </row>
    <row r="194" spans="1:49" ht="15.75" customHeight="1" x14ac:dyDescent="0.25">
      <c r="A194" s="25" t="s">
        <v>257</v>
      </c>
      <c r="B194" s="44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6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8"/>
      <c r="Z194" s="44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4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5"/>
    </row>
    <row r="195" spans="1:49" ht="15.75" customHeight="1" x14ac:dyDescent="0.25">
      <c r="A195" s="23" t="s">
        <v>258</v>
      </c>
      <c r="B195" s="44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6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8"/>
      <c r="Z195" s="44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4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</row>
    <row r="196" spans="1:49" ht="15.75" customHeight="1" x14ac:dyDescent="0.25">
      <c r="A196" s="23" t="s">
        <v>259</v>
      </c>
      <c r="B196" s="44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6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8"/>
      <c r="Z196" s="44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4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</row>
    <row r="197" spans="1:49" ht="15.75" customHeight="1" x14ac:dyDescent="0.25">
      <c r="A197" s="25" t="s">
        <v>260</v>
      </c>
      <c r="B197" s="44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6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8"/>
      <c r="Z197" s="44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4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5"/>
    </row>
    <row r="198" spans="1:49" ht="15.75" customHeight="1" x14ac:dyDescent="0.25">
      <c r="A198" s="25" t="s">
        <v>261</v>
      </c>
      <c r="B198" s="44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6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8"/>
      <c r="Z198" s="44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4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45"/>
    </row>
    <row r="199" spans="1:49" ht="15.75" customHeight="1" x14ac:dyDescent="0.25">
      <c r="A199" s="25" t="s">
        <v>262</v>
      </c>
      <c r="B199" s="44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6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8"/>
      <c r="Z199" s="44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4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</row>
    <row r="200" spans="1:49" ht="15.75" customHeight="1" x14ac:dyDescent="0.25">
      <c r="A200" s="25" t="s">
        <v>263</v>
      </c>
      <c r="B200" s="44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6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8"/>
      <c r="Z200" s="44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4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</row>
    <row r="201" spans="1:49" ht="15.75" customHeight="1" x14ac:dyDescent="0.25">
      <c r="A201" s="23" t="s">
        <v>264</v>
      </c>
      <c r="B201" s="44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6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8"/>
      <c r="Z201" s="44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4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5"/>
    </row>
    <row r="202" spans="1:49" ht="15.75" customHeight="1" x14ac:dyDescent="0.25">
      <c r="A202" s="23" t="s">
        <v>265</v>
      </c>
      <c r="B202" s="44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6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8"/>
      <c r="Z202" s="44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4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5"/>
    </row>
    <row r="203" spans="1:49" ht="15.75" customHeight="1" x14ac:dyDescent="0.25">
      <c r="A203" s="25" t="s">
        <v>266</v>
      </c>
      <c r="B203" s="44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6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8"/>
      <c r="Z203" s="44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4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</row>
    <row r="204" spans="1:49" ht="15.75" customHeight="1" x14ac:dyDescent="0.25">
      <c r="A204" s="23" t="s">
        <v>267</v>
      </c>
      <c r="B204" s="44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6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8"/>
      <c r="Z204" s="44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4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</row>
    <row r="205" spans="1:49" ht="15.75" customHeight="1" x14ac:dyDescent="0.25">
      <c r="A205" s="23" t="s">
        <v>268</v>
      </c>
      <c r="B205" s="44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6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8"/>
      <c r="Z205" s="44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4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5"/>
    </row>
    <row r="206" spans="1:49" ht="15.75" customHeight="1" x14ac:dyDescent="0.25">
      <c r="A206" s="23" t="s">
        <v>269</v>
      </c>
      <c r="B206" s="44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6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8"/>
      <c r="Z206" s="44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4"/>
      <c r="AM206" s="45"/>
      <c r="AN206" s="45"/>
      <c r="AO206" s="45"/>
      <c r="AP206" s="45"/>
      <c r="AQ206" s="45"/>
      <c r="AR206" s="45"/>
      <c r="AS206" s="45"/>
      <c r="AT206" s="45"/>
      <c r="AU206" s="45"/>
      <c r="AV206" s="45"/>
      <c r="AW206" s="45"/>
    </row>
    <row r="207" spans="1:49" ht="15.75" customHeight="1" x14ac:dyDescent="0.25">
      <c r="A207" s="23" t="s">
        <v>270</v>
      </c>
      <c r="B207" s="44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6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8"/>
      <c r="Z207" s="44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4"/>
      <c r="AM207" s="45"/>
      <c r="AN207" s="45"/>
      <c r="AO207" s="45"/>
      <c r="AP207" s="45"/>
      <c r="AQ207" s="45"/>
      <c r="AR207" s="45"/>
      <c r="AS207" s="45"/>
      <c r="AT207" s="45"/>
      <c r="AU207" s="45"/>
      <c r="AV207" s="45"/>
      <c r="AW207" s="45"/>
    </row>
    <row r="208" spans="1:49" ht="15.75" customHeight="1" x14ac:dyDescent="0.25">
      <c r="A208" s="23" t="s">
        <v>271</v>
      </c>
      <c r="B208" s="44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6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8"/>
      <c r="Z208" s="44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4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5"/>
    </row>
    <row r="209" spans="1:49" ht="15.75" customHeight="1" x14ac:dyDescent="0.25">
      <c r="A209" s="23" t="s">
        <v>272</v>
      </c>
      <c r="B209" s="44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6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8"/>
      <c r="Z209" s="44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4"/>
      <c r="AM209" s="45"/>
      <c r="AN209" s="45"/>
      <c r="AO209" s="45"/>
      <c r="AP209" s="45"/>
      <c r="AQ209" s="45"/>
      <c r="AR209" s="45"/>
      <c r="AS209" s="45"/>
      <c r="AT209" s="45"/>
      <c r="AU209" s="45"/>
      <c r="AV209" s="45"/>
      <c r="AW209" s="45"/>
    </row>
    <row r="210" spans="1:49" ht="15.75" customHeight="1" x14ac:dyDescent="0.25">
      <c r="A210" s="23" t="s">
        <v>273</v>
      </c>
      <c r="B210" s="44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6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8"/>
      <c r="Z210" s="44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4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5"/>
    </row>
    <row r="211" spans="1:49" ht="15.75" customHeight="1" x14ac:dyDescent="0.25">
      <c r="A211" s="23" t="s">
        <v>274</v>
      </c>
      <c r="B211" s="44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4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8"/>
      <c r="Z211" s="44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4"/>
      <c r="AM211" s="45"/>
      <c r="AN211" s="45"/>
      <c r="AO211" s="45"/>
      <c r="AP211" s="45"/>
      <c r="AQ211" s="45"/>
      <c r="AR211" s="45"/>
      <c r="AS211" s="45"/>
      <c r="AT211" s="45"/>
      <c r="AU211" s="45"/>
      <c r="AV211" s="45"/>
      <c r="AW211" s="45"/>
    </row>
    <row r="212" spans="1:49" ht="15.75" customHeight="1" x14ac:dyDescent="0.25">
      <c r="A212" s="23" t="s">
        <v>275</v>
      </c>
      <c r="B212" s="44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6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8"/>
      <c r="Z212" s="44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4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5"/>
    </row>
    <row r="213" spans="1:49" ht="15.75" customHeight="1" x14ac:dyDescent="0.25">
      <c r="A213" s="23" t="s">
        <v>276</v>
      </c>
      <c r="B213" s="44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6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8"/>
      <c r="Z213" s="44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4"/>
      <c r="AM213" s="45"/>
      <c r="AN213" s="45"/>
      <c r="AO213" s="45"/>
      <c r="AP213" s="45"/>
      <c r="AQ213" s="45"/>
      <c r="AR213" s="45"/>
      <c r="AS213" s="45"/>
      <c r="AT213" s="45"/>
      <c r="AU213" s="45"/>
      <c r="AV213" s="45"/>
      <c r="AW213" s="45"/>
    </row>
    <row r="214" spans="1:49" ht="15.75" customHeight="1" x14ac:dyDescent="0.25">
      <c r="A214" s="23" t="s">
        <v>277</v>
      </c>
      <c r="B214" s="44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6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8"/>
      <c r="Z214" s="44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4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  <c r="AW214" s="45"/>
    </row>
    <row r="215" spans="1:49" ht="15.75" customHeight="1" x14ac:dyDescent="0.25">
      <c r="A215" s="25" t="s">
        <v>278</v>
      </c>
      <c r="B215" s="44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6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8"/>
      <c r="Z215" s="44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4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</row>
    <row r="216" spans="1:49" ht="15.75" customHeight="1" x14ac:dyDescent="0.25">
      <c r="A216" s="23" t="s">
        <v>279</v>
      </c>
      <c r="B216" s="44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6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8"/>
      <c r="Z216" s="44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4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</row>
    <row r="217" spans="1:49" ht="15.75" customHeight="1" x14ac:dyDescent="0.25">
      <c r="A217" s="25" t="s">
        <v>280</v>
      </c>
      <c r="B217" s="44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6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8"/>
      <c r="Z217" s="44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4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</row>
    <row r="218" spans="1:49" ht="15.75" customHeight="1" x14ac:dyDescent="0.25">
      <c r="A218" s="23" t="s">
        <v>281</v>
      </c>
      <c r="B218" s="44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6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8"/>
      <c r="Z218" s="44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4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</row>
    <row r="219" spans="1:49" ht="15.75" customHeight="1" x14ac:dyDescent="0.25">
      <c r="A219" s="25" t="s">
        <v>282</v>
      </c>
      <c r="B219" s="44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6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8"/>
      <c r="Z219" s="44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4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</row>
    <row r="220" spans="1:49" ht="15.75" customHeight="1" x14ac:dyDescent="0.25">
      <c r="A220" s="23" t="s">
        <v>283</v>
      </c>
      <c r="B220" s="44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6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8"/>
      <c r="Z220" s="44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4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</row>
    <row r="221" spans="1:49" ht="15.75" customHeight="1" x14ac:dyDescent="0.25">
      <c r="A221" s="23" t="s">
        <v>284</v>
      </c>
      <c r="B221" s="44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6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8"/>
      <c r="Z221" s="44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4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</row>
    <row r="222" spans="1:49" ht="15.75" customHeight="1" x14ac:dyDescent="0.25">
      <c r="A222" s="23" t="s">
        <v>285</v>
      </c>
      <c r="B222" s="44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6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8"/>
      <c r="Z222" s="44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4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</row>
    <row r="223" spans="1:49" ht="15.75" customHeight="1" x14ac:dyDescent="0.25">
      <c r="A223" s="23" t="s">
        <v>286</v>
      </c>
      <c r="B223" s="44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6"/>
      <c r="O223" s="47"/>
      <c r="P223" s="47"/>
      <c r="Q223" s="47"/>
      <c r="R223" s="47"/>
      <c r="S223" s="45"/>
      <c r="T223" s="45"/>
      <c r="U223" s="47"/>
      <c r="V223" s="47"/>
      <c r="W223" s="47"/>
      <c r="X223" s="47"/>
      <c r="Y223" s="48"/>
      <c r="Z223" s="44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4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</row>
    <row r="224" spans="1:49" ht="15.75" customHeight="1" x14ac:dyDescent="0.25">
      <c r="A224" s="23" t="s">
        <v>287</v>
      </c>
      <c r="B224" s="44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6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8"/>
      <c r="Z224" s="44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4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</row>
    <row r="225" spans="1:49" ht="15.75" customHeight="1" x14ac:dyDescent="0.25">
      <c r="A225" s="23" t="s">
        <v>288</v>
      </c>
      <c r="B225" s="44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6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8"/>
      <c r="Z225" s="44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4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</row>
    <row r="226" spans="1:49" ht="15.75" customHeight="1" x14ac:dyDescent="0.25">
      <c r="A226" s="25" t="s">
        <v>289</v>
      </c>
      <c r="B226" s="44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6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8"/>
      <c r="Z226" s="44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4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</row>
    <row r="227" spans="1:49" ht="15.75" customHeight="1" x14ac:dyDescent="0.25">
      <c r="A227" s="23" t="s">
        <v>389</v>
      </c>
      <c r="B227" s="44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6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8"/>
      <c r="Z227" s="44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4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</row>
    <row r="228" spans="1:49" ht="15.75" customHeight="1" x14ac:dyDescent="0.25">
      <c r="A228" s="23" t="s">
        <v>290</v>
      </c>
      <c r="B228" s="44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6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8"/>
      <c r="Z228" s="44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4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</row>
    <row r="229" spans="1:49" ht="15.75" customHeight="1" x14ac:dyDescent="0.25">
      <c r="A229" s="23" t="s">
        <v>291</v>
      </c>
      <c r="B229" s="44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6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8"/>
      <c r="Z229" s="44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4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</row>
    <row r="230" spans="1:49" ht="15.75" customHeight="1" x14ac:dyDescent="0.25">
      <c r="A230" s="23" t="s">
        <v>292</v>
      </c>
      <c r="B230" s="44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6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8"/>
      <c r="Z230" s="44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4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</row>
    <row r="231" spans="1:49" ht="15.75" customHeight="1" x14ac:dyDescent="0.25">
      <c r="A231" s="23" t="s">
        <v>293</v>
      </c>
      <c r="B231" s="44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6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8"/>
      <c r="Z231" s="44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4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</row>
    <row r="232" spans="1:49" ht="15.75" customHeight="1" x14ac:dyDescent="0.25">
      <c r="A232" s="28" t="s">
        <v>294</v>
      </c>
      <c r="B232" s="44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6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8"/>
      <c r="Z232" s="44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4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</row>
    <row r="233" spans="1:49" ht="15.75" customHeight="1" x14ac:dyDescent="0.25">
      <c r="A233" s="25" t="s">
        <v>295</v>
      </c>
      <c r="B233" s="44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6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8"/>
      <c r="Z233" s="44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4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</row>
    <row r="234" spans="1:49" ht="15.75" customHeight="1" x14ac:dyDescent="0.25">
      <c r="A234" s="23" t="s">
        <v>296</v>
      </c>
      <c r="B234" s="44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6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8"/>
      <c r="Z234" s="44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4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</row>
    <row r="235" spans="1:49" ht="15.75" customHeight="1" x14ac:dyDescent="0.25">
      <c r="A235" s="23" t="s">
        <v>297</v>
      </c>
      <c r="B235" s="44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6"/>
      <c r="O235" s="47"/>
      <c r="P235" s="47"/>
      <c r="Q235" s="47"/>
      <c r="R235" s="45"/>
      <c r="S235" s="47"/>
      <c r="T235" s="45"/>
      <c r="U235" s="47"/>
      <c r="V235" s="47"/>
      <c r="W235" s="47"/>
      <c r="X235" s="47"/>
      <c r="Y235" s="48"/>
      <c r="Z235" s="44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4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</row>
    <row r="236" spans="1:49" ht="15.75" customHeight="1" x14ac:dyDescent="0.25">
      <c r="A236" s="23" t="s">
        <v>298</v>
      </c>
      <c r="B236" s="44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6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8"/>
      <c r="Z236" s="44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4"/>
      <c r="AM236" s="45"/>
      <c r="AN236" s="45"/>
      <c r="AO236" s="45"/>
      <c r="AP236" s="45"/>
      <c r="AQ236" s="45"/>
      <c r="AR236" s="45"/>
      <c r="AS236" s="45"/>
      <c r="AT236" s="45"/>
      <c r="AU236" s="45"/>
      <c r="AV236" s="45"/>
      <c r="AW236" s="45"/>
    </row>
    <row r="237" spans="1:49" ht="15.75" customHeight="1" x14ac:dyDescent="0.25">
      <c r="A237" s="25" t="s">
        <v>299</v>
      </c>
      <c r="B237" s="44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6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8"/>
      <c r="Z237" s="44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4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5"/>
    </row>
    <row r="238" spans="1:49" ht="15.75" customHeight="1" x14ac:dyDescent="0.25">
      <c r="A238" s="25" t="s">
        <v>300</v>
      </c>
      <c r="B238" s="44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6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8"/>
      <c r="Z238" s="44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4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  <c r="AW238" s="45"/>
    </row>
    <row r="239" spans="1:49" ht="15.75" customHeight="1" x14ac:dyDescent="0.25">
      <c r="A239" s="23" t="s">
        <v>301</v>
      </c>
      <c r="B239" s="44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6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8"/>
      <c r="Z239" s="44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4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</row>
    <row r="240" spans="1:49" ht="15.75" customHeight="1" x14ac:dyDescent="0.25">
      <c r="A240" s="23" t="s">
        <v>302</v>
      </c>
      <c r="B240" s="44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6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8"/>
      <c r="Z240" s="44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4"/>
      <c r="AM240" s="45"/>
      <c r="AN240" s="45"/>
      <c r="AO240" s="45"/>
      <c r="AP240" s="45"/>
      <c r="AQ240" s="45"/>
      <c r="AR240" s="45"/>
      <c r="AS240" s="45"/>
      <c r="AT240" s="45"/>
      <c r="AU240" s="45"/>
      <c r="AV240" s="45"/>
      <c r="AW240" s="45"/>
    </row>
    <row r="241" spans="1:49" ht="15.75" customHeight="1" x14ac:dyDescent="0.25">
      <c r="A241" s="23" t="s">
        <v>303</v>
      </c>
      <c r="B241" s="44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6"/>
      <c r="O241" s="47"/>
      <c r="P241" s="47"/>
      <c r="Q241" s="45"/>
      <c r="R241" s="47"/>
      <c r="S241" s="47"/>
      <c r="T241" s="47"/>
      <c r="U241" s="47"/>
      <c r="V241" s="47"/>
      <c r="W241" s="47"/>
      <c r="X241" s="47"/>
      <c r="Y241" s="48"/>
      <c r="Z241" s="44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4"/>
      <c r="AM241" s="45"/>
      <c r="AN241" s="45"/>
      <c r="AO241" s="45"/>
      <c r="AP241" s="45"/>
      <c r="AQ241" s="45"/>
      <c r="AR241" s="45"/>
      <c r="AS241" s="45"/>
      <c r="AT241" s="45"/>
      <c r="AU241" s="45"/>
      <c r="AV241" s="45"/>
      <c r="AW241" s="45"/>
    </row>
    <row r="242" spans="1:49" ht="15.75" customHeight="1" x14ac:dyDescent="0.25">
      <c r="A242" s="23" t="s">
        <v>304</v>
      </c>
      <c r="B242" s="44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6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8"/>
      <c r="Z242" s="44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4"/>
      <c r="AM242" s="45"/>
      <c r="AN242" s="45"/>
      <c r="AO242" s="45"/>
      <c r="AP242" s="45"/>
      <c r="AQ242" s="45"/>
      <c r="AR242" s="45"/>
      <c r="AS242" s="45"/>
      <c r="AT242" s="45"/>
      <c r="AU242" s="45"/>
      <c r="AV242" s="45"/>
      <c r="AW242" s="45"/>
    </row>
    <row r="243" spans="1:49" ht="14.25" customHeight="1" x14ac:dyDescent="0.25">
      <c r="A243" s="25" t="s">
        <v>305</v>
      </c>
      <c r="B243" s="44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6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8"/>
      <c r="Z243" s="44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4"/>
      <c r="AM243" s="45"/>
      <c r="AN243" s="45"/>
      <c r="AO243" s="45"/>
      <c r="AP243" s="45"/>
      <c r="AQ243" s="45"/>
      <c r="AR243" s="45"/>
      <c r="AS243" s="45"/>
      <c r="AT243" s="45"/>
      <c r="AU243" s="45"/>
      <c r="AV243" s="45"/>
      <c r="AW243" s="45"/>
    </row>
    <row r="244" spans="1:49" ht="15.75" customHeight="1" x14ac:dyDescent="0.25">
      <c r="A244" s="23" t="s">
        <v>306</v>
      </c>
      <c r="B244" s="44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6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8"/>
      <c r="Z244" s="44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4"/>
      <c r="AM244" s="45"/>
      <c r="AN244" s="45"/>
      <c r="AO244" s="45"/>
      <c r="AP244" s="45"/>
      <c r="AQ244" s="45"/>
      <c r="AR244" s="45"/>
      <c r="AS244" s="45"/>
      <c r="AT244" s="45"/>
      <c r="AU244" s="45"/>
      <c r="AV244" s="45"/>
      <c r="AW244" s="45"/>
    </row>
    <row r="245" spans="1:49" ht="15.75" customHeight="1" x14ac:dyDescent="0.25">
      <c r="A245" s="23" t="s">
        <v>307</v>
      </c>
      <c r="B245" s="44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6"/>
      <c r="O245" s="47"/>
      <c r="P245" s="47"/>
      <c r="Q245" s="47"/>
      <c r="R245" s="45"/>
      <c r="S245" s="47"/>
      <c r="T245" s="47"/>
      <c r="U245" s="47"/>
      <c r="V245" s="47"/>
      <c r="W245" s="47"/>
      <c r="X245" s="47"/>
      <c r="Y245" s="48"/>
      <c r="Z245" s="44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4"/>
      <c r="AM245" s="45"/>
      <c r="AN245" s="45"/>
      <c r="AO245" s="45"/>
      <c r="AP245" s="45"/>
      <c r="AQ245" s="45"/>
      <c r="AR245" s="45"/>
      <c r="AS245" s="45"/>
      <c r="AT245" s="45"/>
      <c r="AU245" s="45"/>
      <c r="AV245" s="45"/>
      <c r="AW245" s="45"/>
    </row>
    <row r="246" spans="1:49" ht="15.75" customHeight="1" x14ac:dyDescent="0.25">
      <c r="A246" s="23" t="s">
        <v>308</v>
      </c>
      <c r="B246" s="44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6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8"/>
      <c r="Z246" s="44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4"/>
      <c r="AM246" s="45"/>
      <c r="AN246" s="45"/>
      <c r="AO246" s="45"/>
      <c r="AP246" s="45"/>
      <c r="AQ246" s="45"/>
      <c r="AR246" s="45"/>
      <c r="AS246" s="45"/>
      <c r="AT246" s="45"/>
      <c r="AU246" s="45"/>
      <c r="AV246" s="45"/>
      <c r="AW246" s="45"/>
    </row>
    <row r="247" spans="1:49" ht="15.75" customHeight="1" x14ac:dyDescent="0.25">
      <c r="A247" s="23" t="s">
        <v>309</v>
      </c>
      <c r="B247" s="44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6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8"/>
      <c r="Z247" s="44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4"/>
      <c r="AM247" s="45"/>
      <c r="AN247" s="45"/>
      <c r="AO247" s="45"/>
      <c r="AP247" s="45"/>
      <c r="AQ247" s="45"/>
      <c r="AR247" s="45"/>
      <c r="AS247" s="45"/>
      <c r="AT247" s="45"/>
      <c r="AU247" s="45"/>
      <c r="AV247" s="45"/>
      <c r="AW247" s="45"/>
    </row>
    <row r="248" spans="1:49" ht="15.75" customHeight="1" x14ac:dyDescent="0.25">
      <c r="A248" s="23" t="s">
        <v>310</v>
      </c>
      <c r="B248" s="44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6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8"/>
      <c r="Z248" s="44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4"/>
      <c r="AM248" s="45"/>
      <c r="AN248" s="45"/>
      <c r="AO248" s="45"/>
      <c r="AP248" s="45"/>
      <c r="AQ248" s="45"/>
      <c r="AR248" s="45"/>
      <c r="AS248" s="45"/>
      <c r="AT248" s="45"/>
      <c r="AU248" s="45"/>
      <c r="AV248" s="45"/>
      <c r="AW248" s="45"/>
    </row>
    <row r="249" spans="1:49" ht="15.75" customHeight="1" x14ac:dyDescent="0.25">
      <c r="A249" s="23" t="s">
        <v>311</v>
      </c>
      <c r="B249" s="44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6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8"/>
      <c r="Z249" s="44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4"/>
      <c r="AM249" s="45"/>
      <c r="AN249" s="45"/>
      <c r="AO249" s="45"/>
      <c r="AP249" s="45"/>
      <c r="AQ249" s="45"/>
      <c r="AR249" s="45"/>
      <c r="AS249" s="45"/>
      <c r="AT249" s="45"/>
      <c r="AU249" s="45"/>
      <c r="AV249" s="45"/>
      <c r="AW249" s="45"/>
    </row>
    <row r="250" spans="1:49" ht="15.75" customHeight="1" x14ac:dyDescent="0.25">
      <c r="A250" s="23" t="s">
        <v>312</v>
      </c>
      <c r="B250" s="44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6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8"/>
      <c r="Z250" s="44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4"/>
      <c r="AM250" s="45"/>
      <c r="AN250" s="45"/>
      <c r="AO250" s="45"/>
      <c r="AP250" s="45"/>
      <c r="AQ250" s="45"/>
      <c r="AR250" s="45"/>
      <c r="AS250" s="45"/>
      <c r="AT250" s="45"/>
      <c r="AU250" s="45"/>
      <c r="AV250" s="45"/>
      <c r="AW250" s="45"/>
    </row>
    <row r="251" spans="1:49" ht="15.75" customHeight="1" x14ac:dyDescent="0.25">
      <c r="A251" s="23" t="s">
        <v>313</v>
      </c>
      <c r="B251" s="44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6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8"/>
      <c r="Z251" s="44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4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</row>
    <row r="252" spans="1:49" ht="15.75" customHeight="1" x14ac:dyDescent="0.25">
      <c r="A252" s="23" t="s">
        <v>314</v>
      </c>
      <c r="B252" s="44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6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8"/>
      <c r="Z252" s="44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4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</row>
    <row r="253" spans="1:49" ht="15.75" customHeight="1" x14ac:dyDescent="0.25">
      <c r="A253" s="23" t="s">
        <v>315</v>
      </c>
      <c r="B253" s="44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6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8"/>
      <c r="Z253" s="44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4"/>
      <c r="AM253" s="45"/>
      <c r="AN253" s="45"/>
      <c r="AO253" s="45"/>
      <c r="AP253" s="45"/>
      <c r="AQ253" s="45"/>
      <c r="AR253" s="45"/>
      <c r="AS253" s="45"/>
      <c r="AT253" s="45"/>
      <c r="AU253" s="45"/>
      <c r="AV253" s="45"/>
      <c r="AW253" s="45"/>
    </row>
    <row r="254" spans="1:49" ht="15.75" customHeight="1" x14ac:dyDescent="0.25">
      <c r="A254" s="23" t="s">
        <v>316</v>
      </c>
      <c r="B254" s="44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6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8"/>
      <c r="Z254" s="44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4"/>
      <c r="AM254" s="45"/>
      <c r="AN254" s="45"/>
      <c r="AO254" s="45"/>
      <c r="AP254" s="45"/>
      <c r="AQ254" s="45"/>
      <c r="AR254" s="45"/>
      <c r="AS254" s="45"/>
      <c r="AT254" s="45"/>
      <c r="AU254" s="45"/>
      <c r="AV254" s="45"/>
      <c r="AW254" s="45"/>
    </row>
    <row r="255" spans="1:49" ht="15.75" customHeight="1" x14ac:dyDescent="0.25">
      <c r="A255" s="23" t="s">
        <v>317</v>
      </c>
      <c r="B255" s="44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6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8"/>
      <c r="Z255" s="44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4"/>
      <c r="AM255" s="45"/>
      <c r="AN255" s="45"/>
      <c r="AO255" s="45"/>
      <c r="AP255" s="45"/>
      <c r="AQ255" s="45"/>
      <c r="AR255" s="45"/>
      <c r="AS255" s="45"/>
      <c r="AT255" s="45"/>
      <c r="AU255" s="45"/>
      <c r="AV255" s="45"/>
      <c r="AW255" s="45"/>
    </row>
    <row r="256" spans="1:49" ht="15.75" customHeight="1" x14ac:dyDescent="0.25">
      <c r="A256" s="23" t="s">
        <v>318</v>
      </c>
      <c r="B256" s="44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6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8"/>
      <c r="Z256" s="44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4"/>
      <c r="AM256" s="45"/>
      <c r="AN256" s="45"/>
      <c r="AO256" s="45"/>
      <c r="AP256" s="45"/>
      <c r="AQ256" s="45"/>
      <c r="AR256" s="45"/>
      <c r="AS256" s="45"/>
      <c r="AT256" s="45"/>
      <c r="AU256" s="45"/>
      <c r="AV256" s="45"/>
      <c r="AW256" s="45"/>
    </row>
    <row r="257" spans="1:49" ht="15.75" customHeight="1" x14ac:dyDescent="0.25">
      <c r="A257" s="23" t="s">
        <v>319</v>
      </c>
      <c r="B257" s="44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6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8"/>
      <c r="Z257" s="44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4"/>
      <c r="AM257" s="45"/>
      <c r="AN257" s="45"/>
      <c r="AO257" s="45"/>
      <c r="AP257" s="45"/>
      <c r="AQ257" s="45"/>
      <c r="AR257" s="45"/>
      <c r="AS257" s="45"/>
      <c r="AT257" s="45"/>
      <c r="AU257" s="45"/>
      <c r="AV257" s="45"/>
      <c r="AW257" s="45"/>
    </row>
    <row r="258" spans="1:49" ht="15.75" customHeight="1" x14ac:dyDescent="0.25">
      <c r="A258" s="23" t="s">
        <v>320</v>
      </c>
      <c r="B258" s="44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6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8"/>
      <c r="Z258" s="44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4"/>
      <c r="AM258" s="45"/>
      <c r="AN258" s="45"/>
      <c r="AO258" s="45"/>
      <c r="AP258" s="45"/>
      <c r="AQ258" s="45"/>
      <c r="AR258" s="45"/>
      <c r="AS258" s="45"/>
      <c r="AT258" s="45"/>
      <c r="AU258" s="45"/>
      <c r="AV258" s="45"/>
      <c r="AW258" s="45"/>
    </row>
    <row r="259" spans="1:49" ht="15.75" customHeight="1" x14ac:dyDescent="0.25">
      <c r="A259" s="29" t="s">
        <v>696</v>
      </c>
      <c r="B259" s="44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6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8"/>
      <c r="Z259" s="44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4"/>
      <c r="AM259" s="45"/>
      <c r="AN259" s="45"/>
      <c r="AO259" s="45"/>
      <c r="AP259" s="45"/>
      <c r="AQ259" s="45"/>
      <c r="AR259" s="45"/>
      <c r="AS259" s="45"/>
      <c r="AT259" s="45"/>
      <c r="AU259" s="45"/>
      <c r="AV259" s="45"/>
      <c r="AW259" s="45"/>
    </row>
    <row r="260" spans="1:49" ht="15.75" customHeight="1" x14ac:dyDescent="0.25">
      <c r="A260" s="23" t="s">
        <v>321</v>
      </c>
      <c r="B260" s="44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6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8"/>
      <c r="Z260" s="44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4"/>
      <c r="AM260" s="45"/>
      <c r="AN260" s="45"/>
      <c r="AO260" s="45"/>
      <c r="AP260" s="45"/>
      <c r="AQ260" s="45"/>
      <c r="AR260" s="45"/>
      <c r="AS260" s="45"/>
      <c r="AT260" s="45"/>
      <c r="AU260" s="45"/>
      <c r="AV260" s="45"/>
      <c r="AW260" s="45"/>
    </row>
    <row r="261" spans="1:49" ht="15.75" customHeight="1" x14ac:dyDescent="0.25">
      <c r="A261" s="23" t="s">
        <v>322</v>
      </c>
      <c r="B261" s="44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6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8"/>
      <c r="Z261" s="44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4"/>
      <c r="AM261" s="45"/>
      <c r="AN261" s="45"/>
      <c r="AO261" s="45"/>
      <c r="AP261" s="45"/>
      <c r="AQ261" s="45"/>
      <c r="AR261" s="45"/>
      <c r="AS261" s="45"/>
      <c r="AT261" s="45"/>
      <c r="AU261" s="45"/>
      <c r="AV261" s="45"/>
      <c r="AW261" s="45"/>
    </row>
    <row r="262" spans="1:49" ht="15.75" customHeight="1" x14ac:dyDescent="0.25">
      <c r="A262" s="25" t="s">
        <v>323</v>
      </c>
      <c r="B262" s="44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6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8"/>
      <c r="Z262" s="44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4"/>
      <c r="AM262" s="45"/>
      <c r="AN262" s="45"/>
      <c r="AO262" s="45"/>
      <c r="AP262" s="45"/>
      <c r="AQ262" s="45"/>
      <c r="AR262" s="45"/>
      <c r="AS262" s="45"/>
      <c r="AT262" s="45"/>
      <c r="AU262" s="45"/>
      <c r="AV262" s="45"/>
      <c r="AW262" s="45"/>
    </row>
    <row r="263" spans="1:49" ht="15.75" customHeight="1" x14ac:dyDescent="0.25">
      <c r="A263" s="23" t="s">
        <v>324</v>
      </c>
      <c r="B263" s="44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6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8"/>
      <c r="Z263" s="44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4"/>
      <c r="AM263" s="45"/>
      <c r="AN263" s="45"/>
      <c r="AO263" s="45"/>
      <c r="AP263" s="45"/>
      <c r="AQ263" s="45"/>
      <c r="AR263" s="45"/>
      <c r="AS263" s="45"/>
      <c r="AT263" s="45"/>
      <c r="AU263" s="45"/>
      <c r="AV263" s="45"/>
      <c r="AW263" s="45"/>
    </row>
    <row r="264" spans="1:49" ht="15.75" customHeight="1" x14ac:dyDescent="0.25">
      <c r="A264" s="29" t="s">
        <v>695</v>
      </c>
      <c r="B264" s="44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6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8"/>
      <c r="Z264" s="44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4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</row>
    <row r="265" spans="1:49" ht="15.75" customHeight="1" x14ac:dyDescent="0.25">
      <c r="A265" s="23" t="s">
        <v>325</v>
      </c>
      <c r="B265" s="44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6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8"/>
      <c r="Z265" s="44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4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</row>
    <row r="266" spans="1:49" ht="15.75" customHeight="1" x14ac:dyDescent="0.25">
      <c r="A266" s="23" t="s">
        <v>326</v>
      </c>
      <c r="B266" s="44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6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8"/>
      <c r="Z266" s="44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4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  <c r="AW266" s="45"/>
    </row>
    <row r="267" spans="1:49" ht="15.75" customHeight="1" x14ac:dyDescent="0.25">
      <c r="A267" s="27" t="s">
        <v>700</v>
      </c>
      <c r="B267" s="44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6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8"/>
      <c r="Z267" s="44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4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</row>
    <row r="268" spans="1:49" ht="15.75" customHeight="1" x14ac:dyDescent="0.25">
      <c r="A268" s="23" t="s">
        <v>327</v>
      </c>
      <c r="B268" s="44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6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8"/>
      <c r="Z268" s="44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4"/>
      <c r="AM268" s="45"/>
      <c r="AN268" s="45"/>
      <c r="AO268" s="45"/>
      <c r="AP268" s="45"/>
      <c r="AQ268" s="45"/>
      <c r="AR268" s="45"/>
      <c r="AS268" s="45"/>
      <c r="AT268" s="45"/>
      <c r="AU268" s="45"/>
      <c r="AV268" s="45"/>
      <c r="AW268" s="45"/>
    </row>
    <row r="269" spans="1:49" ht="15.75" customHeight="1" x14ac:dyDescent="0.25">
      <c r="A269" s="23" t="s">
        <v>328</v>
      </c>
      <c r="B269" s="44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6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8"/>
      <c r="Z269" s="44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4"/>
      <c r="AM269" s="45"/>
      <c r="AN269" s="45"/>
      <c r="AO269" s="45"/>
      <c r="AP269" s="45"/>
      <c r="AQ269" s="45"/>
      <c r="AR269" s="45"/>
      <c r="AS269" s="45"/>
      <c r="AT269" s="45"/>
      <c r="AU269" s="45"/>
      <c r="AV269" s="45"/>
      <c r="AW269" s="45"/>
    </row>
    <row r="270" spans="1:49" ht="15.75" customHeight="1" x14ac:dyDescent="0.25">
      <c r="A270" s="23" t="s">
        <v>329</v>
      </c>
      <c r="B270" s="44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6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8"/>
      <c r="Z270" s="44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4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</row>
    <row r="271" spans="1:49" ht="15.75" customHeight="1" x14ac:dyDescent="0.25">
      <c r="A271" s="23" t="s">
        <v>330</v>
      </c>
      <c r="B271" s="44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6"/>
      <c r="O271" s="47"/>
      <c r="P271" s="47"/>
      <c r="Q271" s="47"/>
      <c r="R271" s="47"/>
      <c r="S271" s="45"/>
      <c r="T271" s="45"/>
      <c r="U271" s="47"/>
      <c r="V271" s="47"/>
      <c r="W271" s="47"/>
      <c r="X271" s="47"/>
      <c r="Y271" s="48"/>
      <c r="Z271" s="44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4"/>
      <c r="AM271" s="45"/>
      <c r="AN271" s="45"/>
      <c r="AO271" s="45"/>
      <c r="AP271" s="45"/>
      <c r="AQ271" s="45"/>
      <c r="AR271" s="45"/>
      <c r="AS271" s="45"/>
      <c r="AT271" s="45"/>
      <c r="AU271" s="45"/>
      <c r="AV271" s="45"/>
      <c r="AW271" s="45"/>
    </row>
    <row r="272" spans="1:49" ht="15.75" customHeight="1" x14ac:dyDescent="0.25">
      <c r="A272" s="23" t="s">
        <v>331</v>
      </c>
      <c r="B272" s="44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6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8"/>
      <c r="Z272" s="44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4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</row>
    <row r="273" spans="1:49" ht="15.75" customHeight="1" x14ac:dyDescent="0.25">
      <c r="A273" s="23" t="s">
        <v>390</v>
      </c>
      <c r="B273" s="44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6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8"/>
      <c r="Z273" s="44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4"/>
      <c r="AM273" s="45"/>
      <c r="AN273" s="45"/>
      <c r="AO273" s="45"/>
      <c r="AP273" s="45"/>
      <c r="AQ273" s="45"/>
      <c r="AR273" s="45"/>
      <c r="AS273" s="45"/>
      <c r="AT273" s="45"/>
      <c r="AU273" s="45"/>
      <c r="AV273" s="45"/>
      <c r="AW273" s="45"/>
    </row>
    <row r="274" spans="1:49" ht="15.75" customHeight="1" x14ac:dyDescent="0.25">
      <c r="A274" s="25" t="s">
        <v>332</v>
      </c>
      <c r="B274" s="44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6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8"/>
      <c r="Z274" s="44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4"/>
      <c r="AM274" s="45"/>
      <c r="AN274" s="45"/>
      <c r="AO274" s="45"/>
      <c r="AP274" s="45"/>
      <c r="AQ274" s="45"/>
      <c r="AR274" s="45"/>
      <c r="AS274" s="45"/>
      <c r="AT274" s="45"/>
      <c r="AU274" s="45"/>
      <c r="AV274" s="45"/>
      <c r="AW274" s="45"/>
    </row>
    <row r="275" spans="1:49" ht="15.75" customHeight="1" x14ac:dyDescent="0.25">
      <c r="A275" s="25" t="s">
        <v>333</v>
      </c>
      <c r="B275" s="44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6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8"/>
      <c r="Z275" s="44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4"/>
      <c r="AM275" s="45"/>
      <c r="AN275" s="45"/>
      <c r="AO275" s="45"/>
      <c r="AP275" s="45"/>
      <c r="AQ275" s="45"/>
      <c r="AR275" s="45"/>
      <c r="AS275" s="45"/>
      <c r="AT275" s="45"/>
      <c r="AU275" s="45"/>
      <c r="AV275" s="45"/>
      <c r="AW275" s="45"/>
    </row>
    <row r="276" spans="1:49" ht="15.75" customHeight="1" x14ac:dyDescent="0.25">
      <c r="A276" s="23" t="s">
        <v>334</v>
      </c>
      <c r="B276" s="44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6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8"/>
      <c r="Z276" s="44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4"/>
      <c r="AM276" s="45"/>
      <c r="AN276" s="45"/>
      <c r="AO276" s="45"/>
      <c r="AP276" s="45"/>
      <c r="AQ276" s="45"/>
      <c r="AR276" s="45"/>
      <c r="AS276" s="45"/>
      <c r="AT276" s="45"/>
      <c r="AU276" s="45"/>
      <c r="AV276" s="45"/>
      <c r="AW276" s="45"/>
    </row>
    <row r="277" spans="1:49" ht="15.75" customHeight="1" x14ac:dyDescent="0.25">
      <c r="A277" s="23" t="s">
        <v>335</v>
      </c>
      <c r="B277" s="44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6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8"/>
      <c r="Z277" s="44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4"/>
      <c r="AM277" s="45"/>
      <c r="AN277" s="45"/>
      <c r="AO277" s="45"/>
      <c r="AP277" s="45"/>
      <c r="AQ277" s="45"/>
      <c r="AR277" s="45"/>
      <c r="AS277" s="45"/>
      <c r="AT277" s="45"/>
      <c r="AU277" s="45"/>
      <c r="AV277" s="45"/>
      <c r="AW277" s="45"/>
    </row>
    <row r="278" spans="1:49" ht="15.75" customHeight="1" x14ac:dyDescent="0.25">
      <c r="A278" s="23" t="s">
        <v>336</v>
      </c>
      <c r="B278" s="44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6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8"/>
      <c r="Z278" s="44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4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</row>
    <row r="279" spans="1:49" ht="15.75" customHeight="1" x14ac:dyDescent="0.25">
      <c r="A279" s="23" t="s">
        <v>337</v>
      </c>
      <c r="B279" s="44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6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8"/>
      <c r="Z279" s="44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4"/>
      <c r="AM279" s="45"/>
      <c r="AN279" s="45"/>
      <c r="AO279" s="45"/>
      <c r="AP279" s="45"/>
      <c r="AQ279" s="45"/>
      <c r="AR279" s="45"/>
      <c r="AS279" s="45"/>
      <c r="AT279" s="45"/>
      <c r="AU279" s="45"/>
      <c r="AV279" s="45"/>
      <c r="AW279" s="45"/>
    </row>
    <row r="280" spans="1:49" ht="15.75" customHeight="1" x14ac:dyDescent="0.25">
      <c r="A280" s="23" t="s">
        <v>338</v>
      </c>
      <c r="B280" s="44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6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8"/>
      <c r="Z280" s="44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4"/>
      <c r="AM280" s="45"/>
      <c r="AN280" s="45"/>
      <c r="AO280" s="45"/>
      <c r="AP280" s="45"/>
      <c r="AQ280" s="45"/>
      <c r="AR280" s="45"/>
      <c r="AS280" s="45"/>
      <c r="AT280" s="45"/>
      <c r="AU280" s="45"/>
      <c r="AV280" s="45"/>
      <c r="AW280" s="45"/>
    </row>
    <row r="281" spans="1:49" ht="15.75" customHeight="1" x14ac:dyDescent="0.25">
      <c r="A281" s="25" t="s">
        <v>339</v>
      </c>
      <c r="B281" s="44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6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8"/>
      <c r="Z281" s="44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4"/>
      <c r="AM281" s="45"/>
      <c r="AN281" s="45"/>
      <c r="AO281" s="45"/>
      <c r="AP281" s="45"/>
      <c r="AQ281" s="45"/>
      <c r="AR281" s="45"/>
      <c r="AS281" s="45"/>
      <c r="AT281" s="45"/>
      <c r="AU281" s="45"/>
      <c r="AV281" s="45"/>
      <c r="AW281" s="45"/>
    </row>
    <row r="282" spans="1:49" ht="15.75" customHeight="1" x14ac:dyDescent="0.25">
      <c r="A282" s="23" t="s">
        <v>340</v>
      </c>
      <c r="B282" s="44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6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8"/>
      <c r="Z282" s="44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4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</row>
    <row r="283" spans="1:49" ht="14.25" customHeight="1" x14ac:dyDescent="0.25">
      <c r="A283" s="23" t="s">
        <v>341</v>
      </c>
      <c r="B283" s="44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6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8"/>
      <c r="Z283" s="44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4"/>
      <c r="AM283" s="45"/>
      <c r="AN283" s="45"/>
      <c r="AO283" s="45"/>
      <c r="AP283" s="45"/>
      <c r="AQ283" s="45"/>
      <c r="AR283" s="45"/>
      <c r="AS283" s="45"/>
      <c r="AT283" s="45"/>
      <c r="AU283" s="45"/>
      <c r="AV283" s="45"/>
      <c r="AW283" s="45"/>
    </row>
    <row r="284" spans="1:49" ht="14.25" customHeight="1" x14ac:dyDescent="0.25">
      <c r="A284" s="23" t="s">
        <v>342</v>
      </c>
      <c r="B284" s="44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6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8"/>
      <c r="Z284" s="44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4"/>
      <c r="AM284" s="45"/>
      <c r="AN284" s="45"/>
      <c r="AO284" s="45"/>
      <c r="AP284" s="45"/>
      <c r="AQ284" s="45"/>
      <c r="AR284" s="45"/>
      <c r="AS284" s="45"/>
      <c r="AT284" s="45"/>
      <c r="AU284" s="45"/>
      <c r="AV284" s="45"/>
      <c r="AW284" s="45"/>
    </row>
    <row r="285" spans="1:49" ht="14.25" customHeight="1" x14ac:dyDescent="0.25">
      <c r="A285" s="23" t="s">
        <v>343</v>
      </c>
      <c r="B285" s="44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6"/>
      <c r="O285" s="47"/>
      <c r="P285" s="47"/>
      <c r="Q285" s="47"/>
      <c r="R285" s="50"/>
      <c r="S285" s="47"/>
      <c r="T285" s="47"/>
      <c r="U285" s="47"/>
      <c r="V285" s="47"/>
      <c r="W285" s="47"/>
      <c r="X285" s="47"/>
      <c r="Y285" s="48"/>
      <c r="Z285" s="44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4"/>
      <c r="AM285" s="45"/>
      <c r="AN285" s="45"/>
      <c r="AO285" s="45"/>
      <c r="AP285" s="45"/>
      <c r="AQ285" s="45"/>
      <c r="AR285" s="45"/>
      <c r="AS285" s="45"/>
      <c r="AT285" s="45"/>
      <c r="AU285" s="45"/>
      <c r="AV285" s="45"/>
      <c r="AW285" s="45"/>
    </row>
    <row r="286" spans="1:49" ht="14.25" customHeight="1" x14ac:dyDescent="0.25">
      <c r="A286" s="23" t="s">
        <v>344</v>
      </c>
      <c r="B286" s="44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6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8"/>
      <c r="Z286" s="44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4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</row>
    <row r="287" spans="1:49" ht="15.75" customHeight="1" x14ac:dyDescent="0.25">
      <c r="A287" s="23" t="s">
        <v>345</v>
      </c>
      <c r="B287" s="44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6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8"/>
      <c r="Z287" s="44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4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</row>
    <row r="288" spans="1:49" ht="15.75" customHeight="1" x14ac:dyDescent="0.25">
      <c r="A288" s="23" t="s">
        <v>391</v>
      </c>
      <c r="B288" s="44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6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8"/>
      <c r="Z288" s="44"/>
      <c r="AA288" s="45"/>
      <c r="AB288" s="45"/>
      <c r="AC288" s="45"/>
      <c r="AD288" s="45"/>
      <c r="AE288" s="45"/>
      <c r="AF288" s="45"/>
      <c r="AG288" s="45"/>
      <c r="AH288" s="45"/>
      <c r="AI288" s="45"/>
      <c r="AJ288" s="45"/>
      <c r="AK288" s="45"/>
      <c r="AL288" s="44"/>
      <c r="AM288" s="45"/>
      <c r="AN288" s="45"/>
      <c r="AO288" s="45"/>
      <c r="AP288" s="45"/>
      <c r="AQ288" s="45"/>
      <c r="AR288" s="45"/>
      <c r="AS288" s="45"/>
      <c r="AT288" s="45"/>
      <c r="AU288" s="45"/>
      <c r="AV288" s="45"/>
      <c r="AW288" s="45"/>
    </row>
    <row r="289" spans="1:49" ht="15.75" customHeight="1" x14ac:dyDescent="0.25">
      <c r="A289" s="23" t="s">
        <v>346</v>
      </c>
      <c r="B289" s="44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6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8"/>
      <c r="Z289" s="44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4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</row>
    <row r="290" spans="1:49" ht="15.75" customHeight="1" x14ac:dyDescent="0.25">
      <c r="A290" s="23" t="s">
        <v>347</v>
      </c>
      <c r="B290" s="44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6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8"/>
      <c r="Z290" s="44"/>
      <c r="AA290" s="45"/>
      <c r="AB290" s="45"/>
      <c r="AC290" s="45"/>
      <c r="AD290" s="45"/>
      <c r="AE290" s="45"/>
      <c r="AF290" s="45"/>
      <c r="AG290" s="45"/>
      <c r="AH290" s="45"/>
      <c r="AI290" s="45"/>
      <c r="AJ290" s="45"/>
      <c r="AK290" s="45"/>
      <c r="AL290" s="44"/>
      <c r="AM290" s="45"/>
      <c r="AN290" s="45"/>
      <c r="AO290" s="45"/>
      <c r="AP290" s="45"/>
      <c r="AQ290" s="45"/>
      <c r="AR290" s="45"/>
      <c r="AS290" s="45"/>
      <c r="AT290" s="45"/>
      <c r="AU290" s="45"/>
      <c r="AV290" s="45"/>
      <c r="AW290" s="45"/>
    </row>
    <row r="291" spans="1:49" ht="15.75" customHeight="1" x14ac:dyDescent="0.25">
      <c r="A291" s="23" t="s">
        <v>348</v>
      </c>
      <c r="B291" s="44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6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8"/>
      <c r="Z291" s="44"/>
      <c r="AA291" s="45"/>
      <c r="AB291" s="45"/>
      <c r="AC291" s="45"/>
      <c r="AD291" s="45"/>
      <c r="AE291" s="45"/>
      <c r="AF291" s="45"/>
      <c r="AG291" s="45"/>
      <c r="AH291" s="45"/>
      <c r="AI291" s="45"/>
      <c r="AJ291" s="45"/>
      <c r="AK291" s="45"/>
      <c r="AL291" s="44"/>
      <c r="AM291" s="45"/>
      <c r="AN291" s="45"/>
      <c r="AO291" s="45"/>
      <c r="AP291" s="45"/>
      <c r="AQ291" s="45"/>
      <c r="AR291" s="45"/>
      <c r="AS291" s="45"/>
      <c r="AT291" s="45"/>
      <c r="AU291" s="45"/>
      <c r="AV291" s="45"/>
      <c r="AW291" s="45"/>
    </row>
    <row r="292" spans="1:49" ht="15.75" customHeight="1" x14ac:dyDescent="0.25">
      <c r="A292" s="23" t="s">
        <v>349</v>
      </c>
      <c r="B292" s="44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6"/>
      <c r="O292" s="47"/>
      <c r="P292" s="47"/>
      <c r="Q292" s="45"/>
      <c r="R292" s="45"/>
      <c r="S292" s="47"/>
      <c r="T292" s="47"/>
      <c r="U292" s="47"/>
      <c r="V292" s="47"/>
      <c r="W292" s="47"/>
      <c r="X292" s="47"/>
      <c r="Y292" s="48"/>
      <c r="Z292" s="44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4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</row>
    <row r="293" spans="1:49" ht="15.75" customHeight="1" x14ac:dyDescent="0.25">
      <c r="A293" s="23" t="s">
        <v>350</v>
      </c>
      <c r="B293" s="44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6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8"/>
      <c r="Z293" s="44"/>
      <c r="AA293" s="45"/>
      <c r="AB293" s="45"/>
      <c r="AC293" s="45"/>
      <c r="AD293" s="45"/>
      <c r="AE293" s="45"/>
      <c r="AF293" s="45"/>
      <c r="AG293" s="45"/>
      <c r="AH293" s="45"/>
      <c r="AI293" s="45"/>
      <c r="AJ293" s="45"/>
      <c r="AK293" s="45"/>
      <c r="AL293" s="44"/>
      <c r="AM293" s="45"/>
      <c r="AN293" s="45"/>
      <c r="AO293" s="45"/>
      <c r="AP293" s="45"/>
      <c r="AQ293" s="45"/>
      <c r="AR293" s="45"/>
      <c r="AS293" s="45"/>
      <c r="AT293" s="45"/>
      <c r="AU293" s="45"/>
      <c r="AV293" s="45"/>
      <c r="AW293" s="45"/>
    </row>
    <row r="294" spans="1:49" ht="14.25" customHeight="1" x14ac:dyDescent="0.25">
      <c r="A294" s="23" t="s">
        <v>351</v>
      </c>
      <c r="B294" s="44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6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8"/>
      <c r="Z294" s="44"/>
      <c r="AA294" s="45"/>
      <c r="AB294" s="45"/>
      <c r="AC294" s="45"/>
      <c r="AD294" s="45"/>
      <c r="AE294" s="45"/>
      <c r="AF294" s="45"/>
      <c r="AG294" s="45"/>
      <c r="AH294" s="45"/>
      <c r="AI294" s="45"/>
      <c r="AJ294" s="45"/>
      <c r="AK294" s="45"/>
      <c r="AL294" s="44"/>
      <c r="AM294" s="45"/>
      <c r="AN294" s="45"/>
      <c r="AO294" s="45"/>
      <c r="AP294" s="45"/>
      <c r="AQ294" s="45"/>
      <c r="AR294" s="45"/>
      <c r="AS294" s="45"/>
      <c r="AT294" s="45"/>
      <c r="AU294" s="45"/>
      <c r="AV294" s="45"/>
      <c r="AW294" s="45"/>
    </row>
    <row r="295" spans="1:49" ht="14.25" customHeight="1" x14ac:dyDescent="0.25">
      <c r="A295" s="23" t="s">
        <v>392</v>
      </c>
      <c r="B295" s="44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6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8"/>
      <c r="Z295" s="44"/>
      <c r="AA295" s="45"/>
      <c r="AB295" s="45"/>
      <c r="AC295" s="45"/>
      <c r="AD295" s="45"/>
      <c r="AE295" s="45"/>
      <c r="AF295" s="45"/>
      <c r="AG295" s="45"/>
      <c r="AH295" s="45"/>
      <c r="AI295" s="45"/>
      <c r="AJ295" s="45"/>
      <c r="AK295" s="45"/>
      <c r="AL295" s="44"/>
      <c r="AM295" s="45"/>
      <c r="AN295" s="45"/>
      <c r="AO295" s="45"/>
      <c r="AP295" s="45"/>
      <c r="AQ295" s="45"/>
      <c r="AR295" s="45"/>
      <c r="AS295" s="45"/>
      <c r="AT295" s="45"/>
      <c r="AU295" s="45"/>
      <c r="AV295" s="45"/>
      <c r="AW295" s="45"/>
    </row>
    <row r="296" spans="1:49" ht="14.25" customHeight="1" x14ac:dyDescent="0.25">
      <c r="A296" s="23" t="s">
        <v>352</v>
      </c>
      <c r="B296" s="44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6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8"/>
      <c r="Z296" s="44"/>
      <c r="AA296" s="45"/>
      <c r="AB296" s="45"/>
      <c r="AC296" s="45"/>
      <c r="AD296" s="45"/>
      <c r="AE296" s="45"/>
      <c r="AF296" s="45"/>
      <c r="AG296" s="45"/>
      <c r="AH296" s="45"/>
      <c r="AI296" s="45"/>
      <c r="AJ296" s="45"/>
      <c r="AK296" s="45"/>
      <c r="AL296" s="44"/>
      <c r="AM296" s="45"/>
      <c r="AN296" s="45"/>
      <c r="AO296" s="45"/>
      <c r="AP296" s="45"/>
      <c r="AQ296" s="45"/>
      <c r="AR296" s="45"/>
      <c r="AS296" s="45"/>
      <c r="AT296" s="45"/>
      <c r="AU296" s="45"/>
      <c r="AV296" s="45"/>
      <c r="AW296" s="45"/>
    </row>
    <row r="297" spans="1:49" ht="14.25" customHeight="1" x14ac:dyDescent="0.25">
      <c r="A297" s="23" t="s">
        <v>353</v>
      </c>
      <c r="B297" s="44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6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8"/>
      <c r="Z297" s="44"/>
      <c r="AA297" s="45"/>
      <c r="AB297" s="45"/>
      <c r="AC297" s="45"/>
      <c r="AD297" s="45"/>
      <c r="AE297" s="45"/>
      <c r="AF297" s="45"/>
      <c r="AG297" s="45"/>
      <c r="AH297" s="45"/>
      <c r="AI297" s="45"/>
      <c r="AJ297" s="45"/>
      <c r="AK297" s="45"/>
      <c r="AL297" s="44"/>
      <c r="AM297" s="45"/>
      <c r="AN297" s="45"/>
      <c r="AO297" s="45"/>
      <c r="AP297" s="45"/>
      <c r="AQ297" s="45"/>
      <c r="AR297" s="45"/>
      <c r="AS297" s="45"/>
      <c r="AT297" s="45"/>
      <c r="AU297" s="45"/>
      <c r="AV297" s="45"/>
      <c r="AW297" s="45"/>
    </row>
    <row r="298" spans="1:49" ht="14.25" customHeight="1" x14ac:dyDescent="0.25">
      <c r="A298" s="26" t="s">
        <v>354</v>
      </c>
      <c r="B298" s="44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6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8"/>
      <c r="Z298" s="44"/>
      <c r="AA298" s="45"/>
      <c r="AB298" s="45"/>
      <c r="AC298" s="45"/>
      <c r="AD298" s="45"/>
      <c r="AE298" s="45"/>
      <c r="AF298" s="45"/>
      <c r="AG298" s="45"/>
      <c r="AH298" s="45"/>
      <c r="AI298" s="45"/>
      <c r="AJ298" s="45"/>
      <c r="AK298" s="45"/>
      <c r="AL298" s="44"/>
      <c r="AM298" s="45"/>
      <c r="AN298" s="45"/>
      <c r="AO298" s="45"/>
      <c r="AP298" s="45"/>
      <c r="AQ298" s="45"/>
      <c r="AR298" s="45"/>
      <c r="AS298" s="45"/>
      <c r="AT298" s="45"/>
      <c r="AU298" s="45"/>
      <c r="AV298" s="45"/>
      <c r="AW298" s="45"/>
    </row>
    <row r="299" spans="1:49" ht="14.25" customHeight="1" x14ac:dyDescent="0.25">
      <c r="A299" s="23" t="s">
        <v>355</v>
      </c>
      <c r="B299" s="44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6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8"/>
      <c r="Z299" s="44"/>
      <c r="AA299" s="45"/>
      <c r="AB299" s="45"/>
      <c r="AC299" s="45"/>
      <c r="AD299" s="45"/>
      <c r="AE299" s="45"/>
      <c r="AF299" s="45"/>
      <c r="AG299" s="45"/>
      <c r="AH299" s="45"/>
      <c r="AI299" s="45"/>
      <c r="AJ299" s="45"/>
      <c r="AK299" s="45"/>
      <c r="AL299" s="44"/>
      <c r="AM299" s="45"/>
      <c r="AN299" s="45"/>
      <c r="AO299" s="45"/>
      <c r="AP299" s="45"/>
      <c r="AQ299" s="45"/>
      <c r="AR299" s="45"/>
      <c r="AS299" s="45"/>
      <c r="AT299" s="45"/>
      <c r="AU299" s="45"/>
      <c r="AV299" s="45"/>
      <c r="AW299" s="45"/>
    </row>
    <row r="300" spans="1:49" ht="14.25" customHeight="1" x14ac:dyDescent="0.25">
      <c r="A300" s="23" t="s">
        <v>356</v>
      </c>
      <c r="B300" s="44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6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8"/>
      <c r="Z300" s="44"/>
      <c r="AA300" s="45"/>
      <c r="AB300" s="45"/>
      <c r="AC300" s="45"/>
      <c r="AD300" s="45"/>
      <c r="AE300" s="45"/>
      <c r="AF300" s="45"/>
      <c r="AG300" s="45"/>
      <c r="AH300" s="45"/>
      <c r="AI300" s="45"/>
      <c r="AJ300" s="45"/>
      <c r="AK300" s="45"/>
      <c r="AL300" s="44"/>
      <c r="AM300" s="45"/>
      <c r="AN300" s="45"/>
      <c r="AO300" s="45"/>
      <c r="AP300" s="45"/>
      <c r="AQ300" s="45"/>
      <c r="AR300" s="45"/>
      <c r="AS300" s="45"/>
      <c r="AT300" s="45"/>
      <c r="AU300" s="45"/>
      <c r="AV300" s="45"/>
      <c r="AW300" s="45"/>
    </row>
    <row r="301" spans="1:49" ht="14.25" customHeight="1" x14ac:dyDescent="0.25">
      <c r="A301" s="23" t="s">
        <v>357</v>
      </c>
      <c r="B301" s="44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6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8"/>
      <c r="Z301" s="44"/>
      <c r="AA301" s="45"/>
      <c r="AB301" s="45"/>
      <c r="AC301" s="45"/>
      <c r="AD301" s="45"/>
      <c r="AE301" s="45"/>
      <c r="AF301" s="45"/>
      <c r="AG301" s="45"/>
      <c r="AH301" s="45"/>
      <c r="AI301" s="45"/>
      <c r="AJ301" s="45"/>
      <c r="AK301" s="45"/>
      <c r="AL301" s="44"/>
      <c r="AM301" s="45"/>
      <c r="AN301" s="45"/>
      <c r="AO301" s="45"/>
      <c r="AP301" s="45"/>
      <c r="AQ301" s="45"/>
      <c r="AR301" s="45"/>
      <c r="AS301" s="45"/>
      <c r="AT301" s="45"/>
      <c r="AU301" s="45"/>
      <c r="AV301" s="45"/>
      <c r="AW301" s="45"/>
    </row>
    <row r="302" spans="1:49" ht="14.25" customHeight="1" x14ac:dyDescent="0.25">
      <c r="A302" s="23" t="s">
        <v>358</v>
      </c>
      <c r="B302" s="44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6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8"/>
      <c r="Z302" s="44"/>
      <c r="AA302" s="45"/>
      <c r="AB302" s="45"/>
      <c r="AC302" s="45"/>
      <c r="AD302" s="45"/>
      <c r="AE302" s="45"/>
      <c r="AF302" s="45"/>
      <c r="AG302" s="45"/>
      <c r="AH302" s="45"/>
      <c r="AI302" s="45"/>
      <c r="AJ302" s="45"/>
      <c r="AK302" s="45"/>
      <c r="AL302" s="44"/>
      <c r="AM302" s="45"/>
      <c r="AN302" s="45"/>
      <c r="AO302" s="45"/>
      <c r="AP302" s="45"/>
      <c r="AQ302" s="45"/>
      <c r="AR302" s="45"/>
      <c r="AS302" s="45"/>
      <c r="AT302" s="45"/>
      <c r="AU302" s="45"/>
      <c r="AV302" s="45"/>
      <c r="AW302" s="45"/>
    </row>
    <row r="303" spans="1:49" ht="14.25" customHeight="1" x14ac:dyDescent="0.25">
      <c r="A303" s="23" t="s">
        <v>359</v>
      </c>
      <c r="B303" s="44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6"/>
      <c r="O303" s="47"/>
      <c r="P303" s="47"/>
      <c r="Q303" s="47"/>
      <c r="R303" s="47"/>
      <c r="S303" s="45"/>
      <c r="T303" s="47"/>
      <c r="U303" s="47"/>
      <c r="V303" s="47"/>
      <c r="W303" s="47"/>
      <c r="X303" s="47"/>
      <c r="Y303" s="48"/>
      <c r="Z303" s="44"/>
      <c r="AA303" s="45"/>
      <c r="AB303" s="45"/>
      <c r="AC303" s="45"/>
      <c r="AD303" s="45"/>
      <c r="AE303" s="45"/>
      <c r="AF303" s="45"/>
      <c r="AG303" s="45"/>
      <c r="AH303" s="45"/>
      <c r="AI303" s="45"/>
      <c r="AJ303" s="45"/>
      <c r="AK303" s="45"/>
      <c r="AL303" s="44"/>
      <c r="AM303" s="45"/>
      <c r="AN303" s="45"/>
      <c r="AO303" s="45"/>
      <c r="AP303" s="45"/>
      <c r="AQ303" s="45"/>
      <c r="AR303" s="45"/>
      <c r="AS303" s="45"/>
      <c r="AT303" s="45"/>
      <c r="AU303" s="45"/>
      <c r="AV303" s="45"/>
      <c r="AW303" s="45"/>
    </row>
    <row r="304" spans="1:49" ht="14.25" customHeight="1" x14ac:dyDescent="0.25">
      <c r="A304" s="23" t="s">
        <v>360</v>
      </c>
      <c r="B304" s="44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6"/>
      <c r="O304" s="47"/>
      <c r="P304" s="47"/>
      <c r="Q304" s="47"/>
      <c r="R304" s="47"/>
      <c r="S304" s="45"/>
      <c r="T304" s="47"/>
      <c r="U304" s="47"/>
      <c r="V304" s="47"/>
      <c r="W304" s="47"/>
      <c r="X304" s="47"/>
      <c r="Y304" s="48"/>
      <c r="Z304" s="44"/>
      <c r="AA304" s="45"/>
      <c r="AB304" s="45"/>
      <c r="AC304" s="45"/>
      <c r="AD304" s="45"/>
      <c r="AE304" s="45"/>
      <c r="AF304" s="45"/>
      <c r="AG304" s="45"/>
      <c r="AH304" s="45"/>
      <c r="AI304" s="45"/>
      <c r="AJ304" s="45"/>
      <c r="AK304" s="45"/>
      <c r="AL304" s="44"/>
      <c r="AM304" s="45"/>
      <c r="AN304" s="45"/>
      <c r="AO304" s="45"/>
      <c r="AP304" s="45"/>
      <c r="AQ304" s="45"/>
      <c r="AR304" s="45"/>
      <c r="AS304" s="45"/>
      <c r="AT304" s="45"/>
      <c r="AU304" s="45"/>
      <c r="AV304" s="45"/>
      <c r="AW304" s="45"/>
    </row>
    <row r="305" spans="1:49" ht="14.25" customHeight="1" x14ac:dyDescent="0.25">
      <c r="A305" s="23" t="s">
        <v>361</v>
      </c>
      <c r="B305" s="44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6"/>
      <c r="O305" s="47"/>
      <c r="P305" s="45"/>
      <c r="Q305" s="47"/>
      <c r="R305" s="49"/>
      <c r="S305" s="47"/>
      <c r="T305" s="47"/>
      <c r="U305" s="47"/>
      <c r="V305" s="47"/>
      <c r="W305" s="47"/>
      <c r="X305" s="47"/>
      <c r="Y305" s="48"/>
      <c r="Z305" s="44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4"/>
      <c r="AM305" s="45"/>
      <c r="AN305" s="45"/>
      <c r="AO305" s="45"/>
      <c r="AP305" s="45"/>
      <c r="AQ305" s="45"/>
      <c r="AR305" s="45"/>
      <c r="AS305" s="45"/>
      <c r="AT305" s="45"/>
      <c r="AU305" s="45"/>
      <c r="AV305" s="45"/>
      <c r="AW305" s="45"/>
    </row>
    <row r="306" spans="1:49" ht="14.25" customHeight="1" x14ac:dyDescent="0.25">
      <c r="A306" s="23" t="s">
        <v>362</v>
      </c>
      <c r="B306" s="44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6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8"/>
      <c r="Z306" s="44"/>
      <c r="AA306" s="45"/>
      <c r="AB306" s="45"/>
      <c r="AC306" s="45"/>
      <c r="AD306" s="45"/>
      <c r="AE306" s="45"/>
      <c r="AF306" s="45"/>
      <c r="AG306" s="45"/>
      <c r="AH306" s="45"/>
      <c r="AI306" s="45"/>
      <c r="AJ306" s="45"/>
      <c r="AK306" s="45"/>
      <c r="AL306" s="44"/>
      <c r="AM306" s="45"/>
      <c r="AN306" s="45"/>
      <c r="AO306" s="45"/>
      <c r="AP306" s="45"/>
      <c r="AQ306" s="45"/>
      <c r="AR306" s="45"/>
      <c r="AS306" s="45"/>
      <c r="AT306" s="45"/>
      <c r="AU306" s="45"/>
      <c r="AV306" s="45"/>
      <c r="AW306" s="45"/>
    </row>
    <row r="307" spans="1:49" ht="14.25" customHeight="1" x14ac:dyDescent="0.25">
      <c r="A307" s="25" t="s">
        <v>363</v>
      </c>
      <c r="B307" s="44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6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8"/>
      <c r="Z307" s="44"/>
      <c r="AA307" s="45"/>
      <c r="AB307" s="45"/>
      <c r="AC307" s="45"/>
      <c r="AD307" s="45"/>
      <c r="AE307" s="45"/>
      <c r="AF307" s="45"/>
      <c r="AG307" s="45"/>
      <c r="AH307" s="45"/>
      <c r="AI307" s="45"/>
      <c r="AJ307" s="45"/>
      <c r="AK307" s="45"/>
      <c r="AL307" s="44"/>
      <c r="AM307" s="45"/>
      <c r="AN307" s="45"/>
      <c r="AO307" s="45"/>
      <c r="AP307" s="45"/>
      <c r="AQ307" s="45"/>
      <c r="AR307" s="45"/>
      <c r="AS307" s="45"/>
      <c r="AT307" s="45"/>
      <c r="AU307" s="45"/>
      <c r="AV307" s="45"/>
      <c r="AW307" s="45"/>
    </row>
    <row r="308" spans="1:49" ht="14.25" customHeight="1" x14ac:dyDescent="0.25">
      <c r="A308" s="27" t="s">
        <v>702</v>
      </c>
      <c r="B308" s="44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6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8"/>
      <c r="Z308" s="44"/>
      <c r="AA308" s="45"/>
      <c r="AB308" s="45"/>
      <c r="AC308" s="45"/>
      <c r="AD308" s="45"/>
      <c r="AE308" s="45"/>
      <c r="AF308" s="45"/>
      <c r="AG308" s="45"/>
      <c r="AH308" s="45"/>
      <c r="AI308" s="45"/>
      <c r="AJ308" s="45"/>
      <c r="AK308" s="45"/>
      <c r="AL308" s="44"/>
      <c r="AM308" s="45"/>
      <c r="AN308" s="45"/>
      <c r="AO308" s="45"/>
      <c r="AP308" s="45"/>
      <c r="AQ308" s="45"/>
      <c r="AR308" s="45"/>
      <c r="AS308" s="45"/>
      <c r="AT308" s="45"/>
      <c r="AU308" s="45"/>
      <c r="AV308" s="45"/>
      <c r="AW308" s="45"/>
    </row>
    <row r="309" spans="1:49" ht="14.25" customHeight="1" x14ac:dyDescent="0.25">
      <c r="A309" s="23" t="s">
        <v>364</v>
      </c>
      <c r="B309" s="44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6"/>
      <c r="O309" s="47"/>
      <c r="P309" s="47"/>
      <c r="Q309" s="47"/>
      <c r="R309" s="45"/>
      <c r="S309" s="47"/>
      <c r="T309" s="47"/>
      <c r="U309" s="47"/>
      <c r="V309" s="47"/>
      <c r="W309" s="47"/>
      <c r="X309" s="47"/>
      <c r="Y309" s="48"/>
      <c r="Z309" s="44"/>
      <c r="AA309" s="45"/>
      <c r="AB309" s="45"/>
      <c r="AC309" s="45"/>
      <c r="AD309" s="45"/>
      <c r="AE309" s="45"/>
      <c r="AF309" s="45"/>
      <c r="AG309" s="45"/>
      <c r="AH309" s="45"/>
      <c r="AI309" s="45"/>
      <c r="AJ309" s="45"/>
      <c r="AK309" s="45"/>
      <c r="AL309" s="44"/>
      <c r="AM309" s="45"/>
      <c r="AN309" s="45"/>
      <c r="AO309" s="45"/>
      <c r="AP309" s="45"/>
      <c r="AQ309" s="45"/>
      <c r="AR309" s="45"/>
      <c r="AS309" s="45"/>
      <c r="AT309" s="45"/>
      <c r="AU309" s="45"/>
      <c r="AV309" s="45"/>
      <c r="AW309" s="45"/>
    </row>
    <row r="310" spans="1:49" ht="14.25" customHeight="1" x14ac:dyDescent="0.25">
      <c r="A310" s="23" t="s">
        <v>365</v>
      </c>
      <c r="B310" s="44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6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8"/>
      <c r="Z310" s="44"/>
      <c r="AA310" s="45"/>
      <c r="AB310" s="45"/>
      <c r="AC310" s="45"/>
      <c r="AD310" s="45"/>
      <c r="AE310" s="45"/>
      <c r="AF310" s="45"/>
      <c r="AG310" s="45"/>
      <c r="AH310" s="45"/>
      <c r="AI310" s="45"/>
      <c r="AJ310" s="45"/>
      <c r="AK310" s="45"/>
      <c r="AL310" s="44"/>
      <c r="AM310" s="45"/>
      <c r="AN310" s="45"/>
      <c r="AO310" s="45"/>
      <c r="AP310" s="45"/>
      <c r="AQ310" s="45"/>
      <c r="AR310" s="45"/>
      <c r="AS310" s="45"/>
      <c r="AT310" s="45"/>
      <c r="AU310" s="45"/>
      <c r="AV310" s="45"/>
      <c r="AW310" s="45"/>
    </row>
    <row r="311" spans="1:49" ht="14.25" customHeight="1" x14ac:dyDescent="0.25">
      <c r="A311" s="23" t="s">
        <v>366</v>
      </c>
      <c r="B311" s="44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6"/>
      <c r="O311" s="47"/>
      <c r="P311" s="47"/>
      <c r="Q311" s="47"/>
      <c r="R311" s="50"/>
      <c r="S311" s="47"/>
      <c r="T311" s="47"/>
      <c r="U311" s="47"/>
      <c r="V311" s="47"/>
      <c r="W311" s="47"/>
      <c r="X311" s="47"/>
      <c r="Y311" s="48"/>
      <c r="Z311" s="44"/>
      <c r="AA311" s="45"/>
      <c r="AB311" s="45"/>
      <c r="AC311" s="45"/>
      <c r="AD311" s="45"/>
      <c r="AE311" s="45"/>
      <c r="AF311" s="45"/>
      <c r="AG311" s="45"/>
      <c r="AH311" s="45"/>
      <c r="AI311" s="45"/>
      <c r="AJ311" s="45"/>
      <c r="AK311" s="45"/>
      <c r="AL311" s="44"/>
      <c r="AM311" s="45"/>
      <c r="AN311" s="45"/>
      <c r="AO311" s="45"/>
      <c r="AP311" s="45"/>
      <c r="AQ311" s="45"/>
      <c r="AR311" s="45"/>
      <c r="AS311" s="45"/>
      <c r="AT311" s="45"/>
      <c r="AU311" s="45"/>
      <c r="AV311" s="45"/>
      <c r="AW311" s="45"/>
    </row>
  </sheetData>
  <autoFilter ref="A2:AW2" xr:uid="{00000000-0009-0000-0000-000003000000}">
    <sortState xmlns:xlrd2="http://schemas.microsoft.com/office/spreadsheetml/2017/richdata2" ref="A2:AW2">
      <sortCondition descending="1" ref="A2"/>
    </sortState>
  </autoFilter>
  <mergeCells count="4">
    <mergeCell ref="N1:Y1"/>
    <mergeCell ref="Z1:AK1"/>
    <mergeCell ref="AL1:AW1"/>
    <mergeCell ref="B1:M1"/>
  </mergeCell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A11B-D553-491B-B353-F46361877F93}">
  <sheetPr codeName="Sheet8"/>
  <dimension ref="A1:BK60"/>
  <sheetViews>
    <sheetView zoomScale="85" zoomScaleNormal="85" workbookViewId="0">
      <selection activeCell="A18" sqref="A18"/>
    </sheetView>
  </sheetViews>
  <sheetFormatPr defaultRowHeight="12.75" x14ac:dyDescent="0.2"/>
  <cols>
    <col min="1" max="1" width="22.28515625" customWidth="1"/>
    <col min="2" max="2" width="25.7109375" hidden="1" customWidth="1"/>
    <col min="3" max="3" width="22.42578125" customWidth="1"/>
    <col min="17" max="17" width="22.28515625" customWidth="1"/>
    <col min="18" max="18" width="9.140625" hidden="1" customWidth="1"/>
    <col min="19" max="19" width="22.42578125" customWidth="1"/>
    <col min="21" max="21" width="9.140625" customWidth="1"/>
    <col min="33" max="33" width="22.28515625" customWidth="1"/>
    <col min="34" max="34" width="9.140625" hidden="1" customWidth="1"/>
    <col min="35" max="35" width="22.42578125" customWidth="1"/>
    <col min="49" max="49" width="22.28515625" customWidth="1"/>
    <col min="50" max="50" width="9.140625" hidden="1" customWidth="1"/>
    <col min="51" max="51" width="22.42578125" customWidth="1"/>
  </cols>
  <sheetData>
    <row r="1" spans="1:63" ht="18" x14ac:dyDescent="0.25">
      <c r="A1" s="35"/>
      <c r="B1" s="35"/>
      <c r="C1" s="43" t="s">
        <v>3</v>
      </c>
      <c r="D1" s="54" t="s">
        <v>693</v>
      </c>
      <c r="E1" s="54"/>
      <c r="F1" s="54"/>
      <c r="G1" s="54"/>
      <c r="H1" s="54"/>
      <c r="I1" s="54"/>
      <c r="J1" s="54"/>
      <c r="K1" s="54"/>
      <c r="L1" s="54"/>
      <c r="M1" s="54"/>
      <c r="N1" s="54"/>
      <c r="O1" s="55"/>
      <c r="Q1" s="35"/>
      <c r="R1" s="35"/>
      <c r="S1" s="43" t="s">
        <v>3</v>
      </c>
      <c r="T1" s="54" t="s">
        <v>693</v>
      </c>
      <c r="U1" s="54"/>
      <c r="V1" s="54"/>
      <c r="W1" s="54"/>
      <c r="X1" s="54"/>
      <c r="Y1" s="54"/>
      <c r="Z1" s="54"/>
      <c r="AA1" s="54"/>
      <c r="AB1" s="54"/>
      <c r="AC1" s="54"/>
      <c r="AD1" s="54"/>
      <c r="AE1" s="55"/>
      <c r="AG1" s="35"/>
      <c r="AH1" s="35"/>
      <c r="AI1" s="43" t="s">
        <v>3</v>
      </c>
      <c r="AJ1" s="54" t="s">
        <v>693</v>
      </c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5"/>
      <c r="AW1" s="35"/>
      <c r="AX1" s="35"/>
      <c r="AY1" s="43" t="s">
        <v>3</v>
      </c>
      <c r="AZ1" s="54" t="s">
        <v>693</v>
      </c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5"/>
    </row>
    <row r="2" spans="1:63" ht="18" x14ac:dyDescent="0.25">
      <c r="A2" s="34"/>
      <c r="B2" s="31" cm="1">
        <f t="array" aca="1" ref="B2" ca="1">COLUMN(INDIRECT(ADDRESS(1,MATCH(CONCATENATE(C1," ",C2),Overview!$A$1:$GBQ$1,0),4)))</f>
        <v>2</v>
      </c>
      <c r="C2" s="41">
        <v>1</v>
      </c>
      <c r="D2" s="30" t="s">
        <v>681</v>
      </c>
      <c r="E2" s="30" t="s">
        <v>682</v>
      </c>
      <c r="F2" s="30" t="s">
        <v>683</v>
      </c>
      <c r="G2" s="30" t="s">
        <v>684</v>
      </c>
      <c r="H2" s="30" t="s">
        <v>685</v>
      </c>
      <c r="I2" s="30" t="s">
        <v>686</v>
      </c>
      <c r="J2" s="30" t="s">
        <v>687</v>
      </c>
      <c r="K2" s="30" t="s">
        <v>688</v>
      </c>
      <c r="L2" s="30" t="s">
        <v>689</v>
      </c>
      <c r="M2" s="30" t="s">
        <v>690</v>
      </c>
      <c r="N2" s="30" t="s">
        <v>691</v>
      </c>
      <c r="O2" s="36" t="s">
        <v>692</v>
      </c>
      <c r="Q2" s="34"/>
      <c r="R2" s="31" cm="1">
        <f t="array" aca="1" ref="R2" ca="1">COLUMN(INDIRECT(ADDRESS(1,MATCH(CONCATENATE(S1," ",S2),Overview!$A$1:$GBQ$1,0),4)))</f>
        <v>14</v>
      </c>
      <c r="S2" s="41">
        <v>2</v>
      </c>
      <c r="T2" s="30" t="s">
        <v>681</v>
      </c>
      <c r="U2" s="30" t="s">
        <v>682</v>
      </c>
      <c r="V2" s="30" t="s">
        <v>683</v>
      </c>
      <c r="W2" s="30" t="s">
        <v>684</v>
      </c>
      <c r="X2" s="30" t="s">
        <v>685</v>
      </c>
      <c r="Y2" s="30" t="s">
        <v>686</v>
      </c>
      <c r="Z2" s="30" t="s">
        <v>687</v>
      </c>
      <c r="AA2" s="30" t="s">
        <v>688</v>
      </c>
      <c r="AB2" s="30" t="s">
        <v>689</v>
      </c>
      <c r="AC2" s="30" t="s">
        <v>690</v>
      </c>
      <c r="AD2" s="30" t="s">
        <v>691</v>
      </c>
      <c r="AE2" s="36" t="s">
        <v>692</v>
      </c>
      <c r="AG2" s="34"/>
      <c r="AH2" s="31" cm="1">
        <f t="array" aca="1" ref="AH2" ca="1">COLUMN(INDIRECT(ADDRESS(1,MATCH(CONCATENATE(AI1," ",AI2),Overview!$A$1:$GBQ$1,0),4)))</f>
        <v>26</v>
      </c>
      <c r="AI2" s="42" t="s">
        <v>683</v>
      </c>
      <c r="AJ2" s="30" t="s">
        <v>681</v>
      </c>
      <c r="AK2" s="30" t="s">
        <v>682</v>
      </c>
      <c r="AL2" s="30" t="s">
        <v>683</v>
      </c>
      <c r="AM2" s="30" t="s">
        <v>684</v>
      </c>
      <c r="AN2" s="30" t="s">
        <v>685</v>
      </c>
      <c r="AO2" s="30" t="s">
        <v>686</v>
      </c>
      <c r="AP2" s="30" t="s">
        <v>687</v>
      </c>
      <c r="AQ2" s="30" t="s">
        <v>688</v>
      </c>
      <c r="AR2" s="30" t="s">
        <v>689</v>
      </c>
      <c r="AS2" s="30" t="s">
        <v>690</v>
      </c>
      <c r="AT2" s="30" t="s">
        <v>691</v>
      </c>
      <c r="AU2" s="36" t="s">
        <v>692</v>
      </c>
      <c r="AW2" s="34"/>
      <c r="AX2" s="31" cm="1">
        <f t="array" aca="1" ref="AX2" ca="1">COLUMN(INDIRECT(ADDRESS(1,MATCH(CONCATENATE(AY1," ",AY2),Overview!$A$1:$GBQ$1,0),4)))</f>
        <v>38</v>
      </c>
      <c r="AY2" s="42" t="s">
        <v>684</v>
      </c>
      <c r="AZ2" s="30" t="s">
        <v>681</v>
      </c>
      <c r="BA2" s="30" t="s">
        <v>682</v>
      </c>
      <c r="BB2" s="30" t="s">
        <v>683</v>
      </c>
      <c r="BC2" s="30" t="s">
        <v>684</v>
      </c>
      <c r="BD2" s="30" t="s">
        <v>685</v>
      </c>
      <c r="BE2" s="30" t="s">
        <v>686</v>
      </c>
      <c r="BF2" s="30" t="s">
        <v>687</v>
      </c>
      <c r="BG2" s="30" t="s">
        <v>688</v>
      </c>
      <c r="BH2" s="30" t="s">
        <v>689</v>
      </c>
      <c r="BI2" s="30" t="s">
        <v>690</v>
      </c>
      <c r="BJ2" s="30" t="s">
        <v>691</v>
      </c>
      <c r="BK2" s="36" t="s">
        <v>692</v>
      </c>
    </row>
    <row r="3" spans="1:63" x14ac:dyDescent="0.2">
      <c r="A3" s="37" t="str">
        <f>_xlfn.IFNA(VLOOKUP(C3,'Abbrevation full name'!$A$3:$B$351,2,FALSE),"")</f>
        <v/>
      </c>
      <c r="B3" s="37" t="str">
        <f>IF(ISBLANK(C3),"",MATCH(A3,Overview!$A:$A,0))</f>
        <v/>
      </c>
      <c r="C3" s="40"/>
      <c r="F3" s="40"/>
      <c r="O3" s="38"/>
      <c r="Q3" s="37" t="str">
        <f>_xlfn.IFNA(VLOOKUP(S3,'Abbrevation full name'!$A$3:$B$351,2,FALSE),"")</f>
        <v/>
      </c>
      <c r="R3" s="37" t="str">
        <f>IF(ISBLANK(S3),"",MATCH(Q3,Overview!$A:$A,0))</f>
        <v/>
      </c>
      <c r="S3" s="40"/>
      <c r="V3" s="40"/>
      <c r="AE3" s="38"/>
      <c r="AG3" s="37" t="str">
        <f>_xlfn.IFNA(VLOOKUP(AI3,'Abbrevation full name'!$A$3:$B$351,2,FALSE),"")</f>
        <v/>
      </c>
      <c r="AH3" s="37" t="str">
        <f>IF(ISBLANK(AI3),"",MATCH(AG3,Overview!$A:$A,0))</f>
        <v/>
      </c>
      <c r="AI3" s="40"/>
      <c r="AL3" s="40"/>
      <c r="AU3" s="38"/>
      <c r="AW3" s="37" t="str">
        <f>_xlfn.IFNA(VLOOKUP(AY3,'Abbrevation full name'!$A$3:$B$351,2,FALSE),"")</f>
        <v/>
      </c>
      <c r="AX3" s="37" t="str">
        <f>IF(ISBLANK(AY3),"",MATCH(AW3,Overview!$A:$A,0))</f>
        <v/>
      </c>
      <c r="AY3" s="40"/>
      <c r="BB3" s="40"/>
      <c r="BK3" s="38"/>
    </row>
    <row r="4" spans="1:63" x14ac:dyDescent="0.2">
      <c r="A4" s="37" t="str">
        <f>_xlfn.IFNA(VLOOKUP(C4,'Abbrevation full name'!$A$3:$B$351,2,FALSE),"")</f>
        <v/>
      </c>
      <c r="B4" s="37" t="str">
        <f>IF(ISBLANK(C4),"",MATCH(A4,Overview!A:A,0))</f>
        <v/>
      </c>
      <c r="C4" s="40"/>
      <c r="O4" s="38"/>
      <c r="Q4" s="37" t="str">
        <f>_xlfn.IFNA(VLOOKUP(S4,'Abbrevation full name'!$A$3:$B$351,2,FALSE),"")</f>
        <v/>
      </c>
      <c r="R4" s="37" t="str">
        <f>IF(ISBLANK(S4),"",MATCH(Q4,Overview!$A:$A,0))</f>
        <v/>
      </c>
      <c r="AE4" s="38"/>
      <c r="AG4" s="37" t="str">
        <f>_xlfn.IFNA(VLOOKUP(AI4,'Abbrevation full name'!$A$3:$B$351,2,FALSE),"")</f>
        <v/>
      </c>
      <c r="AH4" s="37" t="str">
        <f>IF(ISBLANK(AI4),"",MATCH(AG4,Overview!$A:$A,0))</f>
        <v/>
      </c>
      <c r="AU4" s="38"/>
      <c r="AW4" s="37" t="str">
        <f>_xlfn.IFNA(VLOOKUP(AY4,'Abbrevation full name'!$A$3:$B$351,2,FALSE),"")</f>
        <v/>
      </c>
      <c r="AX4" s="37" t="str">
        <f>IF(ISBLANK(AY4),"",MATCH(AW4,Overview!$A:$A,0))</f>
        <v/>
      </c>
      <c r="AY4" s="40"/>
      <c r="BK4" s="38"/>
    </row>
    <row r="5" spans="1:63" x14ac:dyDescent="0.2">
      <c r="A5" s="37" t="str">
        <f>_xlfn.IFNA(VLOOKUP(C5,'Abbrevation full name'!$A$3:$B$351,2,FALSE),"")</f>
        <v/>
      </c>
      <c r="B5" s="37" t="str">
        <f>IF(ISBLANK(C5),"",MATCH(A5,Overview!A:A,0))</f>
        <v/>
      </c>
      <c r="C5" s="40"/>
      <c r="O5" s="38"/>
      <c r="Q5" s="37" t="str">
        <f>_xlfn.IFNA(VLOOKUP(S5,'Abbrevation full name'!$A$3:$B$351,2,FALSE),"")</f>
        <v/>
      </c>
      <c r="R5" s="37" t="str">
        <f>IF(ISBLANK(S5),"",MATCH(Q5,Overview!$A:$A,0))</f>
        <v/>
      </c>
      <c r="AE5" s="38"/>
      <c r="AG5" s="37" t="str">
        <f>_xlfn.IFNA(VLOOKUP(AI5,'Abbrevation full name'!$A$3:$B$351,2,FALSE),"")</f>
        <v/>
      </c>
      <c r="AH5" s="37" t="str">
        <f>IF(ISBLANK(AI5),"",MATCH(AG5,Overview!$A:$A,0))</f>
        <v/>
      </c>
      <c r="AU5" s="38"/>
      <c r="AW5" s="37" t="str">
        <f>_xlfn.IFNA(VLOOKUP(AY5,'Abbrevation full name'!$A$3:$B$351,2,FALSE),"")</f>
        <v/>
      </c>
      <c r="AX5" s="37" t="str">
        <f>IF(ISBLANK(AY5),"",MATCH(AW5,Overview!$A:$A,0))</f>
        <v/>
      </c>
      <c r="AY5" s="40"/>
      <c r="BK5" s="38"/>
    </row>
    <row r="6" spans="1:63" x14ac:dyDescent="0.2">
      <c r="A6" s="37" t="str">
        <f>_xlfn.IFNA(VLOOKUP(C6,'Abbrevation full name'!$A$3:$B$351,2,FALSE),"")</f>
        <v/>
      </c>
      <c r="B6" s="37" t="str">
        <f>IF(ISBLANK(C6),"",MATCH(A6,Overview!A:A,0))</f>
        <v/>
      </c>
      <c r="C6" s="40"/>
      <c r="O6" s="38"/>
      <c r="Q6" s="37" t="str">
        <f>_xlfn.IFNA(VLOOKUP(S6,'Abbrevation full name'!$A$3:$B$351,2,FALSE),"")</f>
        <v/>
      </c>
      <c r="R6" s="37" t="str">
        <f>IF(ISBLANK(S6),"",MATCH(Q6,Overview!$A:$A,0))</f>
        <v/>
      </c>
      <c r="AE6" s="38"/>
      <c r="AG6" s="37" t="str">
        <f>_xlfn.IFNA(VLOOKUP(AI6,'Abbrevation full name'!$A$3:$B$351,2,FALSE),"")</f>
        <v/>
      </c>
      <c r="AH6" s="37" t="str">
        <f>IF(ISBLANK(AI6),"",MATCH(AG6,Overview!$A:$A,0))</f>
        <v/>
      </c>
      <c r="AU6" s="38"/>
      <c r="AW6" s="37" t="str">
        <f>_xlfn.IFNA(VLOOKUP(AY6,'Abbrevation full name'!$A$3:$B$351,2,FALSE),"")</f>
        <v/>
      </c>
      <c r="AX6" s="37" t="str">
        <f>IF(ISBLANK(AY6),"",MATCH(AW6,Overview!$A:$A,0))</f>
        <v/>
      </c>
      <c r="AY6" s="40"/>
      <c r="BK6" s="38"/>
    </row>
    <row r="7" spans="1:63" x14ac:dyDescent="0.2">
      <c r="A7" s="37" t="str">
        <f>_xlfn.IFNA(VLOOKUP(C7,'Abbrevation full name'!$A$3:$B$351,2,FALSE),"")</f>
        <v/>
      </c>
      <c r="B7" s="37" t="str">
        <f>IF(ISBLANK(C7),"",MATCH(A7,Overview!A:A,0))</f>
        <v/>
      </c>
      <c r="C7" s="40"/>
      <c r="O7" s="38"/>
      <c r="Q7" s="37" t="str">
        <f>_xlfn.IFNA(VLOOKUP(S7,'Abbrevation full name'!$A$3:$B$351,2,FALSE),"")</f>
        <v/>
      </c>
      <c r="R7" s="37" t="str">
        <f>IF(ISBLANK(S7),"",MATCH(Q7,Overview!$A:$A,0))</f>
        <v/>
      </c>
      <c r="AE7" s="38"/>
      <c r="AG7" s="37" t="str">
        <f>_xlfn.IFNA(VLOOKUP(AI7,'Abbrevation full name'!$A$3:$B$351,2,FALSE),"")</f>
        <v/>
      </c>
      <c r="AH7" s="37" t="str">
        <f>IF(ISBLANK(AI7),"",MATCH(AG7,Overview!$A:$A,0))</f>
        <v/>
      </c>
      <c r="AU7" s="38"/>
      <c r="AW7" s="37" t="str">
        <f>_xlfn.IFNA(VLOOKUP(AY7,'Abbrevation full name'!$A$3:$B$351,2,FALSE),"")</f>
        <v/>
      </c>
      <c r="AX7" s="37" t="str">
        <f>IF(ISBLANK(AY7),"",MATCH(AW7,Overview!$A:$A,0))</f>
        <v/>
      </c>
      <c r="BK7" s="38"/>
    </row>
    <row r="8" spans="1:63" x14ac:dyDescent="0.2">
      <c r="A8" s="37" t="str">
        <f>_xlfn.IFNA(VLOOKUP(C8,'Abbrevation full name'!$A$3:$B$351,2,FALSE),"")</f>
        <v/>
      </c>
      <c r="B8" s="37" t="str">
        <f>IF(ISBLANK(C8),"",MATCH(A8,Overview!A:A,0))</f>
        <v/>
      </c>
      <c r="C8" s="40"/>
      <c r="O8" s="38"/>
      <c r="Q8" s="37" t="str">
        <f>_xlfn.IFNA(VLOOKUP(S8,'Abbrevation full name'!$A$3:$B$351,2,FALSE),"")</f>
        <v/>
      </c>
      <c r="R8" s="37" t="str">
        <f>IF(ISBLANK(S8),"",MATCH(Q8,Overview!$A:$A,0))</f>
        <v/>
      </c>
      <c r="AE8" s="38"/>
      <c r="AG8" s="37" t="str">
        <f>_xlfn.IFNA(VLOOKUP(AI8,'Abbrevation full name'!$A$3:$B$351,2,FALSE),"")</f>
        <v/>
      </c>
      <c r="AH8" s="37" t="str">
        <f>IF(ISBLANK(AI8),"",MATCH(AG8,Overview!$A:$A,0))</f>
        <v/>
      </c>
      <c r="AU8" s="38"/>
      <c r="AW8" s="37" t="str">
        <f>_xlfn.IFNA(VLOOKUP(AY8,'Abbrevation full name'!$A$3:$B$351,2,FALSE),"")</f>
        <v/>
      </c>
      <c r="AX8" s="37" t="str">
        <f>IF(ISBLANK(AY8),"",MATCH(AW8,Overview!$A:$A,0))</f>
        <v/>
      </c>
      <c r="BK8" s="38"/>
    </row>
    <row r="9" spans="1:63" x14ac:dyDescent="0.2">
      <c r="A9" s="37" t="str">
        <f>_xlfn.IFNA(VLOOKUP(C9,'Abbrevation full name'!$A$3:$B$351,2,FALSE),"")</f>
        <v/>
      </c>
      <c r="B9" s="37" t="str">
        <f>IF(ISBLANK(C9),"",MATCH(A9,Overview!A:A,0))</f>
        <v/>
      </c>
      <c r="C9" s="40"/>
      <c r="O9" s="38"/>
      <c r="Q9" s="37" t="str">
        <f>_xlfn.IFNA(VLOOKUP(S9,'Abbrevation full name'!$A$3:$B$351,2,FALSE),"")</f>
        <v/>
      </c>
      <c r="R9" s="37" t="str">
        <f>IF(ISBLANK(S9),"",MATCH(Q9,Overview!$A:$A,0))</f>
        <v/>
      </c>
      <c r="AE9" s="38"/>
      <c r="AG9" s="37" t="str">
        <f>_xlfn.IFNA(VLOOKUP(AI9,'Abbrevation full name'!$A$3:$B$351,2,FALSE),"")</f>
        <v/>
      </c>
      <c r="AH9" s="37" t="str">
        <f>IF(ISBLANK(AI9),"",MATCH(AG9,Overview!$A:$A,0))</f>
        <v/>
      </c>
      <c r="AU9" s="38"/>
      <c r="AW9" s="37" t="str">
        <f>_xlfn.IFNA(VLOOKUP(AY9,'Abbrevation full name'!$A$3:$B$351,2,FALSE),"")</f>
        <v/>
      </c>
      <c r="AX9" s="37" t="str">
        <f>IF(ISBLANK(AY9),"",MATCH(AW9,Overview!$A:$A,0))</f>
        <v/>
      </c>
      <c r="BK9" s="38"/>
    </row>
    <row r="10" spans="1:63" x14ac:dyDescent="0.2">
      <c r="A10" s="37" t="str">
        <f>_xlfn.IFNA(VLOOKUP(C10,'Abbrevation full name'!$A$3:$B$351,2,FALSE),"")</f>
        <v/>
      </c>
      <c r="B10" s="37" t="str">
        <f>IF(ISBLANK(C10),"",MATCH(A10,Overview!A:A,0))</f>
        <v/>
      </c>
      <c r="C10" s="40"/>
      <c r="O10" s="38"/>
      <c r="Q10" s="37" t="str">
        <f>_xlfn.IFNA(VLOOKUP(S10,'Abbrevation full name'!$A$3:$B$351,2,FALSE),"")</f>
        <v/>
      </c>
      <c r="R10" s="37" t="str">
        <f>IF(ISBLANK(S10),"",MATCH(Q10,Overview!$A:$A,0))</f>
        <v/>
      </c>
      <c r="AE10" s="38"/>
      <c r="AG10" s="37" t="str">
        <f>_xlfn.IFNA(VLOOKUP(AI10,'Abbrevation full name'!$A$3:$B$351,2,FALSE),"")</f>
        <v/>
      </c>
      <c r="AH10" s="37" t="str">
        <f>IF(ISBLANK(AI10),"",MATCH(AG10,Overview!$A:$A,0))</f>
        <v/>
      </c>
      <c r="AU10" s="38"/>
      <c r="AW10" s="37" t="str">
        <f>_xlfn.IFNA(VLOOKUP(AY10,'Abbrevation full name'!$A$3:$B$351,2,FALSE),"")</f>
        <v/>
      </c>
      <c r="AX10" s="37" t="str">
        <f>IF(ISBLANK(AY10),"",MATCH(AW10,Overview!$A:$A,0))</f>
        <v/>
      </c>
      <c r="BK10" s="38"/>
    </row>
    <row r="11" spans="1:63" x14ac:dyDescent="0.2">
      <c r="A11" s="37" t="str">
        <f>_xlfn.IFNA(VLOOKUP(C11,'Abbrevation full name'!$A$3:$B$351,2,FALSE),"")</f>
        <v/>
      </c>
      <c r="B11" s="37" t="str">
        <f>IF(ISBLANK(C11),"",MATCH(A11,Overview!A:A,0))</f>
        <v/>
      </c>
      <c r="C11" s="40"/>
      <c r="O11" s="38"/>
      <c r="Q11" s="37" t="str">
        <f>_xlfn.IFNA(VLOOKUP(S11,'Abbrevation full name'!$A$3:$B$351,2,FALSE),"")</f>
        <v/>
      </c>
      <c r="R11" s="37" t="str">
        <f>IF(ISBLANK(S11),"",MATCH(Q11,Overview!$A:$A,0))</f>
        <v/>
      </c>
      <c r="AE11" s="38"/>
      <c r="AG11" s="37" t="str">
        <f>_xlfn.IFNA(VLOOKUP(AI11,'Abbrevation full name'!$A$3:$B$351,2,FALSE),"")</f>
        <v/>
      </c>
      <c r="AH11" s="37" t="str">
        <f>IF(ISBLANK(AI11),"",MATCH(AG11,Overview!$A:$A,0))</f>
        <v/>
      </c>
      <c r="AU11" s="38"/>
      <c r="AW11" s="37" t="str">
        <f>_xlfn.IFNA(VLOOKUP(AY11,'Abbrevation full name'!$A$3:$B$351,2,FALSE),"")</f>
        <v/>
      </c>
      <c r="AX11" s="37" t="str">
        <f>IF(ISBLANK(AY11),"",MATCH(AW11,Overview!$A:$A,0))</f>
        <v/>
      </c>
      <c r="BK11" s="38"/>
    </row>
    <row r="12" spans="1:63" x14ac:dyDescent="0.2">
      <c r="A12" s="37" t="str">
        <f>_xlfn.IFNA(VLOOKUP(C12,'Abbrevation full name'!$A$3:$B$351,2,FALSE),"")</f>
        <v/>
      </c>
      <c r="B12" s="37" t="str">
        <f>IF(ISBLANK(C12),"",MATCH(A12,Overview!A:A,0))</f>
        <v/>
      </c>
      <c r="C12" s="40"/>
      <c r="O12" s="38"/>
      <c r="Q12" s="37" t="str">
        <f>_xlfn.IFNA(VLOOKUP(S12,'Abbrevation full name'!$A$3:$B$351,2,FALSE),"")</f>
        <v/>
      </c>
      <c r="R12" s="37" t="str">
        <f>IF(ISBLANK(S12),"",MATCH(Q12,Overview!$A:$A,0))</f>
        <v/>
      </c>
      <c r="AE12" s="38"/>
      <c r="AG12" s="37" t="str">
        <f>_xlfn.IFNA(VLOOKUP(AI12,'Abbrevation full name'!$A$3:$B$351,2,FALSE),"")</f>
        <v/>
      </c>
      <c r="AH12" s="37" t="str">
        <f>IF(ISBLANK(AI12),"",MATCH(AG12,Overview!$A:$A,0))</f>
        <v/>
      </c>
      <c r="AU12" s="38"/>
      <c r="AW12" s="37" t="str">
        <f>_xlfn.IFNA(VLOOKUP(AY12,'Abbrevation full name'!$A$3:$B$351,2,FALSE),"")</f>
        <v/>
      </c>
      <c r="AX12" s="37" t="str">
        <f>IF(ISBLANK(AY12),"",MATCH(AW12,Overview!$A:$A,0))</f>
        <v/>
      </c>
      <c r="BK12" s="38"/>
    </row>
    <row r="13" spans="1:63" x14ac:dyDescent="0.2">
      <c r="A13" s="37" t="str">
        <f>_xlfn.IFNA(VLOOKUP(C13,'Abbrevation full name'!$A$3:$B$351,2,FALSE),"")</f>
        <v/>
      </c>
      <c r="B13" s="37" t="str">
        <f>IF(ISBLANK(C13),"",MATCH(A13,Overview!A:A,0))</f>
        <v/>
      </c>
      <c r="C13" s="40"/>
      <c r="O13" s="38"/>
      <c r="Q13" s="37" t="str">
        <f>_xlfn.IFNA(VLOOKUP(S13,'Abbrevation full name'!$A$3:$B$351,2,FALSE),"")</f>
        <v/>
      </c>
      <c r="R13" s="37" t="str">
        <f>IF(ISBLANK(S13),"",MATCH(Q13,Overview!$A:$A,0))</f>
        <v/>
      </c>
      <c r="AE13" s="38"/>
      <c r="AG13" s="37" t="str">
        <f>_xlfn.IFNA(VLOOKUP(AI13,'Abbrevation full name'!$A$3:$B$351,2,FALSE),"")</f>
        <v/>
      </c>
      <c r="AH13" s="37" t="str">
        <f>IF(ISBLANK(AI13),"",MATCH(AG13,Overview!$A:$A,0))</f>
        <v/>
      </c>
      <c r="AU13" s="38"/>
      <c r="AW13" s="37" t="str">
        <f>_xlfn.IFNA(VLOOKUP(AY13,'Abbrevation full name'!$A$3:$B$351,2,FALSE),"")</f>
        <v/>
      </c>
      <c r="AX13" s="37" t="str">
        <f>IF(ISBLANK(AY13),"",MATCH(AW13,Overview!$A:$A,0))</f>
        <v/>
      </c>
      <c r="BK13" s="38"/>
    </row>
    <row r="14" spans="1:63" x14ac:dyDescent="0.2">
      <c r="A14" s="37" t="str">
        <f>_xlfn.IFNA(VLOOKUP(C14,'Abbrevation full name'!$A$3:$B$351,2,FALSE),"")</f>
        <v/>
      </c>
      <c r="B14" s="37" t="str">
        <f>IF(ISBLANK(C14),"",MATCH(A14,Overview!A:A,0))</f>
        <v/>
      </c>
      <c r="C14" s="40"/>
      <c r="O14" s="38"/>
      <c r="Q14" s="37" t="str">
        <f>_xlfn.IFNA(VLOOKUP(S14,'Abbrevation full name'!$A$3:$B$351,2,FALSE),"")</f>
        <v/>
      </c>
      <c r="R14" s="37" t="str">
        <f>IF(ISBLANK(S14),"",MATCH(Q14,Overview!$A:$A,0))</f>
        <v/>
      </c>
      <c r="AE14" s="38"/>
      <c r="AG14" s="37" t="str">
        <f>_xlfn.IFNA(VLOOKUP(AI14,'Abbrevation full name'!$A$3:$B$351,2,FALSE),"")</f>
        <v/>
      </c>
      <c r="AH14" s="37" t="str">
        <f>IF(ISBLANK(AI14),"",MATCH(AG14,Overview!$A:$A,0))</f>
        <v/>
      </c>
      <c r="AU14" s="38"/>
      <c r="AW14" s="37" t="str">
        <f>_xlfn.IFNA(VLOOKUP(AY14,'Abbrevation full name'!$A$3:$B$351,2,FALSE),"")</f>
        <v/>
      </c>
      <c r="AX14" s="37" t="str">
        <f>IF(ISBLANK(AY14),"",MATCH(AW14,Overview!$A:$A,0))</f>
        <v/>
      </c>
      <c r="BK14" s="38"/>
    </row>
    <row r="15" spans="1:63" x14ac:dyDescent="0.2">
      <c r="A15" s="37" t="str">
        <f>_xlfn.IFNA(VLOOKUP(C15,'Abbrevation full name'!$A$3:$B$351,2,FALSE),"")</f>
        <v/>
      </c>
      <c r="B15" s="37" t="str">
        <f>IF(ISBLANK(C15),"",MATCH(A15,Overview!A:A,0))</f>
        <v/>
      </c>
      <c r="C15" s="40"/>
      <c r="O15" s="38"/>
      <c r="Q15" s="37" t="str">
        <f>_xlfn.IFNA(VLOOKUP(S15,'Abbrevation full name'!$A$3:$B$351,2,FALSE),"")</f>
        <v/>
      </c>
      <c r="R15" s="37" t="str">
        <f>IF(ISBLANK(S15),"",MATCH(Q15,Overview!$A:$A,0))</f>
        <v/>
      </c>
      <c r="AE15" s="38"/>
      <c r="AG15" s="37" t="str">
        <f>_xlfn.IFNA(VLOOKUP(AI15,'Abbrevation full name'!$A$3:$B$351,2,FALSE),"")</f>
        <v/>
      </c>
      <c r="AH15" s="37" t="str">
        <f>IF(ISBLANK(AI15),"",MATCH(AG15,Overview!$A:$A,0))</f>
        <v/>
      </c>
      <c r="AU15" s="38"/>
      <c r="AW15" s="37" t="str">
        <f>_xlfn.IFNA(VLOOKUP(AY15,'Abbrevation full name'!$A$3:$B$351,2,FALSE),"")</f>
        <v/>
      </c>
      <c r="AX15" s="37" t="str">
        <f>IF(ISBLANK(AY15),"",MATCH(AW15,Overview!$A:$A,0))</f>
        <v/>
      </c>
      <c r="BK15" s="38"/>
    </row>
    <row r="16" spans="1:63" x14ac:dyDescent="0.2">
      <c r="A16" s="37" t="str">
        <f>_xlfn.IFNA(VLOOKUP(C16,'Abbrevation full name'!$A$3:$B$351,2,FALSE),"")</f>
        <v/>
      </c>
      <c r="B16" s="37" t="str">
        <f>IF(ISBLANK(C16),"",MATCH(A16,Overview!A:A,0))</f>
        <v/>
      </c>
      <c r="C16" s="40"/>
      <c r="O16" s="38"/>
      <c r="Q16" s="37" t="str">
        <f>_xlfn.IFNA(VLOOKUP(S16,'Abbrevation full name'!$A$3:$B$351,2,FALSE),"")</f>
        <v/>
      </c>
      <c r="R16" s="37" t="str">
        <f>IF(ISBLANK(S16),"",MATCH(Q16,Overview!$A:$A,0))</f>
        <v/>
      </c>
      <c r="AE16" s="38"/>
      <c r="AG16" s="37" t="str">
        <f>_xlfn.IFNA(VLOOKUP(AI16,'Abbrevation full name'!$A$3:$B$351,2,FALSE),"")</f>
        <v/>
      </c>
      <c r="AH16" s="37" t="str">
        <f>IF(ISBLANK(AI16),"",MATCH(AG16,Overview!$A:$A,0))</f>
        <v/>
      </c>
      <c r="AU16" s="38"/>
      <c r="AW16" s="37" t="str">
        <f>_xlfn.IFNA(VLOOKUP(AY16,'Abbrevation full name'!$A$3:$B$351,2,FALSE),"")</f>
        <v/>
      </c>
      <c r="AX16" s="37" t="str">
        <f>IF(ISBLANK(AY16),"",MATCH(AW16,Overview!$A:$A,0))</f>
        <v/>
      </c>
      <c r="BK16" s="38"/>
    </row>
    <row r="17" spans="1:63" x14ac:dyDescent="0.2">
      <c r="A17" s="37" t="str">
        <f>_xlfn.IFNA(VLOOKUP(C17,'Abbrevation full name'!$A$3:$B$351,2,FALSE),"")</f>
        <v/>
      </c>
      <c r="B17" s="37" t="str">
        <f>IF(ISBLANK(C17),"",MATCH(A17,Overview!A:A,0))</f>
        <v/>
      </c>
      <c r="C17" s="40"/>
      <c r="O17" s="38"/>
      <c r="Q17" s="37" t="str">
        <f>_xlfn.IFNA(VLOOKUP(S17,'Abbrevation full name'!$A$3:$B$351,2,FALSE),"")</f>
        <v/>
      </c>
      <c r="R17" s="37" t="str">
        <f>IF(ISBLANK(S17),"",MATCH(Q17,Overview!$A:$A,0))</f>
        <v/>
      </c>
      <c r="AE17" s="38"/>
      <c r="AG17" s="37" t="str">
        <f>_xlfn.IFNA(VLOOKUP(AI17,'Abbrevation full name'!$A$3:$B$351,2,FALSE),"")</f>
        <v/>
      </c>
      <c r="AH17" s="37" t="str">
        <f>IF(ISBLANK(AI17),"",MATCH(AG17,Overview!$A:$A,0))</f>
        <v/>
      </c>
      <c r="AU17" s="38"/>
      <c r="AW17" s="37" t="str">
        <f>_xlfn.IFNA(VLOOKUP(AY17,'Abbrevation full name'!$A$3:$B$351,2,FALSE),"")</f>
        <v/>
      </c>
      <c r="AX17" s="37" t="str">
        <f>IF(ISBLANK(AY17),"",MATCH(AW17,Overview!$A:$A,0))</f>
        <v/>
      </c>
      <c r="BK17" s="38"/>
    </row>
    <row r="18" spans="1:63" x14ac:dyDescent="0.2">
      <c r="A18" s="37" t="str">
        <f>_xlfn.IFNA(VLOOKUP(C18,'Abbrevation full name'!$A$3:$B$351,2,FALSE),"")</f>
        <v/>
      </c>
      <c r="B18" s="37" t="str">
        <f>IF(ISBLANK(C18),"",MATCH(A18,Overview!A:A,0))</f>
        <v/>
      </c>
      <c r="C18" s="40"/>
      <c r="O18" s="38"/>
      <c r="Q18" s="37" t="str">
        <f>_xlfn.IFNA(VLOOKUP(S18,'Abbrevation full name'!$A$3:$B$351,2,FALSE),"")</f>
        <v/>
      </c>
      <c r="R18" s="37" t="str">
        <f>IF(ISBLANK(S18),"",MATCH(Q18,Overview!$A:$A,0))</f>
        <v/>
      </c>
      <c r="AE18" s="38"/>
      <c r="AG18" s="37" t="str">
        <f>_xlfn.IFNA(VLOOKUP(AI18,'Abbrevation full name'!$A$3:$B$351,2,FALSE),"")</f>
        <v/>
      </c>
      <c r="AH18" s="37" t="str">
        <f>IF(ISBLANK(AI18),"",MATCH(AG18,Overview!$A:$A,0))</f>
        <v/>
      </c>
      <c r="AU18" s="38"/>
      <c r="AW18" s="37" t="str">
        <f>_xlfn.IFNA(VLOOKUP(AY18,'Abbrevation full name'!$A$3:$B$351,2,FALSE),"")</f>
        <v/>
      </c>
      <c r="AX18" s="37" t="str">
        <f>IF(ISBLANK(AY18),"",MATCH(AW18,Overview!$A:$A,0))</f>
        <v/>
      </c>
      <c r="BK18" s="38"/>
    </row>
    <row r="19" spans="1:63" x14ac:dyDescent="0.2">
      <c r="A19" s="37" t="str">
        <f>_xlfn.IFNA(VLOOKUP(C19,'Abbrevation full name'!$A$3:$B$351,2,FALSE),"")</f>
        <v/>
      </c>
      <c r="B19" s="37" t="str">
        <f>IF(ISBLANK(C19),"",MATCH(A19,Overview!A:A,0))</f>
        <v/>
      </c>
      <c r="C19" s="40"/>
      <c r="O19" s="38"/>
      <c r="Q19" s="37" t="str">
        <f>_xlfn.IFNA(VLOOKUP(S19,'Abbrevation full name'!$A$3:$B$351,2,FALSE),"")</f>
        <v/>
      </c>
      <c r="R19" s="37" t="str">
        <f>IF(ISBLANK(S19),"",MATCH(Q19,Overview!$A:$A,0))</f>
        <v/>
      </c>
      <c r="AE19" s="38"/>
      <c r="AG19" s="37" t="str">
        <f>_xlfn.IFNA(VLOOKUP(AI19,'Abbrevation full name'!$A$3:$B$351,2,FALSE),"")</f>
        <v/>
      </c>
      <c r="AH19" s="37" t="str">
        <f>IF(ISBLANK(AI19),"",MATCH(AG19,Overview!$A:$A,0))</f>
        <v/>
      </c>
      <c r="AU19" s="38"/>
      <c r="AW19" s="37" t="str">
        <f>_xlfn.IFNA(VLOOKUP(AY19,'Abbrevation full name'!$A$3:$B$351,2,FALSE),"")</f>
        <v/>
      </c>
      <c r="AX19" s="37" t="str">
        <f>IF(ISBLANK(AY19),"",MATCH(AW19,Overview!$A:$A,0))</f>
        <v/>
      </c>
      <c r="BK19" s="38"/>
    </row>
    <row r="20" spans="1:63" x14ac:dyDescent="0.2">
      <c r="A20" s="37" t="str">
        <f>_xlfn.IFNA(VLOOKUP(C20,'Abbrevation full name'!$A$3:$B$351,2,FALSE),"")</f>
        <v/>
      </c>
      <c r="B20" s="37" t="str">
        <f>IF(ISBLANK(C20),"",MATCH(A20,Overview!A:A,0))</f>
        <v/>
      </c>
      <c r="C20" s="40"/>
      <c r="O20" s="38"/>
      <c r="Q20" s="37" t="str">
        <f>_xlfn.IFNA(VLOOKUP(S20,'Abbrevation full name'!$A$3:$B$351,2,FALSE),"")</f>
        <v/>
      </c>
      <c r="R20" s="37" t="str">
        <f>IF(ISBLANK(S20),"",MATCH(Q20,Overview!$A:$A,0))</f>
        <v/>
      </c>
      <c r="AE20" s="38"/>
      <c r="AG20" s="37" t="str">
        <f>_xlfn.IFNA(VLOOKUP(AI20,'Abbrevation full name'!$A$3:$B$351,2,FALSE),"")</f>
        <v/>
      </c>
      <c r="AH20" s="37" t="str">
        <f>IF(ISBLANK(AI20),"",MATCH(AG20,Overview!$A:$A,0))</f>
        <v/>
      </c>
      <c r="AU20" s="38"/>
      <c r="AW20" s="37" t="str">
        <f>_xlfn.IFNA(VLOOKUP(AY20,'Abbrevation full name'!$A$3:$B$351,2,FALSE),"")</f>
        <v/>
      </c>
      <c r="AX20" s="37" t="str">
        <f>IF(ISBLANK(AY20),"",MATCH(AW20,Overview!$A:$A,0))</f>
        <v/>
      </c>
      <c r="BK20" s="38"/>
    </row>
    <row r="21" spans="1:63" x14ac:dyDescent="0.2">
      <c r="A21" s="37" t="str">
        <f>_xlfn.IFNA(VLOOKUP(C21,'Abbrevation full name'!$A$3:$B$351,2,FALSE),"")</f>
        <v/>
      </c>
      <c r="B21" s="37" t="str">
        <f>IF(ISBLANK(C21),"",MATCH(A21,Overview!A:A,0))</f>
        <v/>
      </c>
      <c r="C21" s="40"/>
      <c r="O21" s="38"/>
      <c r="Q21" s="37" t="str">
        <f>_xlfn.IFNA(VLOOKUP(S21,'Abbrevation full name'!$A$3:$B$351,2,FALSE),"")</f>
        <v/>
      </c>
      <c r="R21" s="37" t="str">
        <f>IF(ISBLANK(S21),"",MATCH(Q21,Overview!$A:$A,0))</f>
        <v/>
      </c>
      <c r="AE21" s="38"/>
      <c r="AG21" s="37" t="str">
        <f>_xlfn.IFNA(VLOOKUP(AI21,'Abbrevation full name'!$A$3:$B$351,2,FALSE),"")</f>
        <v/>
      </c>
      <c r="AH21" s="37" t="str">
        <f>IF(ISBLANK(AI21),"",MATCH(AG21,Overview!$A:$A,0))</f>
        <v/>
      </c>
      <c r="AU21" s="38"/>
      <c r="AW21" s="37" t="str">
        <f>_xlfn.IFNA(VLOOKUP(AY21,'Abbrevation full name'!$A$3:$B$351,2,FALSE),"")</f>
        <v/>
      </c>
      <c r="AX21" s="37" t="str">
        <f>IF(ISBLANK(AY21),"",MATCH(AW21,Overview!$A:$A,0))</f>
        <v/>
      </c>
      <c r="BK21" s="38"/>
    </row>
    <row r="22" spans="1:63" x14ac:dyDescent="0.2">
      <c r="A22" s="37" t="str">
        <f>_xlfn.IFNA(VLOOKUP(C22,'Abbrevation full name'!$A$3:$B$351,2,FALSE),"")</f>
        <v/>
      </c>
      <c r="B22" s="37" t="str">
        <f>IF(ISBLANK(C22),"",MATCH(A22,Overview!A:A,0))</f>
        <v/>
      </c>
      <c r="O22" s="38"/>
      <c r="Q22" s="37" t="str">
        <f>_xlfn.IFNA(VLOOKUP(S22,'Abbrevation full name'!$A$3:$B$351,2,FALSE),"")</f>
        <v/>
      </c>
      <c r="R22" s="37" t="str">
        <f>IF(ISBLANK(S22),"",MATCH(Q22,Overview!$A:$A,0))</f>
        <v/>
      </c>
      <c r="AE22" s="38"/>
      <c r="AG22" s="37" t="str">
        <f>_xlfn.IFNA(VLOOKUP(AI22,'Abbrevation full name'!$A$3:$B$351,2,FALSE),"")</f>
        <v/>
      </c>
      <c r="AH22" s="37" t="str">
        <f>IF(ISBLANK(AI22),"",MATCH(AG22,Overview!$A:$A,0))</f>
        <v/>
      </c>
      <c r="AU22" s="38"/>
      <c r="AW22" s="37" t="str">
        <f>_xlfn.IFNA(VLOOKUP(AY22,'Abbrevation full name'!$A$3:$B$351,2,FALSE),"")</f>
        <v/>
      </c>
      <c r="AX22" s="37" t="str">
        <f>IF(ISBLANK(AY22),"",MATCH(AW22,Overview!$A:$A,0))</f>
        <v/>
      </c>
      <c r="BK22" s="38"/>
    </row>
    <row r="23" spans="1:63" x14ac:dyDescent="0.2">
      <c r="A23" s="37" t="str">
        <f>_xlfn.IFNA(VLOOKUP(C23,'Abbrevation full name'!$A$3:$B$351,2,FALSE),"")</f>
        <v/>
      </c>
      <c r="B23" s="37" t="str">
        <f>IF(ISBLANK(C23),"",MATCH(A23,Overview!A:A,0))</f>
        <v/>
      </c>
      <c r="O23" s="38"/>
      <c r="Q23" s="37" t="str">
        <f>_xlfn.IFNA(VLOOKUP(S23,'Abbrevation full name'!$A$3:$B$351,2,FALSE),"")</f>
        <v/>
      </c>
      <c r="R23" s="37" t="str">
        <f>IF(ISBLANK(S23),"",MATCH(Q23,Overview!$A:$A,0))</f>
        <v/>
      </c>
      <c r="AE23" s="38"/>
      <c r="AG23" s="37" t="str">
        <f>_xlfn.IFNA(VLOOKUP(AI23,'Abbrevation full name'!$A$3:$B$351,2,FALSE),"")</f>
        <v/>
      </c>
      <c r="AH23" s="37" t="str">
        <f>IF(ISBLANK(AI23),"",MATCH(AG23,Overview!$A:$A,0))</f>
        <v/>
      </c>
      <c r="AU23" s="38"/>
      <c r="AW23" s="37" t="str">
        <f>_xlfn.IFNA(VLOOKUP(AY23,'Abbrevation full name'!$A$3:$B$351,2,FALSE),"")</f>
        <v/>
      </c>
      <c r="AX23" s="37" t="str">
        <f>IF(ISBLANK(AY23),"",MATCH(AW23,Overview!$A:$A,0))</f>
        <v/>
      </c>
      <c r="BK23" s="38"/>
    </row>
    <row r="24" spans="1:63" x14ac:dyDescent="0.2">
      <c r="A24" s="37" t="str">
        <f>_xlfn.IFNA(VLOOKUP(C24,'Abbrevation full name'!$A$3:$B$351,2,FALSE),"")</f>
        <v/>
      </c>
      <c r="B24" s="37" t="str">
        <f>IF(ISBLANK(C24),"",MATCH(A24,Overview!A:A,0))</f>
        <v/>
      </c>
      <c r="O24" s="38"/>
      <c r="Q24" s="37" t="str">
        <f>_xlfn.IFNA(VLOOKUP(S24,'Abbrevation full name'!$A$3:$B$351,2,FALSE),"")</f>
        <v/>
      </c>
      <c r="R24" s="37" t="str">
        <f>IF(ISBLANK(S24),"",MATCH(Q24,Overview!$A:$A,0))</f>
        <v/>
      </c>
      <c r="AE24" s="38"/>
      <c r="AG24" s="37" t="str">
        <f>_xlfn.IFNA(VLOOKUP(AI24,'Abbrevation full name'!$A$3:$B$351,2,FALSE),"")</f>
        <v/>
      </c>
      <c r="AH24" s="37" t="str">
        <f>IF(ISBLANK(AI24),"",MATCH(AG24,Overview!$A:$A,0))</f>
        <v/>
      </c>
      <c r="AU24" s="38"/>
      <c r="AW24" s="37" t="str">
        <f>_xlfn.IFNA(VLOOKUP(AY24,'Abbrevation full name'!$A$3:$B$351,2,FALSE),"")</f>
        <v/>
      </c>
      <c r="AX24" s="37" t="str">
        <f>IF(ISBLANK(AY24),"",MATCH(AW24,Overview!$A:$A,0))</f>
        <v/>
      </c>
      <c r="BK24" s="38"/>
    </row>
    <row r="25" spans="1:63" x14ac:dyDescent="0.2">
      <c r="A25" s="37" t="str">
        <f>_xlfn.IFNA(VLOOKUP(C25,'Abbrevation full name'!$A$3:$B$351,2,FALSE),"")</f>
        <v/>
      </c>
      <c r="B25" s="37" t="str">
        <f>IF(ISBLANK(C25),"",MATCH(A25,Overview!A:A,0))</f>
        <v/>
      </c>
      <c r="O25" s="38"/>
      <c r="Q25" s="37" t="str">
        <f>_xlfn.IFNA(VLOOKUP(S25,'Abbrevation full name'!$A$3:$B$351,2,FALSE),"")</f>
        <v/>
      </c>
      <c r="R25" s="37" t="str">
        <f>IF(ISBLANK(S25),"",MATCH(Q25,Overview!$A:$A,0))</f>
        <v/>
      </c>
      <c r="AE25" s="38"/>
      <c r="AG25" s="37" t="str">
        <f>_xlfn.IFNA(VLOOKUP(AI25,'Abbrevation full name'!$A$3:$B$351,2,FALSE),"")</f>
        <v/>
      </c>
      <c r="AH25" s="37" t="str">
        <f>IF(ISBLANK(AI25),"",MATCH(AG25,Overview!$A:$A,0))</f>
        <v/>
      </c>
      <c r="AU25" s="38"/>
      <c r="AW25" s="37" t="str">
        <f>_xlfn.IFNA(VLOOKUP(AY25,'Abbrevation full name'!$A$3:$B$351,2,FALSE),"")</f>
        <v/>
      </c>
      <c r="AX25" s="37" t="str">
        <f>IF(ISBLANK(AY25),"",MATCH(AW25,Overview!$A:$A,0))</f>
        <v/>
      </c>
      <c r="BK25" s="38"/>
    </row>
    <row r="26" spans="1:63" x14ac:dyDescent="0.2">
      <c r="A26" s="37" t="str">
        <f>_xlfn.IFNA(VLOOKUP(C26,'Abbrevation full name'!$A$3:$B$351,2,FALSE),"")</f>
        <v/>
      </c>
      <c r="B26" s="37" t="str">
        <f>IF(ISBLANK(C26),"",MATCH(A26,Overview!A:A,0))</f>
        <v/>
      </c>
      <c r="O26" s="38"/>
      <c r="Q26" s="37" t="str">
        <f>_xlfn.IFNA(VLOOKUP(S26,'Abbrevation full name'!$A$3:$B$351,2,FALSE),"")</f>
        <v/>
      </c>
      <c r="R26" s="37" t="str">
        <f>IF(ISBLANK(S26),"",MATCH(Q26,Overview!$A:$A,0))</f>
        <v/>
      </c>
      <c r="AE26" s="38"/>
      <c r="AG26" s="37" t="str">
        <f>_xlfn.IFNA(VLOOKUP(AI26,'Abbrevation full name'!$A$3:$B$351,2,FALSE),"")</f>
        <v/>
      </c>
      <c r="AH26" s="37" t="str">
        <f>IF(ISBLANK(AI26),"",MATCH(AG26,Overview!$A:$A,0))</f>
        <v/>
      </c>
      <c r="AU26" s="38"/>
      <c r="AW26" s="37" t="str">
        <f>_xlfn.IFNA(VLOOKUP(AY26,'Abbrevation full name'!$A$3:$B$351,2,FALSE),"")</f>
        <v/>
      </c>
      <c r="AX26" s="37" t="str">
        <f>IF(ISBLANK(AY26),"",MATCH(AW26,Overview!$A:$A,0))</f>
        <v/>
      </c>
      <c r="BK26" s="38"/>
    </row>
    <row r="27" spans="1:63" x14ac:dyDescent="0.2">
      <c r="A27" s="37" t="str">
        <f>_xlfn.IFNA(VLOOKUP(C27,'Abbrevation full name'!$A$3:$B$351,2,FALSE),"")</f>
        <v/>
      </c>
      <c r="B27" s="37" t="str">
        <f>IF(ISBLANK(C27),"",MATCH(A27,Overview!A:A,0))</f>
        <v/>
      </c>
      <c r="O27" s="38"/>
      <c r="Q27" s="37" t="str">
        <f>_xlfn.IFNA(VLOOKUP(S27,'Abbrevation full name'!$A$3:$B$351,2,FALSE),"")</f>
        <v/>
      </c>
      <c r="R27" s="37" t="str">
        <f>IF(ISBLANK(S27),"",MATCH(Q27,Overview!$A:$A,0))</f>
        <v/>
      </c>
      <c r="AE27" s="38"/>
      <c r="AG27" s="37" t="str">
        <f>_xlfn.IFNA(VLOOKUP(AI27,'Abbrevation full name'!$A$3:$B$351,2,FALSE),"")</f>
        <v/>
      </c>
      <c r="AH27" s="37" t="str">
        <f>IF(ISBLANK(AI27),"",MATCH(AG27,Overview!$A:$A,0))</f>
        <v/>
      </c>
      <c r="AU27" s="38"/>
      <c r="AW27" s="37" t="str">
        <f>_xlfn.IFNA(VLOOKUP(AY27,'Abbrevation full name'!$A$3:$B$351,2,FALSE),"")</f>
        <v/>
      </c>
      <c r="AX27" s="37" t="str">
        <f>IF(ISBLANK(AY27),"",MATCH(AW27,Overview!$A:$A,0))</f>
        <v/>
      </c>
      <c r="BK27" s="38"/>
    </row>
    <row r="28" spans="1:63" x14ac:dyDescent="0.2">
      <c r="A28" s="37" t="str">
        <f>_xlfn.IFNA(VLOOKUP(C28,'Abbrevation full name'!$A$3:$B$351,2,FALSE),"")</f>
        <v/>
      </c>
      <c r="B28" s="37" t="str">
        <f>IF(ISBLANK(C28),"",MATCH(A28,Overview!A:A,0))</f>
        <v/>
      </c>
      <c r="O28" s="38"/>
      <c r="Q28" s="37" t="str">
        <f>_xlfn.IFNA(VLOOKUP(S28,'Abbrevation full name'!$A$3:$B$351,2,FALSE),"")</f>
        <v/>
      </c>
      <c r="R28" s="37" t="str">
        <f>IF(ISBLANK(S28),"",MATCH(Q28,Overview!$A:$A,0))</f>
        <v/>
      </c>
      <c r="AE28" s="38"/>
      <c r="AG28" s="37" t="str">
        <f>_xlfn.IFNA(VLOOKUP(AI28,'Abbrevation full name'!$A$3:$B$351,2,FALSE),"")</f>
        <v/>
      </c>
      <c r="AH28" s="37" t="str">
        <f>IF(ISBLANK(AI28),"",MATCH(AG28,Overview!$A:$A,0))</f>
        <v/>
      </c>
      <c r="AU28" s="38"/>
      <c r="AW28" s="37" t="str">
        <f>_xlfn.IFNA(VLOOKUP(AY28,'Abbrevation full name'!$A$3:$B$351,2,FALSE),"")</f>
        <v/>
      </c>
      <c r="AX28" s="37" t="str">
        <f>IF(ISBLANK(AY28),"",MATCH(AW28,Overview!$A:$A,0))</f>
        <v/>
      </c>
      <c r="BK28" s="38"/>
    </row>
    <row r="29" spans="1:63" x14ac:dyDescent="0.2">
      <c r="A29" s="37" t="str">
        <f>_xlfn.IFNA(VLOOKUP(C29,'Abbrevation full name'!$A$3:$B$351,2,FALSE),"")</f>
        <v/>
      </c>
      <c r="B29" s="37" t="str">
        <f>IF(ISBLANK(C29),"",MATCH(A29,Overview!A:A,0))</f>
        <v/>
      </c>
      <c r="O29" s="38"/>
      <c r="Q29" s="37" t="str">
        <f>_xlfn.IFNA(VLOOKUP(S29,'Abbrevation full name'!$A$3:$B$351,2,FALSE),"")</f>
        <v/>
      </c>
      <c r="R29" s="37" t="str">
        <f>IF(ISBLANK(S29),"",MATCH(Q29,Overview!$A:$A,0))</f>
        <v/>
      </c>
      <c r="AE29" s="38"/>
      <c r="AG29" s="37" t="str">
        <f>_xlfn.IFNA(VLOOKUP(AI29,'Abbrevation full name'!$A$3:$B$351,2,FALSE),"")</f>
        <v/>
      </c>
      <c r="AH29" s="37" t="str">
        <f>IF(ISBLANK(AI29),"",MATCH(AG29,Overview!$A:$A,0))</f>
        <v/>
      </c>
      <c r="AU29" s="38"/>
      <c r="AW29" s="37" t="str">
        <f>_xlfn.IFNA(VLOOKUP(AY29,'Abbrevation full name'!$A$3:$B$351,2,FALSE),"")</f>
        <v/>
      </c>
      <c r="AX29" s="37" t="str">
        <f>IF(ISBLANK(AY29),"",MATCH(AW29,Overview!$A:$A,0))</f>
        <v/>
      </c>
      <c r="BK29" s="38"/>
    </row>
    <row r="30" spans="1:63" x14ac:dyDescent="0.2">
      <c r="A30" s="37" t="str">
        <f>_xlfn.IFNA(VLOOKUP(C30,'Abbrevation full name'!$A$3:$B$351,2,FALSE),"")</f>
        <v/>
      </c>
      <c r="B30" s="37" t="str">
        <f>IF(ISBLANK(C30),"",MATCH(A30,Overview!A:A,0))</f>
        <v/>
      </c>
      <c r="O30" s="38"/>
      <c r="Q30" s="37" t="str">
        <f>_xlfn.IFNA(VLOOKUP(S30,'Abbrevation full name'!$A$3:$B$351,2,FALSE),"")</f>
        <v/>
      </c>
      <c r="R30" s="37" t="str">
        <f>IF(ISBLANK(S30),"",MATCH(Q30,Overview!$A:$A,0))</f>
        <v/>
      </c>
      <c r="AE30" s="38"/>
      <c r="AG30" s="37" t="str">
        <f>_xlfn.IFNA(VLOOKUP(AI30,'Abbrevation full name'!$A$3:$B$351,2,FALSE),"")</f>
        <v/>
      </c>
      <c r="AH30" s="37" t="str">
        <f>IF(ISBLANK(AI30),"",MATCH(AG30,Overview!$A:$A,0))</f>
        <v/>
      </c>
      <c r="AU30" s="38"/>
      <c r="AW30" s="37" t="str">
        <f>_xlfn.IFNA(VLOOKUP(AY30,'Abbrevation full name'!$A$3:$B$351,2,FALSE),"")</f>
        <v/>
      </c>
      <c r="AX30" s="37" t="str">
        <f>IF(ISBLANK(AY30),"",MATCH(AW30,Overview!$A:$A,0))</f>
        <v/>
      </c>
      <c r="BK30" s="38"/>
    </row>
    <row r="31" spans="1:63" x14ac:dyDescent="0.2">
      <c r="A31" s="37" t="str">
        <f>_xlfn.IFNA(VLOOKUP(C31,'Abbrevation full name'!$A$3:$B$351,2,FALSE),"")</f>
        <v/>
      </c>
      <c r="B31" s="37" t="str">
        <f>IF(ISBLANK(C31),"",MATCH(A31,Overview!A:A,0))</f>
        <v/>
      </c>
      <c r="O31" s="38"/>
      <c r="Q31" s="37" t="str">
        <f>_xlfn.IFNA(VLOOKUP(S31,'Abbrevation full name'!$A$3:$B$351,2,FALSE),"")</f>
        <v/>
      </c>
      <c r="R31" s="37" t="str">
        <f>IF(ISBLANK(S31),"",MATCH(Q31,Overview!$A:$A,0))</f>
        <v/>
      </c>
      <c r="AE31" s="38"/>
      <c r="AG31" s="37" t="str">
        <f>_xlfn.IFNA(VLOOKUP(AI31,'Abbrevation full name'!$A$3:$B$351,2,FALSE),"")</f>
        <v/>
      </c>
      <c r="AH31" s="37" t="str">
        <f>IF(ISBLANK(AI31),"",MATCH(AG31,Overview!$A:$A,0))</f>
        <v/>
      </c>
      <c r="AU31" s="38"/>
      <c r="AW31" s="37" t="str">
        <f>_xlfn.IFNA(VLOOKUP(AY31,'Abbrevation full name'!$A$3:$B$351,2,FALSE),"")</f>
        <v/>
      </c>
      <c r="AX31" s="37" t="str">
        <f>IF(ISBLANK(AY31),"",MATCH(AW31,Overview!$A:$A,0))</f>
        <v/>
      </c>
      <c r="BK31" s="38"/>
    </row>
    <row r="32" spans="1:63" x14ac:dyDescent="0.2">
      <c r="A32" s="37" t="str">
        <f>_xlfn.IFNA(VLOOKUP(C32,'Abbrevation full name'!$A$3:$B$351,2,FALSE),"")</f>
        <v/>
      </c>
      <c r="B32" s="37" t="str">
        <f>IF(ISBLANK(C32),"",MATCH(A32,Overview!A:A,0))</f>
        <v/>
      </c>
      <c r="O32" s="38"/>
      <c r="Q32" s="37" t="str">
        <f>_xlfn.IFNA(VLOOKUP(S32,'Abbrevation full name'!$A$3:$B$351,2,FALSE),"")</f>
        <v/>
      </c>
      <c r="R32" s="37" t="str">
        <f>IF(ISBLANK(S32),"",MATCH(Q32,Overview!$A:$A,0))</f>
        <v/>
      </c>
      <c r="AE32" s="38"/>
      <c r="AG32" s="37" t="str">
        <f>_xlfn.IFNA(VLOOKUP(AI32,'Abbrevation full name'!$A$3:$B$351,2,FALSE),"")</f>
        <v/>
      </c>
      <c r="AH32" s="37" t="str">
        <f>IF(ISBLANK(AI32),"",MATCH(AG32,Overview!$A:$A,0))</f>
        <v/>
      </c>
      <c r="AU32" s="38"/>
      <c r="AW32" s="37" t="str">
        <f>_xlfn.IFNA(VLOOKUP(AY32,'Abbrevation full name'!$A$3:$B$351,2,FALSE),"")</f>
        <v/>
      </c>
      <c r="AX32" s="37" t="str">
        <f>IF(ISBLANK(AY32),"",MATCH(AW32,Overview!$A:$A,0))</f>
        <v/>
      </c>
      <c r="BK32" s="38"/>
    </row>
    <row r="33" spans="1:63" x14ac:dyDescent="0.2">
      <c r="A33" s="37" t="str">
        <f>_xlfn.IFNA(VLOOKUP(C33,'Abbrevation full name'!$A$3:$B$351,2,FALSE),"")</f>
        <v/>
      </c>
      <c r="B33" s="37" t="str">
        <f>IF(ISBLANK(C33),"",MATCH(A33,Overview!A:A,0))</f>
        <v/>
      </c>
      <c r="O33" s="38"/>
      <c r="Q33" s="37" t="str">
        <f>_xlfn.IFNA(VLOOKUP(S33,'Abbrevation full name'!$A$3:$B$351,2,FALSE),"")</f>
        <v/>
      </c>
      <c r="R33" s="37" t="str">
        <f>IF(ISBLANK(S33),"",MATCH(Q33,Overview!$A:$A,0))</f>
        <v/>
      </c>
      <c r="AE33" s="38"/>
      <c r="AG33" s="37" t="str">
        <f>_xlfn.IFNA(VLOOKUP(AI33,'Abbrevation full name'!$A$3:$B$351,2,FALSE),"")</f>
        <v/>
      </c>
      <c r="AH33" s="37" t="str">
        <f>IF(ISBLANK(AI33),"",MATCH(AG33,Overview!$A:$A,0))</f>
        <v/>
      </c>
      <c r="AU33" s="38"/>
      <c r="AW33" s="37" t="str">
        <f>_xlfn.IFNA(VLOOKUP(AY33,'Abbrevation full name'!$A$3:$B$351,2,FALSE),"")</f>
        <v/>
      </c>
      <c r="AX33" s="37" t="str">
        <f>IF(ISBLANK(AY33),"",MATCH(AW33,Overview!$A:$A,0))</f>
        <v/>
      </c>
      <c r="BK33" s="38"/>
    </row>
    <row r="34" spans="1:63" x14ac:dyDescent="0.2">
      <c r="A34" s="37" t="str">
        <f>_xlfn.IFNA(VLOOKUP(C34,'Abbrevation full name'!$A$3:$B$351,2,FALSE),"")</f>
        <v/>
      </c>
      <c r="B34" s="37" t="str">
        <f>IF(ISBLANK(C34),"",MATCH(A34,Overview!A:A,0))</f>
        <v/>
      </c>
      <c r="O34" s="38"/>
      <c r="Q34" s="37" t="str">
        <f>_xlfn.IFNA(VLOOKUP(S34,'Abbrevation full name'!$A$3:$B$351,2,FALSE),"")</f>
        <v/>
      </c>
      <c r="R34" s="37" t="str">
        <f>IF(ISBLANK(S34),"",MATCH(Q34,Overview!$A:$A,0))</f>
        <v/>
      </c>
      <c r="AE34" s="38"/>
      <c r="AG34" s="37" t="str">
        <f>_xlfn.IFNA(VLOOKUP(AI34,'Abbrevation full name'!$A$3:$B$351,2,FALSE),"")</f>
        <v/>
      </c>
      <c r="AH34" s="37" t="str">
        <f>IF(ISBLANK(AI34),"",MATCH(AG34,Overview!$A:$A,0))</f>
        <v/>
      </c>
      <c r="AU34" s="38"/>
      <c r="AW34" s="37" t="str">
        <f>_xlfn.IFNA(VLOOKUP(AY34,'Abbrevation full name'!$A$3:$B$351,2,FALSE),"")</f>
        <v/>
      </c>
      <c r="AX34" s="37" t="str">
        <f>IF(ISBLANK(AY34),"",MATCH(AW34,Overview!$A:$A,0))</f>
        <v/>
      </c>
      <c r="BK34" s="38"/>
    </row>
    <row r="35" spans="1:63" x14ac:dyDescent="0.2">
      <c r="A35" s="37" t="str">
        <f>_xlfn.IFNA(VLOOKUP(C35,'Abbrevation full name'!$A$3:$B$351,2,FALSE),"")</f>
        <v/>
      </c>
      <c r="B35" s="37" t="str">
        <f>IF(ISBLANK(C35),"",MATCH(A35,Overview!A:A,0))</f>
        <v/>
      </c>
      <c r="O35" s="38"/>
      <c r="Q35" s="37" t="str">
        <f>_xlfn.IFNA(VLOOKUP(S35,'Abbrevation full name'!$A$3:$B$351,2,FALSE),"")</f>
        <v/>
      </c>
      <c r="R35" s="37" t="str">
        <f>IF(ISBLANK(S35),"",MATCH(Q35,Overview!$A:$A,0))</f>
        <v/>
      </c>
      <c r="AE35" s="38"/>
      <c r="AG35" s="37" t="str">
        <f>_xlfn.IFNA(VLOOKUP(AI35,'Abbrevation full name'!$A$3:$B$351,2,FALSE),"")</f>
        <v/>
      </c>
      <c r="AH35" s="37" t="str">
        <f>IF(ISBLANK(AI35),"",MATCH(AG35,Overview!$A:$A,0))</f>
        <v/>
      </c>
      <c r="AU35" s="38"/>
      <c r="AW35" s="37" t="str">
        <f>_xlfn.IFNA(VLOOKUP(AY35,'Abbrevation full name'!$A$3:$B$351,2,FALSE),"")</f>
        <v/>
      </c>
      <c r="AX35" s="37" t="str">
        <f>IF(ISBLANK(AY35),"",MATCH(AW35,Overview!$A:$A,0))</f>
        <v/>
      </c>
      <c r="BK35" s="38"/>
    </row>
    <row r="36" spans="1:63" x14ac:dyDescent="0.2">
      <c r="A36" s="37" t="str">
        <f>_xlfn.IFNA(VLOOKUP(C36,'Abbrevation full name'!$A$3:$B$351,2,FALSE),"")</f>
        <v/>
      </c>
      <c r="B36" s="37" t="str">
        <f>IF(ISBLANK(C36),"",MATCH(A36,Overview!A:A,0))</f>
        <v/>
      </c>
      <c r="O36" s="38"/>
      <c r="Q36" s="37" t="str">
        <f>_xlfn.IFNA(VLOOKUP(S36,'Abbrevation full name'!$A$3:$B$351,2,FALSE),"")</f>
        <v/>
      </c>
      <c r="R36" s="37" t="str">
        <f>IF(ISBLANK(S36),"",MATCH(Q36,Overview!$A:$A,0))</f>
        <v/>
      </c>
      <c r="AE36" s="38"/>
      <c r="AG36" s="37" t="str">
        <f>_xlfn.IFNA(VLOOKUP(AI36,'Abbrevation full name'!$A$3:$B$351,2,FALSE),"")</f>
        <v/>
      </c>
      <c r="AH36" s="37" t="str">
        <f>IF(ISBLANK(AI36),"",MATCH(AG36,Overview!$A:$A,0))</f>
        <v/>
      </c>
      <c r="AU36" s="38"/>
      <c r="AW36" s="37" t="str">
        <f>_xlfn.IFNA(VLOOKUP(AY36,'Abbrevation full name'!$A$3:$B$351,2,FALSE),"")</f>
        <v/>
      </c>
      <c r="AX36" s="37" t="str">
        <f>IF(ISBLANK(AY36),"",MATCH(AW36,Overview!$A:$A,0))</f>
        <v/>
      </c>
      <c r="BK36" s="38"/>
    </row>
    <row r="37" spans="1:63" x14ac:dyDescent="0.2">
      <c r="A37" s="37" t="str">
        <f>_xlfn.IFNA(VLOOKUP(C37,'Abbrevation full name'!$A$3:$B$351,2,FALSE),"")</f>
        <v/>
      </c>
      <c r="B37" s="37" t="str">
        <f>IF(ISBLANK(C37),"",MATCH(A37,Overview!A:A,0))</f>
        <v/>
      </c>
      <c r="O37" s="38"/>
      <c r="Q37" s="37" t="str">
        <f>_xlfn.IFNA(VLOOKUP(S37,'Abbrevation full name'!$A$3:$B$351,2,FALSE),"")</f>
        <v/>
      </c>
      <c r="R37" s="37" t="str">
        <f>IF(ISBLANK(S37),"",MATCH(Q37,Overview!$A:$A,0))</f>
        <v/>
      </c>
      <c r="AE37" s="38"/>
      <c r="AG37" s="37" t="str">
        <f>_xlfn.IFNA(VLOOKUP(AI37,'Abbrevation full name'!$A$3:$B$351,2,FALSE),"")</f>
        <v/>
      </c>
      <c r="AH37" s="37" t="str">
        <f>IF(ISBLANK(AI37),"",MATCH(AG37,Overview!$A:$A,0))</f>
        <v/>
      </c>
      <c r="AU37" s="38"/>
      <c r="AW37" s="37" t="str">
        <f>_xlfn.IFNA(VLOOKUP(AY37,'Abbrevation full name'!$A$3:$B$351,2,FALSE),"")</f>
        <v/>
      </c>
      <c r="AX37" s="37" t="str">
        <f>IF(ISBLANK(AY37),"",MATCH(AW37,Overview!$A:$A,0))</f>
        <v/>
      </c>
      <c r="BK37" s="38"/>
    </row>
    <row r="38" spans="1:63" x14ac:dyDescent="0.2">
      <c r="A38" s="37" t="str">
        <f>_xlfn.IFNA(VLOOKUP(C38,'Abbrevation full name'!$A$3:$B$351,2,FALSE),"")</f>
        <v/>
      </c>
      <c r="B38" s="37" t="str">
        <f>IF(ISBLANK(C38),"",MATCH(A38,Overview!A:A,0))</f>
        <v/>
      </c>
      <c r="O38" s="38"/>
      <c r="Q38" s="37" t="str">
        <f>_xlfn.IFNA(VLOOKUP(S38,'Abbrevation full name'!$A$3:$B$351,2,FALSE),"")</f>
        <v/>
      </c>
      <c r="R38" s="37" t="str">
        <f>IF(ISBLANK(S38),"",MATCH(Q38,Overview!$A:$A,0))</f>
        <v/>
      </c>
      <c r="AE38" s="38"/>
      <c r="AG38" s="37" t="str">
        <f>_xlfn.IFNA(VLOOKUP(AI38,'Abbrevation full name'!$A$3:$B$351,2,FALSE),"")</f>
        <v/>
      </c>
      <c r="AH38" s="37" t="str">
        <f>IF(ISBLANK(AI38),"",MATCH(AG38,Overview!$A:$A,0))</f>
        <v/>
      </c>
      <c r="AU38" s="38"/>
      <c r="AW38" s="37" t="str">
        <f>_xlfn.IFNA(VLOOKUP(AY38,'Abbrevation full name'!$A$3:$B$351,2,FALSE),"")</f>
        <v/>
      </c>
      <c r="AX38" s="37" t="str">
        <f>IF(ISBLANK(AY38),"",MATCH(AW38,Overview!$A:$A,0))</f>
        <v/>
      </c>
      <c r="BK38" s="38"/>
    </row>
    <row r="39" spans="1:63" x14ac:dyDescent="0.2">
      <c r="A39" s="37" t="str">
        <f>_xlfn.IFNA(VLOOKUP(C39,'Abbrevation full name'!$A$3:$B$351,2,FALSE),"")</f>
        <v/>
      </c>
      <c r="B39" s="37" t="str">
        <f>IF(ISBLANK(C39),"",MATCH(A39,Overview!A:A,0))</f>
        <v/>
      </c>
      <c r="O39" s="38"/>
      <c r="Q39" s="37" t="str">
        <f>_xlfn.IFNA(VLOOKUP(S39,'Abbrevation full name'!$A$3:$B$351,2,FALSE),"")</f>
        <v/>
      </c>
      <c r="R39" s="37" t="str">
        <f>IF(ISBLANK(S39),"",MATCH(Q39,Overview!$A:$A,0))</f>
        <v/>
      </c>
      <c r="AE39" s="38"/>
      <c r="AG39" s="37" t="str">
        <f>_xlfn.IFNA(VLOOKUP(AI39,'Abbrevation full name'!$A$3:$B$351,2,FALSE),"")</f>
        <v/>
      </c>
      <c r="AH39" s="37" t="str">
        <f>IF(ISBLANK(AI39),"",MATCH(AG39,Overview!$A:$A,0))</f>
        <v/>
      </c>
      <c r="AU39" s="38"/>
      <c r="AW39" s="37" t="str">
        <f>_xlfn.IFNA(VLOOKUP(AY39,'Abbrevation full name'!$A$3:$B$351,2,FALSE),"")</f>
        <v/>
      </c>
      <c r="AX39" s="37" t="str">
        <f>IF(ISBLANK(AY39),"",MATCH(AW39,Overview!$A:$A,0))</f>
        <v/>
      </c>
      <c r="BK39" s="38"/>
    </row>
    <row r="40" spans="1:63" x14ac:dyDescent="0.2">
      <c r="A40" s="37" t="str">
        <f>_xlfn.IFNA(VLOOKUP(C40,'Abbrevation full name'!$A$3:$B$351,2,FALSE),"")</f>
        <v/>
      </c>
      <c r="B40" s="37" t="str">
        <f>IF(ISBLANK(C40),"",MATCH(A40,Overview!A:A,0))</f>
        <v/>
      </c>
      <c r="O40" s="38"/>
      <c r="Q40" s="37" t="str">
        <f>_xlfn.IFNA(VLOOKUP(S40,'Abbrevation full name'!$A$3:$B$351,2,FALSE),"")</f>
        <v/>
      </c>
      <c r="R40" s="37" t="str">
        <f>IF(ISBLANK(S40),"",MATCH(Q40,Overview!$A:$A,0))</f>
        <v/>
      </c>
      <c r="AE40" s="38"/>
      <c r="AG40" s="37" t="str">
        <f>_xlfn.IFNA(VLOOKUP(AI40,'Abbrevation full name'!$A$3:$B$351,2,FALSE),"")</f>
        <v/>
      </c>
      <c r="AH40" s="37" t="str">
        <f>IF(ISBLANK(AI40),"",MATCH(AG40,Overview!$A:$A,0))</f>
        <v/>
      </c>
      <c r="AU40" s="38"/>
      <c r="AW40" s="37" t="str">
        <f>_xlfn.IFNA(VLOOKUP(AY40,'Abbrevation full name'!$A$3:$B$351,2,FALSE),"")</f>
        <v/>
      </c>
      <c r="AX40" s="37" t="str">
        <f>IF(ISBLANK(AY40),"",MATCH(AW40,Overview!$A:$A,0))</f>
        <v/>
      </c>
      <c r="BK40" s="38"/>
    </row>
    <row r="41" spans="1:63" x14ac:dyDescent="0.2">
      <c r="A41" s="37" t="str">
        <f>_xlfn.IFNA(VLOOKUP(C41,'Abbrevation full name'!$A$3:$B$351,2,FALSE),"")</f>
        <v/>
      </c>
      <c r="B41" s="37" t="str">
        <f>IF(ISBLANK(C41),"",MATCH(A41,Overview!A:A,0))</f>
        <v/>
      </c>
      <c r="O41" s="38"/>
      <c r="Q41" s="37" t="str">
        <f>_xlfn.IFNA(VLOOKUP(S41,'Abbrevation full name'!$A$3:$B$351,2,FALSE),"")</f>
        <v/>
      </c>
      <c r="R41" s="37" t="str">
        <f>IF(ISBLANK(S41),"",MATCH(Q41,Overview!$A:$A,0))</f>
        <v/>
      </c>
      <c r="AE41" s="38"/>
      <c r="AG41" s="37" t="str">
        <f>_xlfn.IFNA(VLOOKUP(AI41,'Abbrevation full name'!$A$3:$B$351,2,FALSE),"")</f>
        <v/>
      </c>
      <c r="AH41" s="37" t="str">
        <f>IF(ISBLANK(AI41),"",MATCH(AG41,Overview!$A:$A,0))</f>
        <v/>
      </c>
      <c r="AU41" s="38"/>
      <c r="AW41" s="37" t="str">
        <f>_xlfn.IFNA(VLOOKUP(AY41,'Abbrevation full name'!$A$3:$B$351,2,FALSE),"")</f>
        <v/>
      </c>
      <c r="AX41" s="37" t="str">
        <f>IF(ISBLANK(AY41),"",MATCH(AW41,Overview!$A:$A,0))</f>
        <v/>
      </c>
      <c r="BK41" s="38"/>
    </row>
    <row r="42" spans="1:63" x14ac:dyDescent="0.2">
      <c r="A42" s="37" t="str">
        <f>_xlfn.IFNA(VLOOKUP(C42,'Abbrevation full name'!$A$3:$B$351,2,FALSE),"")</f>
        <v/>
      </c>
      <c r="B42" s="37" t="str">
        <f>IF(ISBLANK(C42),"",MATCH(A42,Overview!A:A,0))</f>
        <v/>
      </c>
      <c r="O42" s="38"/>
      <c r="Q42" s="37" t="str">
        <f>_xlfn.IFNA(VLOOKUP(S42,'Abbrevation full name'!$A$3:$B$351,2,FALSE),"")</f>
        <v/>
      </c>
      <c r="R42" s="37" t="str">
        <f>IF(ISBLANK(S42),"",MATCH(Q42,Overview!$A:$A,0))</f>
        <v/>
      </c>
      <c r="AE42" s="38"/>
      <c r="AG42" s="37" t="str">
        <f>_xlfn.IFNA(VLOOKUP(AI42,'Abbrevation full name'!$A$3:$B$351,2,FALSE),"")</f>
        <v/>
      </c>
      <c r="AH42" s="37" t="str">
        <f>IF(ISBLANK(AI42),"",MATCH(AG42,Overview!$A:$A,0))</f>
        <v/>
      </c>
      <c r="AU42" s="38"/>
      <c r="AW42" s="37" t="str">
        <f>_xlfn.IFNA(VLOOKUP(AY42,'Abbrevation full name'!$A$3:$B$351,2,FALSE),"")</f>
        <v/>
      </c>
      <c r="AX42" s="37" t="str">
        <f>IF(ISBLANK(AY42),"",MATCH(AW42,Overview!$A:$A,0))</f>
        <v/>
      </c>
      <c r="BK42" s="38"/>
    </row>
    <row r="43" spans="1:63" x14ac:dyDescent="0.2">
      <c r="A43" s="37" t="str">
        <f>_xlfn.IFNA(VLOOKUP(C43,'Abbrevation full name'!$A$3:$B$351,2,FALSE),"")</f>
        <v/>
      </c>
      <c r="B43" s="37" t="str">
        <f>IF(ISBLANK(C43),"",MATCH(A43,Overview!A:A,0))</f>
        <v/>
      </c>
      <c r="O43" s="38"/>
      <c r="Q43" s="37" t="str">
        <f>_xlfn.IFNA(VLOOKUP(S43,'Abbrevation full name'!$A$3:$B$351,2,FALSE),"")</f>
        <v/>
      </c>
      <c r="R43" s="37" t="str">
        <f>IF(ISBLANK(S43),"",MATCH(Q43,Overview!$A:$A,0))</f>
        <v/>
      </c>
      <c r="AE43" s="38"/>
      <c r="AG43" s="37" t="str">
        <f>_xlfn.IFNA(VLOOKUP(AI43,'Abbrevation full name'!$A$3:$B$351,2,FALSE),"")</f>
        <v/>
      </c>
      <c r="AH43" s="37" t="str">
        <f>IF(ISBLANK(AI43),"",MATCH(AG43,Overview!$A:$A,0))</f>
        <v/>
      </c>
      <c r="AU43" s="38"/>
      <c r="AW43" s="37" t="str">
        <f>_xlfn.IFNA(VLOOKUP(AY43,'Abbrevation full name'!$A$3:$B$351,2,FALSE),"")</f>
        <v/>
      </c>
      <c r="AX43" s="37" t="str">
        <f>IF(ISBLANK(AY43),"",MATCH(AW43,Overview!$A:$A,0))</f>
        <v/>
      </c>
      <c r="BK43" s="38"/>
    </row>
    <row r="44" spans="1:63" x14ac:dyDescent="0.2">
      <c r="A44" s="37" t="str">
        <f>_xlfn.IFNA(VLOOKUP(C44,'Abbrevation full name'!$A$3:$B$351,2,FALSE),"")</f>
        <v/>
      </c>
      <c r="B44" s="37" t="str">
        <f>IF(ISBLANK(C44),"",MATCH(A44,Overview!A:A,0))</f>
        <v/>
      </c>
      <c r="O44" s="38"/>
      <c r="Q44" s="37" t="str">
        <f>_xlfn.IFNA(VLOOKUP(S44,'Abbrevation full name'!$A$3:$B$351,2,FALSE),"")</f>
        <v/>
      </c>
      <c r="R44" s="37" t="str">
        <f>IF(ISBLANK(S44),"",MATCH(Q44,Overview!$A:$A,0))</f>
        <v/>
      </c>
      <c r="AE44" s="38"/>
      <c r="AG44" s="37" t="str">
        <f>_xlfn.IFNA(VLOOKUP(AI44,'Abbrevation full name'!$A$3:$B$351,2,FALSE),"")</f>
        <v/>
      </c>
      <c r="AH44" s="37" t="str">
        <f>IF(ISBLANK(AI44),"",MATCH(AG44,Overview!$A:$A,0))</f>
        <v/>
      </c>
      <c r="AU44" s="38"/>
      <c r="AW44" s="37" t="str">
        <f>_xlfn.IFNA(VLOOKUP(AY44,'Abbrevation full name'!$A$3:$B$351,2,FALSE),"")</f>
        <v/>
      </c>
      <c r="AX44" s="37" t="str">
        <f>IF(ISBLANK(AY44),"",MATCH(AW44,Overview!$A:$A,0))</f>
        <v/>
      </c>
      <c r="BK44" s="38"/>
    </row>
    <row r="45" spans="1:63" x14ac:dyDescent="0.2">
      <c r="A45" s="37" t="str">
        <f>_xlfn.IFNA(VLOOKUP(C45,'Abbrevation full name'!$A$3:$B$351,2,FALSE),"")</f>
        <v/>
      </c>
      <c r="B45" s="37" t="str">
        <f>IF(ISBLANK(C45),"",MATCH(A45,Overview!A:A,0))</f>
        <v/>
      </c>
      <c r="O45" s="38"/>
      <c r="Q45" s="37" t="str">
        <f>_xlfn.IFNA(VLOOKUP(S45,'Abbrevation full name'!$A$3:$B$351,2,FALSE),"")</f>
        <v/>
      </c>
      <c r="R45" s="37" t="str">
        <f>IF(ISBLANK(S45),"",MATCH(Q45,Overview!$A:$A,0))</f>
        <v/>
      </c>
      <c r="AE45" s="38"/>
      <c r="AG45" s="37" t="str">
        <f>_xlfn.IFNA(VLOOKUP(AI45,'Abbrevation full name'!$A$3:$B$351,2,FALSE),"")</f>
        <v/>
      </c>
      <c r="AH45" s="37" t="str">
        <f>IF(ISBLANK(AI45),"",MATCH(AG45,Overview!$A:$A,0))</f>
        <v/>
      </c>
      <c r="AU45" s="38"/>
      <c r="AW45" s="37" t="str">
        <f>_xlfn.IFNA(VLOOKUP(AY45,'Abbrevation full name'!$A$3:$B$351,2,FALSE),"")</f>
        <v/>
      </c>
      <c r="AX45" s="37" t="str">
        <f>IF(ISBLANK(AY45),"",MATCH(AW45,Overview!$A:$A,0))</f>
        <v/>
      </c>
      <c r="BK45" s="38"/>
    </row>
    <row r="46" spans="1:63" x14ac:dyDescent="0.2">
      <c r="A46" s="37" t="str">
        <f>_xlfn.IFNA(VLOOKUP(C46,'Abbrevation full name'!$A$3:$B$351,2,FALSE),"")</f>
        <v/>
      </c>
      <c r="B46" s="37" t="str">
        <f>IF(ISBLANK(C46),"",MATCH(A46,Overview!A:A,0))</f>
        <v/>
      </c>
      <c r="O46" s="38"/>
      <c r="Q46" s="37" t="str">
        <f>_xlfn.IFNA(VLOOKUP(S46,'Abbrevation full name'!$A$3:$B$351,2,FALSE),"")</f>
        <v/>
      </c>
      <c r="R46" s="37" t="str">
        <f>IF(ISBLANK(S46),"",MATCH(Q46,Overview!$A:$A,0))</f>
        <v/>
      </c>
      <c r="AE46" s="38"/>
      <c r="AG46" s="37" t="str">
        <f>_xlfn.IFNA(VLOOKUP(AI46,'Abbrevation full name'!$A$3:$B$351,2,FALSE),"")</f>
        <v/>
      </c>
      <c r="AH46" s="37" t="str">
        <f>IF(ISBLANK(AI46),"",MATCH(AG46,Overview!$A:$A,0))</f>
        <v/>
      </c>
      <c r="AU46" s="38"/>
      <c r="AW46" s="37" t="str">
        <f>_xlfn.IFNA(VLOOKUP(AY46,'Abbrevation full name'!$A$3:$B$351,2,FALSE),"")</f>
        <v/>
      </c>
      <c r="AX46" s="37" t="str">
        <f>IF(ISBLANK(AY46),"",MATCH(AW46,Overview!$A:$A,0))</f>
        <v/>
      </c>
      <c r="BK46" s="38"/>
    </row>
    <row r="47" spans="1:63" x14ac:dyDescent="0.2">
      <c r="A47" s="37" t="str">
        <f>_xlfn.IFNA(VLOOKUP(C47,'Abbrevation full name'!$A$3:$B$351,2,FALSE),"")</f>
        <v/>
      </c>
      <c r="B47" s="37" t="str">
        <f>IF(ISBLANK(C47),"",MATCH(A47,Overview!A:A,0))</f>
        <v/>
      </c>
      <c r="O47" s="38"/>
      <c r="Q47" s="37" t="str">
        <f>_xlfn.IFNA(VLOOKUP(S47,'Abbrevation full name'!$A$3:$B$351,2,FALSE),"")</f>
        <v/>
      </c>
      <c r="R47" s="37" t="str">
        <f>IF(ISBLANK(S47),"",MATCH(Q47,Overview!$A:$A,0))</f>
        <v/>
      </c>
      <c r="AE47" s="38"/>
      <c r="AG47" s="37" t="str">
        <f>_xlfn.IFNA(VLOOKUP(AI47,'Abbrevation full name'!$A$3:$B$351,2,FALSE),"")</f>
        <v/>
      </c>
      <c r="AH47" s="37" t="str">
        <f>IF(ISBLANK(AI47),"",MATCH(AG47,Overview!$A:$A,0))</f>
        <v/>
      </c>
      <c r="AU47" s="38"/>
      <c r="AW47" s="37" t="str">
        <f>_xlfn.IFNA(VLOOKUP(AY47,'Abbrevation full name'!$A$3:$B$351,2,FALSE),"")</f>
        <v/>
      </c>
      <c r="AX47" s="37" t="str">
        <f>IF(ISBLANK(AY47),"",MATCH(AW47,Overview!$A:$A,0))</f>
        <v/>
      </c>
      <c r="BK47" s="38"/>
    </row>
    <row r="48" spans="1:63" x14ac:dyDescent="0.2">
      <c r="A48" s="37" t="str">
        <f>_xlfn.IFNA(VLOOKUP(C48,'Abbrevation full name'!$A$3:$B$351,2,FALSE),"")</f>
        <v/>
      </c>
      <c r="B48" s="37" t="str">
        <f>IF(ISBLANK(C48),"",MATCH(A48,Overview!A:A,0))</f>
        <v/>
      </c>
      <c r="O48" s="38"/>
      <c r="Q48" s="37" t="str">
        <f>_xlfn.IFNA(VLOOKUP(S48,'Abbrevation full name'!$A$3:$B$351,2,FALSE),"")</f>
        <v/>
      </c>
      <c r="R48" s="37" t="str">
        <f>IF(ISBLANK(S48),"",MATCH(Q48,Overview!$A:$A,0))</f>
        <v/>
      </c>
      <c r="AE48" s="38"/>
      <c r="AG48" s="37" t="str">
        <f>_xlfn.IFNA(VLOOKUP(AI48,'Abbrevation full name'!$A$3:$B$351,2,FALSE),"")</f>
        <v/>
      </c>
      <c r="AH48" s="37" t="str">
        <f>IF(ISBLANK(AI48),"",MATCH(AG48,Overview!$A:$A,0))</f>
        <v/>
      </c>
      <c r="AU48" s="38"/>
      <c r="AW48" s="37" t="str">
        <f>_xlfn.IFNA(VLOOKUP(AY48,'Abbrevation full name'!$A$3:$B$351,2,FALSE),"")</f>
        <v/>
      </c>
      <c r="AX48" s="37" t="str">
        <f>IF(ISBLANK(AY48),"",MATCH(AW48,Overview!$A:$A,0))</f>
        <v/>
      </c>
      <c r="BK48" s="38"/>
    </row>
    <row r="49" spans="1:63" x14ac:dyDescent="0.2">
      <c r="A49" s="37" t="str">
        <f>_xlfn.IFNA(VLOOKUP(C49,'Abbrevation full name'!$A$3:$B$351,2,FALSE),"")</f>
        <v/>
      </c>
      <c r="B49" s="37" t="str">
        <f>IF(ISBLANK(C49),"",MATCH(A49,Overview!A:A,0))</f>
        <v/>
      </c>
      <c r="O49" s="38"/>
      <c r="Q49" s="37" t="str">
        <f>_xlfn.IFNA(VLOOKUP(S49,'Abbrevation full name'!$A$3:$B$351,2,FALSE),"")</f>
        <v/>
      </c>
      <c r="R49" s="37" t="str">
        <f>IF(ISBLANK(S49),"",MATCH(Q49,Overview!$A:$A,0))</f>
        <v/>
      </c>
      <c r="AE49" s="38"/>
      <c r="AG49" s="37" t="str">
        <f>_xlfn.IFNA(VLOOKUP(AI49,'Abbrevation full name'!$A$3:$B$351,2,FALSE),"")</f>
        <v/>
      </c>
      <c r="AH49" s="37" t="str">
        <f>IF(ISBLANK(AI49),"",MATCH(AG49,Overview!$A:$A,0))</f>
        <v/>
      </c>
      <c r="AU49" s="38"/>
      <c r="AW49" s="37" t="str">
        <f>_xlfn.IFNA(VLOOKUP(AY49,'Abbrevation full name'!$A$3:$B$351,2,FALSE),"")</f>
        <v/>
      </c>
      <c r="AX49" s="37" t="str">
        <f>IF(ISBLANK(AY49),"",MATCH(AW49,Overview!$A:$A,0))</f>
        <v/>
      </c>
      <c r="BK49" s="38"/>
    </row>
    <row r="50" spans="1:63" x14ac:dyDescent="0.2">
      <c r="A50" s="37" t="str">
        <f>_xlfn.IFNA(VLOOKUP(C50,'Abbrevation full name'!$A$3:$B$351,2,FALSE),"")</f>
        <v/>
      </c>
      <c r="B50" s="37" t="str">
        <f>IF(ISBLANK(C50),"",MATCH(A50,Overview!A:A,0))</f>
        <v/>
      </c>
      <c r="O50" s="38"/>
      <c r="Q50" s="37" t="str">
        <f>_xlfn.IFNA(VLOOKUP(S50,'Abbrevation full name'!$A$3:$B$351,2,FALSE),"")</f>
        <v/>
      </c>
      <c r="R50" s="37" t="str">
        <f>IF(ISBLANK(S50),"",MATCH(Q50,Overview!$A:$A,0))</f>
        <v/>
      </c>
      <c r="AE50" s="38"/>
      <c r="AG50" s="37" t="str">
        <f>_xlfn.IFNA(VLOOKUP(AI50,'Abbrevation full name'!$A$3:$B$351,2,FALSE),"")</f>
        <v/>
      </c>
      <c r="AH50" s="37" t="str">
        <f>IF(ISBLANK(AI50),"",MATCH(AG50,Overview!$A:$A,0))</f>
        <v/>
      </c>
      <c r="AU50" s="38"/>
      <c r="AW50" s="37" t="str">
        <f>_xlfn.IFNA(VLOOKUP(AY50,'Abbrevation full name'!$A$3:$B$351,2,FALSE),"")</f>
        <v/>
      </c>
      <c r="AX50" s="37" t="str">
        <f>IF(ISBLANK(AY50),"",MATCH(AW50,Overview!$A:$A,0))</f>
        <v/>
      </c>
      <c r="BK50" s="38"/>
    </row>
    <row r="51" spans="1:63" x14ac:dyDescent="0.2">
      <c r="A51" s="37" t="str">
        <f>_xlfn.IFNA(VLOOKUP(C51,'Abbrevation full name'!$A$3:$B$351,2,FALSE),"")</f>
        <v/>
      </c>
      <c r="B51" s="37" t="str">
        <f>IF(ISBLANK(C51),"",MATCH(A51,Overview!A:A,0))</f>
        <v/>
      </c>
      <c r="O51" s="38"/>
      <c r="Q51" s="37" t="str">
        <f>_xlfn.IFNA(VLOOKUP(S51,'Abbrevation full name'!$A$3:$B$351,2,FALSE),"")</f>
        <v/>
      </c>
      <c r="R51" s="37" t="str">
        <f>IF(ISBLANK(S51),"",MATCH(Q51,Overview!$A:$A,0))</f>
        <v/>
      </c>
      <c r="AE51" s="38"/>
      <c r="AG51" s="37" t="str">
        <f>_xlfn.IFNA(VLOOKUP(AI51,'Abbrevation full name'!$A$3:$B$351,2,FALSE),"")</f>
        <v/>
      </c>
      <c r="AH51" s="37" t="str">
        <f>IF(ISBLANK(AI51),"",MATCH(AG51,Overview!$A:$A,0))</f>
        <v/>
      </c>
      <c r="AU51" s="38"/>
      <c r="AW51" s="37" t="str">
        <f>_xlfn.IFNA(VLOOKUP(AY51,'Abbrevation full name'!$A$3:$B$351,2,FALSE),"")</f>
        <v/>
      </c>
      <c r="AX51" s="37" t="str">
        <f>IF(ISBLANK(AY51),"",MATCH(AW51,Overview!$A:$A,0))</f>
        <v/>
      </c>
      <c r="BK51" s="38"/>
    </row>
    <row r="52" spans="1:63" x14ac:dyDescent="0.2">
      <c r="A52" s="37" t="str">
        <f>_xlfn.IFNA(VLOOKUP(C52,'Abbrevation full name'!$A$3:$B$351,2,FALSE),"")</f>
        <v/>
      </c>
      <c r="B52" s="37" t="str">
        <f>IF(ISBLANK(C52),"",MATCH(A52,Overview!A:A,0))</f>
        <v/>
      </c>
      <c r="O52" s="38"/>
      <c r="Q52" s="37" t="str">
        <f>_xlfn.IFNA(VLOOKUP(S52,'Abbrevation full name'!$A$3:$B$351,2,FALSE),"")</f>
        <v/>
      </c>
      <c r="R52" s="37" t="str">
        <f>IF(ISBLANK(S52),"",MATCH(Q52,Overview!$A:$A,0))</f>
        <v/>
      </c>
      <c r="AE52" s="38"/>
      <c r="AG52" s="37" t="str">
        <f>_xlfn.IFNA(VLOOKUP(AI52,'Abbrevation full name'!$A$3:$B$351,2,FALSE),"")</f>
        <v/>
      </c>
      <c r="AH52" s="37" t="str">
        <f>IF(ISBLANK(AI52),"",MATCH(AG52,Overview!$A:$A,0))</f>
        <v/>
      </c>
      <c r="AU52" s="38"/>
      <c r="AW52" s="37" t="str">
        <f>_xlfn.IFNA(VLOOKUP(AY52,'Abbrevation full name'!$A$3:$B$351,2,FALSE),"")</f>
        <v/>
      </c>
      <c r="AX52" s="37" t="str">
        <f>IF(ISBLANK(AY52),"",MATCH(AW52,Overview!$A:$A,0))</f>
        <v/>
      </c>
      <c r="BK52" s="38"/>
    </row>
    <row r="53" spans="1:63" x14ac:dyDescent="0.2">
      <c r="A53" s="37" t="str">
        <f>_xlfn.IFNA(VLOOKUP(C53,'Abbrevation full name'!$A$3:$B$351,2,FALSE),"")</f>
        <v/>
      </c>
      <c r="B53" s="37" t="str">
        <f>IF(ISBLANK(C53),"",MATCH(A53,Overview!A:A,0))</f>
        <v/>
      </c>
      <c r="O53" s="38"/>
      <c r="Q53" s="37" t="str">
        <f>_xlfn.IFNA(VLOOKUP(S53,'Abbrevation full name'!$A$3:$B$351,2,FALSE),"")</f>
        <v/>
      </c>
      <c r="R53" s="37" t="str">
        <f>IF(ISBLANK(S53),"",MATCH(Q53,Overview!$A:$A,0))</f>
        <v/>
      </c>
      <c r="AE53" s="38"/>
      <c r="AG53" s="37" t="str">
        <f>_xlfn.IFNA(VLOOKUP(AI53,'Abbrevation full name'!$A$3:$B$351,2,FALSE),"")</f>
        <v/>
      </c>
      <c r="AH53" s="37" t="str">
        <f>IF(ISBLANK(AI53),"",MATCH(AG53,Overview!$A:$A,0))</f>
        <v/>
      </c>
      <c r="AU53" s="38"/>
      <c r="AW53" s="37" t="str">
        <f>_xlfn.IFNA(VLOOKUP(AY53,'Abbrevation full name'!$A$3:$B$351,2,FALSE),"")</f>
        <v/>
      </c>
      <c r="AX53" s="37" t="str">
        <f>IF(ISBLANK(AY53),"",MATCH(AW53,Overview!$A:$A,0))</f>
        <v/>
      </c>
      <c r="BK53" s="38"/>
    </row>
    <row r="54" spans="1:63" x14ac:dyDescent="0.2">
      <c r="A54" s="37" t="str">
        <f>_xlfn.IFNA(VLOOKUP(C54,'Abbrevation full name'!$A$3:$B$351,2,FALSE),"")</f>
        <v/>
      </c>
      <c r="B54" s="37" t="str">
        <f>IF(ISBLANK(C54),"",MATCH(A54,Overview!A:A,0))</f>
        <v/>
      </c>
      <c r="O54" s="38"/>
      <c r="Q54" s="37" t="str">
        <f>_xlfn.IFNA(VLOOKUP(S54,'Abbrevation full name'!$A$3:$B$351,2,FALSE),"")</f>
        <v/>
      </c>
      <c r="R54" s="37" t="str">
        <f>IF(ISBLANK(S54),"",MATCH(Q54,Overview!$A:$A,0))</f>
        <v/>
      </c>
      <c r="AE54" s="38"/>
      <c r="AG54" s="37" t="str">
        <f>_xlfn.IFNA(VLOOKUP(AI54,'Abbrevation full name'!$A$3:$B$351,2,FALSE),"")</f>
        <v/>
      </c>
      <c r="AH54" s="37" t="str">
        <f>IF(ISBLANK(AI54),"",MATCH(AG54,Overview!$A:$A,0))</f>
        <v/>
      </c>
      <c r="AU54" s="38"/>
      <c r="AW54" s="37" t="str">
        <f>_xlfn.IFNA(VLOOKUP(AY54,'Abbrevation full name'!$A$3:$B$351,2,FALSE),"")</f>
        <v/>
      </c>
      <c r="AX54" s="37" t="str">
        <f>IF(ISBLANK(AY54),"",MATCH(AW54,Overview!$A:$A,0))</f>
        <v/>
      </c>
      <c r="BK54" s="38"/>
    </row>
    <row r="55" spans="1:63" x14ac:dyDescent="0.2">
      <c r="A55" s="37" t="str">
        <f>_xlfn.IFNA(VLOOKUP(C55,'Abbrevation full name'!$A$3:$B$351,2,FALSE),"")</f>
        <v/>
      </c>
      <c r="B55" s="37" t="str">
        <f>IF(ISBLANK(C55),"",MATCH(A55,Overview!A:A,0))</f>
        <v/>
      </c>
      <c r="O55" s="38"/>
      <c r="Q55" s="37" t="str">
        <f>_xlfn.IFNA(VLOOKUP(S55,'Abbrevation full name'!$A$3:$B$351,2,FALSE),"")</f>
        <v/>
      </c>
      <c r="R55" s="37" t="str">
        <f>IF(ISBLANK(S55),"",MATCH(Q55,Overview!$A:$A,0))</f>
        <v/>
      </c>
      <c r="AE55" s="38"/>
      <c r="AG55" s="37" t="str">
        <f>_xlfn.IFNA(VLOOKUP(AI55,'Abbrevation full name'!$A$3:$B$351,2,FALSE),"")</f>
        <v/>
      </c>
      <c r="AH55" s="37" t="str">
        <f>IF(ISBLANK(AI55),"",MATCH(AG55,Overview!$A:$A,0))</f>
        <v/>
      </c>
      <c r="AU55" s="38"/>
      <c r="AW55" s="37" t="str">
        <f>_xlfn.IFNA(VLOOKUP(AY55,'Abbrevation full name'!$A$3:$B$351,2,FALSE),"")</f>
        <v/>
      </c>
      <c r="AX55" s="37" t="str">
        <f>IF(ISBLANK(AY55),"",MATCH(AW55,Overview!$A:$A,0))</f>
        <v/>
      </c>
      <c r="BK55" s="38"/>
    </row>
    <row r="56" spans="1:63" x14ac:dyDescent="0.2">
      <c r="A56" s="37" t="str">
        <f>_xlfn.IFNA(VLOOKUP(C56,'Abbrevation full name'!$A$3:$B$351,2,FALSE),"")</f>
        <v/>
      </c>
      <c r="B56" s="37" t="str">
        <f>IF(ISBLANK(C56),"",MATCH(A56,Overview!A:A,0))</f>
        <v/>
      </c>
      <c r="O56" s="38"/>
      <c r="Q56" s="37" t="str">
        <f>_xlfn.IFNA(VLOOKUP(S56,'Abbrevation full name'!$A$3:$B$351,2,FALSE),"")</f>
        <v/>
      </c>
      <c r="R56" s="37" t="str">
        <f>IF(ISBLANK(S56),"",MATCH(Q56,Overview!$A:$A,0))</f>
        <v/>
      </c>
      <c r="AE56" s="38"/>
      <c r="AG56" s="37" t="str">
        <f>_xlfn.IFNA(VLOOKUP(AI56,'Abbrevation full name'!$A$3:$B$351,2,FALSE),"")</f>
        <v/>
      </c>
      <c r="AH56" s="37" t="str">
        <f>IF(ISBLANK(AI56),"",MATCH(AG56,Overview!$A:$A,0))</f>
        <v/>
      </c>
      <c r="AU56" s="38"/>
      <c r="AW56" s="37" t="str">
        <f>_xlfn.IFNA(VLOOKUP(AY56,'Abbrevation full name'!$A$3:$B$351,2,FALSE),"")</f>
        <v/>
      </c>
      <c r="AX56" s="37" t="str">
        <f>IF(ISBLANK(AY56),"",MATCH(AW56,Overview!$A:$A,0))</f>
        <v/>
      </c>
      <c r="BK56" s="38"/>
    </row>
    <row r="57" spans="1:63" x14ac:dyDescent="0.2">
      <c r="A57" s="37" t="str">
        <f>_xlfn.IFNA(VLOOKUP(C57,'Abbrevation full name'!$A$3:$B$351,2,FALSE),"")</f>
        <v/>
      </c>
      <c r="B57" s="37" t="str">
        <f>IF(ISBLANK(C57),"",MATCH(A57,Overview!A:A,0))</f>
        <v/>
      </c>
      <c r="O57" s="38"/>
      <c r="Q57" s="37" t="str">
        <f>_xlfn.IFNA(VLOOKUP(S57,'Abbrevation full name'!$A$3:$B$351,2,FALSE),"")</f>
        <v/>
      </c>
      <c r="R57" s="37" t="str">
        <f>IF(ISBLANK(S57),"",MATCH(Q57,Overview!$A:$A,0))</f>
        <v/>
      </c>
      <c r="AE57" s="38"/>
      <c r="AG57" s="37" t="str">
        <f>_xlfn.IFNA(VLOOKUP(AI57,'Abbrevation full name'!$A$3:$B$351,2,FALSE),"")</f>
        <v/>
      </c>
      <c r="AH57" s="37" t="str">
        <f>IF(ISBLANK(AI57),"",MATCH(AG57,Overview!$A:$A,0))</f>
        <v/>
      </c>
      <c r="AU57" s="38"/>
      <c r="AW57" s="37" t="str">
        <f>_xlfn.IFNA(VLOOKUP(AY57,'Abbrevation full name'!$A$3:$B$351,2,FALSE),"")</f>
        <v/>
      </c>
      <c r="AX57" s="37" t="str">
        <f>IF(ISBLANK(AY57),"",MATCH(AW57,Overview!$A:$A,0))</f>
        <v/>
      </c>
      <c r="BK57" s="38"/>
    </row>
    <row r="58" spans="1:63" x14ac:dyDescent="0.2">
      <c r="A58" s="37" t="str">
        <f>_xlfn.IFNA(VLOOKUP(C58,'Abbrevation full name'!$A$3:$B$351,2,FALSE),"")</f>
        <v/>
      </c>
      <c r="B58" s="37" t="str">
        <f>IF(ISBLANK(C58),"",MATCH(A58,Overview!A:A,0))</f>
        <v/>
      </c>
      <c r="O58" s="38"/>
      <c r="Q58" s="37" t="str">
        <f>_xlfn.IFNA(VLOOKUP(S58,'Abbrevation full name'!$A$3:$B$351,2,FALSE),"")</f>
        <v/>
      </c>
      <c r="R58" s="37" t="str">
        <f>IF(ISBLANK(S58),"",MATCH(Q58,Overview!$A:$A,0))</f>
        <v/>
      </c>
      <c r="AE58" s="38"/>
      <c r="AG58" s="37" t="str">
        <f>_xlfn.IFNA(VLOOKUP(AI58,'Abbrevation full name'!$A$3:$B$351,2,FALSE),"")</f>
        <v/>
      </c>
      <c r="AH58" s="37" t="str">
        <f>IF(ISBLANK(AI58),"",MATCH(AG58,Overview!$A:$A,0))</f>
        <v/>
      </c>
      <c r="AU58" s="38"/>
      <c r="AW58" s="37" t="str">
        <f>_xlfn.IFNA(VLOOKUP(AY58,'Abbrevation full name'!$A$3:$B$351,2,FALSE),"")</f>
        <v/>
      </c>
      <c r="AX58" s="37" t="str">
        <f>IF(ISBLANK(AY58),"",MATCH(AW58,Overview!$A:$A,0))</f>
        <v/>
      </c>
      <c r="BK58" s="38"/>
    </row>
    <row r="59" spans="1:63" x14ac:dyDescent="0.2">
      <c r="A59" s="37" t="str">
        <f>_xlfn.IFNA(VLOOKUP(C59,'Abbrevation full name'!$A$3:$B$351,2,FALSE),"")</f>
        <v/>
      </c>
      <c r="B59" s="37" t="str">
        <f>IF(ISBLANK(C59),"",MATCH(A59,Overview!A:A,0))</f>
        <v/>
      </c>
      <c r="O59" s="38"/>
      <c r="Q59" s="37" t="str">
        <f>_xlfn.IFNA(VLOOKUP(S59,'Abbrevation full name'!$A$3:$B$351,2,FALSE),"")</f>
        <v/>
      </c>
      <c r="R59" s="37" t="str">
        <f>IF(ISBLANK(S59),"",MATCH(Q59,Overview!$A:$A,0))</f>
        <v/>
      </c>
      <c r="AE59" s="38"/>
      <c r="AG59" s="37" t="str">
        <f>_xlfn.IFNA(VLOOKUP(AI59,'Abbrevation full name'!$A$3:$B$351,2,FALSE),"")</f>
        <v/>
      </c>
      <c r="AH59" s="37" t="str">
        <f>IF(ISBLANK(AI59),"",MATCH(AG59,Overview!$A:$A,0))</f>
        <v/>
      </c>
      <c r="AU59" s="38"/>
      <c r="AW59" s="37" t="str">
        <f>_xlfn.IFNA(VLOOKUP(AY59,'Abbrevation full name'!$A$3:$B$351,2,FALSE),"")</f>
        <v/>
      </c>
      <c r="AX59" s="37" t="str">
        <f>IF(ISBLANK(AY59),"",MATCH(AW59,Overview!$A:$A,0))</f>
        <v/>
      </c>
      <c r="BK59" s="38"/>
    </row>
    <row r="60" spans="1:63" x14ac:dyDescent="0.2">
      <c r="A60" s="37" t="str">
        <f>_xlfn.IFNA(VLOOKUP(C60,'Abbrevation full name'!$A$3:$B$351,2,FALSE),"")</f>
        <v/>
      </c>
      <c r="B60" s="31" t="str">
        <f>IF(ISBLANK(C60),"",MATCH(A60,Overview!A:A,0))</f>
        <v/>
      </c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9"/>
      <c r="Q60" s="37" t="str">
        <f>_xlfn.IFNA(VLOOKUP(S60,'Abbrevation full name'!$A$3:$B$351,2,FALSE),"")</f>
        <v/>
      </c>
      <c r="R60" s="37" t="str">
        <f>IF(ISBLANK(S60),"",MATCH(Q60,Overview!$A:$A,0))</f>
        <v/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9"/>
      <c r="AG60" s="37" t="str">
        <f>_xlfn.IFNA(VLOOKUP(AI60,'Abbrevation full name'!$A$3:$B$351,2,FALSE),"")</f>
        <v/>
      </c>
      <c r="AH60" s="37" t="str">
        <f>IF(ISBLANK(AI60),"",MATCH(AG60,Overview!$A:$A,0))</f>
        <v/>
      </c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9"/>
      <c r="AW60" s="37" t="str">
        <f>_xlfn.IFNA(VLOOKUP(AY60,'Abbrevation full name'!$A$3:$B$351,2,FALSE),"")</f>
        <v/>
      </c>
      <c r="AX60" s="37" t="str">
        <f>IF(ISBLANK(AY60),"",MATCH(AW60,Overview!$A:$A,0))</f>
        <v/>
      </c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9"/>
    </row>
  </sheetData>
  <mergeCells count="4">
    <mergeCell ref="D1:O1"/>
    <mergeCell ref="T1:AE1"/>
    <mergeCell ref="AJ1:AU1"/>
    <mergeCell ref="AZ1:BK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astFish.Fastfish">
                <anchor moveWithCells="1" sizeWithCells="1">
                  <from>
                    <xdr:col>0</xdr:col>
                    <xdr:colOff>180975</xdr:colOff>
                    <xdr:row>0</xdr:row>
                    <xdr:rowOff>0</xdr:rowOff>
                  </from>
                  <to>
                    <xdr:col>0</xdr:col>
                    <xdr:colOff>1333500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astFish.Fastfish">
                <anchor moveWithCells="1" sizeWithCells="1">
                  <from>
                    <xdr:col>16</xdr:col>
                    <xdr:colOff>180975</xdr:colOff>
                    <xdr:row>0</xdr:row>
                    <xdr:rowOff>0</xdr:rowOff>
                  </from>
                  <to>
                    <xdr:col>16</xdr:col>
                    <xdr:colOff>1333500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astFish.Fastfish">
                <anchor moveWithCells="1" sizeWithCells="1">
                  <from>
                    <xdr:col>32</xdr:col>
                    <xdr:colOff>180975</xdr:colOff>
                    <xdr:row>0</xdr:row>
                    <xdr:rowOff>0</xdr:rowOff>
                  </from>
                  <to>
                    <xdr:col>32</xdr:col>
                    <xdr:colOff>1333500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astFish.Fastfish">
                <anchor moveWithCells="1" sizeWithCells="1">
                  <from>
                    <xdr:col>48</xdr:col>
                    <xdr:colOff>180975</xdr:colOff>
                    <xdr:row>0</xdr:row>
                    <xdr:rowOff>0</xdr:rowOff>
                  </from>
                  <to>
                    <xdr:col>48</xdr:col>
                    <xdr:colOff>1333500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30353-3AA9-4E01-ADE1-F34FD97A5F0F}">
  <sheetPr codeName="Sheet5"/>
  <dimension ref="A1:B457"/>
  <sheetViews>
    <sheetView topLeftCell="A3" workbookViewId="0">
      <selection activeCell="A138" sqref="A138"/>
    </sheetView>
  </sheetViews>
  <sheetFormatPr defaultRowHeight="12.75" x14ac:dyDescent="0.2"/>
  <cols>
    <col min="1" max="1" width="16.28515625" customWidth="1"/>
    <col min="2" max="2" width="32.28515625" bestFit="1" customWidth="1"/>
  </cols>
  <sheetData>
    <row r="1" spans="1:2" hidden="1" x14ac:dyDescent="0.2"/>
    <row r="2" spans="1:2" hidden="1" x14ac:dyDescent="0.2"/>
    <row r="3" spans="1:2" x14ac:dyDescent="0.2">
      <c r="A3" t="s">
        <v>395</v>
      </c>
      <c r="B3" s="32" t="str">
        <f>Overview!A3</f>
        <v>Abudefduf sexfasciatus</v>
      </c>
    </row>
    <row r="4" spans="1:2" x14ac:dyDescent="0.2">
      <c r="A4" t="s">
        <v>396</v>
      </c>
      <c r="B4" s="32" t="str">
        <f>Overview!A4</f>
        <v>Abudefduf sparoides</v>
      </c>
    </row>
    <row r="5" spans="1:2" x14ac:dyDescent="0.2">
      <c r="A5" t="s">
        <v>397</v>
      </c>
      <c r="B5" s="32" t="str">
        <f>Overview!A5</f>
        <v>Abudefduf vaigiensis</v>
      </c>
    </row>
    <row r="6" spans="1:2" x14ac:dyDescent="0.2">
      <c r="A6" t="s">
        <v>398</v>
      </c>
      <c r="B6" s="32" t="str">
        <f>Overview!A6</f>
        <v>Acanthurus dussumieri</v>
      </c>
    </row>
    <row r="7" spans="1:2" x14ac:dyDescent="0.2">
      <c r="A7" t="s">
        <v>399</v>
      </c>
      <c r="B7" s="32" t="str">
        <f>Overview!A7</f>
        <v>Acanthurus leucosternon</v>
      </c>
    </row>
    <row r="8" spans="1:2" x14ac:dyDescent="0.2">
      <c r="A8" t="s">
        <v>400</v>
      </c>
      <c r="B8" s="32" t="str">
        <f>Overview!A8</f>
        <v>Acanthurus lineatus</v>
      </c>
    </row>
    <row r="9" spans="1:2" x14ac:dyDescent="0.2">
      <c r="A9" t="s">
        <v>401</v>
      </c>
      <c r="B9" s="32" t="str">
        <f>Overview!A9</f>
        <v>Acanthurus mata</v>
      </c>
    </row>
    <row r="10" spans="1:2" x14ac:dyDescent="0.2">
      <c r="A10" t="s">
        <v>402</v>
      </c>
      <c r="B10" s="32" t="str">
        <f>Overview!A10</f>
        <v>Acanthurus nigricauda</v>
      </c>
    </row>
    <row r="11" spans="1:2" x14ac:dyDescent="0.2">
      <c r="A11" t="s">
        <v>403</v>
      </c>
      <c r="B11" s="32" t="str">
        <f>Overview!A11</f>
        <v>Acanthurus nigrofuscus</v>
      </c>
    </row>
    <row r="12" spans="1:2" x14ac:dyDescent="0.2">
      <c r="A12" t="s">
        <v>404</v>
      </c>
      <c r="B12" s="32" t="str">
        <f>Overview!A12</f>
        <v>Acanthurus sp</v>
      </c>
    </row>
    <row r="13" spans="1:2" x14ac:dyDescent="0.2">
      <c r="A13" t="s">
        <v>405</v>
      </c>
      <c r="B13" s="32" t="str">
        <f>Overview!A13</f>
        <v>Acanthurus tennenti</v>
      </c>
    </row>
    <row r="14" spans="1:2" x14ac:dyDescent="0.2">
      <c r="A14" t="s">
        <v>406</v>
      </c>
      <c r="B14" s="32" t="str">
        <f>Overview!A14</f>
        <v>Acanthurus triostegus</v>
      </c>
    </row>
    <row r="15" spans="1:2" x14ac:dyDescent="0.2">
      <c r="A15" t="s">
        <v>407</v>
      </c>
      <c r="B15" s="32" t="str">
        <f>Overview!A15</f>
        <v>Acanthurus xanthopterus</v>
      </c>
    </row>
    <row r="16" spans="1:2" x14ac:dyDescent="0.2">
      <c r="A16" t="s">
        <v>408</v>
      </c>
      <c r="B16" s="32" t="str">
        <f>Overview!A16</f>
        <v>Acroteriobatus zanzibarensis</v>
      </c>
    </row>
    <row r="17" spans="1:2" x14ac:dyDescent="0.2">
      <c r="A17" t="s">
        <v>409</v>
      </c>
      <c r="B17" s="32" t="str">
        <f>Overview!A17</f>
        <v>Aeoliscus punctulatus</v>
      </c>
    </row>
    <row r="18" spans="1:2" x14ac:dyDescent="0.2">
      <c r="A18" t="s">
        <v>410</v>
      </c>
      <c r="B18" s="32" t="str">
        <f>Overview!A18</f>
        <v>Aethaloperca rogaa</v>
      </c>
    </row>
    <row r="19" spans="1:2" x14ac:dyDescent="0.2">
      <c r="A19" t="s">
        <v>411</v>
      </c>
      <c r="B19" s="32" t="str">
        <f>Overview!A19</f>
        <v>Aluterus scriptus</v>
      </c>
    </row>
    <row r="20" spans="1:2" x14ac:dyDescent="0.2">
      <c r="A20" t="s">
        <v>412</v>
      </c>
      <c r="B20" s="32" t="str">
        <f>Overview!A20</f>
        <v>Aluterus sp</v>
      </c>
    </row>
    <row r="21" spans="1:2" x14ac:dyDescent="0.2">
      <c r="A21" t="s">
        <v>413</v>
      </c>
      <c r="B21" s="32" t="str">
        <f>Overview!A21</f>
        <v>Amanses scopas</v>
      </c>
    </row>
    <row r="22" spans="1:2" x14ac:dyDescent="0.2">
      <c r="A22" t="s">
        <v>414</v>
      </c>
      <c r="B22" s="32" t="str">
        <f>Overview!A22</f>
        <v>Amblyglyphidodon indicus</v>
      </c>
    </row>
    <row r="23" spans="1:2" x14ac:dyDescent="0.2">
      <c r="A23" t="s">
        <v>415</v>
      </c>
      <c r="B23" s="32" t="str">
        <f>Overview!A23</f>
        <v>Amphiprion akallopisos</v>
      </c>
    </row>
    <row r="24" spans="1:2" x14ac:dyDescent="0.2">
      <c r="A24" t="s">
        <v>416</v>
      </c>
      <c r="B24" s="32" t="str">
        <f>Overview!A24</f>
        <v>Amphiprion allardi</v>
      </c>
    </row>
    <row r="25" spans="1:2" x14ac:dyDescent="0.2">
      <c r="A25" t="s">
        <v>417</v>
      </c>
      <c r="B25" s="32" t="str">
        <f>Overview!A25</f>
        <v>Anampses caeruleopunctatus</v>
      </c>
    </row>
    <row r="26" spans="1:2" x14ac:dyDescent="0.2">
      <c r="A26" t="s">
        <v>418</v>
      </c>
      <c r="B26" s="32" t="str">
        <f>Overview!A26</f>
        <v>Anampses lineatus</v>
      </c>
    </row>
    <row r="27" spans="1:2" x14ac:dyDescent="0.2">
      <c r="A27" t="s">
        <v>419</v>
      </c>
      <c r="B27" s="32" t="str">
        <f>Overview!A27</f>
        <v>Anampses meleagrides</v>
      </c>
    </row>
    <row r="28" spans="1:2" x14ac:dyDescent="0.2">
      <c r="A28" t="s">
        <v>420</v>
      </c>
      <c r="B28" s="32" t="str">
        <f>Overview!A28</f>
        <v>Anampses twistii</v>
      </c>
    </row>
    <row r="29" spans="1:2" x14ac:dyDescent="0.2">
      <c r="A29" t="s">
        <v>421</v>
      </c>
      <c r="B29" s="32" t="str">
        <f>Overview!A29</f>
        <v>Anyperodon leucogrammicus</v>
      </c>
    </row>
    <row r="30" spans="1:2" x14ac:dyDescent="0.2">
      <c r="A30" t="s">
        <v>422</v>
      </c>
      <c r="B30" s="32" t="str">
        <f>Overview!A30</f>
        <v>Arothron hispidus</v>
      </c>
    </row>
    <row r="31" spans="1:2" x14ac:dyDescent="0.2">
      <c r="A31" t="s">
        <v>423</v>
      </c>
      <c r="B31" s="32" t="str">
        <f>Overview!A31</f>
        <v>Arothron immaculatus</v>
      </c>
    </row>
    <row r="32" spans="1:2" x14ac:dyDescent="0.2">
      <c r="A32" t="s">
        <v>424</v>
      </c>
      <c r="B32" s="32" t="str">
        <f>Overview!A32</f>
        <v>Arothron mappa</v>
      </c>
    </row>
    <row r="33" spans="1:2" x14ac:dyDescent="0.2">
      <c r="A33" t="s">
        <v>425</v>
      </c>
      <c r="B33" s="32" t="str">
        <f>Overview!A33</f>
        <v>Arothron meleagris</v>
      </c>
    </row>
    <row r="34" spans="1:2" x14ac:dyDescent="0.2">
      <c r="A34" t="s">
        <v>426</v>
      </c>
      <c r="B34" s="32" t="str">
        <f>Overview!A34</f>
        <v>Arothron nigropunctatus</v>
      </c>
    </row>
    <row r="35" spans="1:2" x14ac:dyDescent="0.2">
      <c r="A35" t="s">
        <v>427</v>
      </c>
      <c r="B35" s="32" t="str">
        <f>Overview!A35</f>
        <v>Arothron stellatus</v>
      </c>
    </row>
    <row r="36" spans="1:2" x14ac:dyDescent="0.2">
      <c r="A36" s="40" t="s">
        <v>705</v>
      </c>
      <c r="B36" s="32" t="str">
        <f>Overview!A36</f>
        <v>Aspidontus dussumieri</v>
      </c>
    </row>
    <row r="37" spans="1:2" x14ac:dyDescent="0.2">
      <c r="A37" t="s">
        <v>428</v>
      </c>
      <c r="B37" s="32" t="str">
        <f>Overview!A37</f>
        <v>Aspidontus taeniatus</v>
      </c>
    </row>
    <row r="38" spans="1:2" x14ac:dyDescent="0.2">
      <c r="A38" t="s">
        <v>429</v>
      </c>
      <c r="B38" s="32" t="str">
        <f>Overview!A38</f>
        <v>Atropis mentalis</v>
      </c>
    </row>
    <row r="39" spans="1:2" x14ac:dyDescent="0.2">
      <c r="A39" t="s">
        <v>430</v>
      </c>
      <c r="B39" s="32" t="str">
        <f>Overview!A39</f>
        <v>Aulostomus chinensis</v>
      </c>
    </row>
    <row r="40" spans="1:2" x14ac:dyDescent="0.2">
      <c r="A40" t="s">
        <v>377</v>
      </c>
      <c r="B40" s="32" t="str">
        <f>Overview!A40</f>
        <v>Azurina lepidolepis</v>
      </c>
    </row>
    <row r="41" spans="1:2" x14ac:dyDescent="0.2">
      <c r="A41" t="s">
        <v>431</v>
      </c>
      <c r="B41" s="32" t="str">
        <f>Overview!A41</f>
        <v>Balistapus undulatus</v>
      </c>
    </row>
    <row r="42" spans="1:2" x14ac:dyDescent="0.2">
      <c r="A42" t="s">
        <v>432</v>
      </c>
      <c r="B42" s="32" t="str">
        <f>Overview!A42</f>
        <v>Balistoides viridescens</v>
      </c>
    </row>
    <row r="43" spans="1:2" x14ac:dyDescent="0.2">
      <c r="A43" t="s">
        <v>433</v>
      </c>
      <c r="B43" s="32" t="str">
        <f>Overview!A43</f>
        <v>Bodianus anthioides</v>
      </c>
    </row>
    <row r="44" spans="1:2" x14ac:dyDescent="0.2">
      <c r="A44" t="s">
        <v>434</v>
      </c>
      <c r="B44" s="32" t="str">
        <f>Overview!A44</f>
        <v>Bodianus axillaris</v>
      </c>
    </row>
    <row r="45" spans="1:2" x14ac:dyDescent="0.2">
      <c r="A45" t="s">
        <v>435</v>
      </c>
      <c r="B45" s="32" t="str">
        <f>Overview!A45</f>
        <v>Bodianus diana</v>
      </c>
    </row>
    <row r="46" spans="1:2" x14ac:dyDescent="0.2">
      <c r="A46" t="s">
        <v>436</v>
      </c>
      <c r="B46" s="32" t="str">
        <f>Overview!A46</f>
        <v>Bodianus sp</v>
      </c>
    </row>
    <row r="47" spans="1:2" x14ac:dyDescent="0.2">
      <c r="A47" t="s">
        <v>437</v>
      </c>
      <c r="B47" s="32" t="str">
        <f>Overview!A47</f>
        <v>Caesio caerulaurea</v>
      </c>
    </row>
    <row r="48" spans="1:2" x14ac:dyDescent="0.2">
      <c r="A48" t="s">
        <v>438</v>
      </c>
      <c r="B48" s="32" t="str">
        <f>Overview!A48</f>
        <v>Caesio lunaris</v>
      </c>
    </row>
    <row r="49" spans="1:2" x14ac:dyDescent="0.2">
      <c r="A49" t="s">
        <v>439</v>
      </c>
      <c r="B49" s="32" t="str">
        <f>Overview!A49</f>
        <v>Caesio teres</v>
      </c>
    </row>
    <row r="50" spans="1:2" x14ac:dyDescent="0.2">
      <c r="A50" t="s">
        <v>440</v>
      </c>
      <c r="B50" s="32" t="str">
        <f>Overview!A50</f>
        <v>Caesio xanthalytos</v>
      </c>
    </row>
    <row r="51" spans="1:2" x14ac:dyDescent="0.2">
      <c r="A51" t="s">
        <v>441</v>
      </c>
      <c r="B51" s="32" t="str">
        <f>Overview!A51</f>
        <v>Caesio xanthonota</v>
      </c>
    </row>
    <row r="52" spans="1:2" x14ac:dyDescent="0.2">
      <c r="A52" t="s">
        <v>442</v>
      </c>
      <c r="B52" s="32" t="str">
        <f>Overview!A52</f>
        <v>Calotomus carolinus</v>
      </c>
    </row>
    <row r="53" spans="1:2" x14ac:dyDescent="0.2">
      <c r="A53" t="s">
        <v>443</v>
      </c>
      <c r="B53" s="32" t="str">
        <f>Overview!A53</f>
        <v>Calotomus spinidens</v>
      </c>
    </row>
    <row r="54" spans="1:2" x14ac:dyDescent="0.2">
      <c r="A54" t="s">
        <v>444</v>
      </c>
      <c r="B54" s="32" t="str">
        <f>Overview!A54</f>
        <v>Cantherhines dumerilii</v>
      </c>
    </row>
    <row r="55" spans="1:2" x14ac:dyDescent="0.2">
      <c r="A55" t="s">
        <v>445</v>
      </c>
      <c r="B55" s="32" t="str">
        <f>Overview!A55</f>
        <v>Cantherhines pardalis</v>
      </c>
    </row>
    <row r="56" spans="1:2" x14ac:dyDescent="0.2">
      <c r="A56" t="s">
        <v>446</v>
      </c>
      <c r="B56" s="32" t="str">
        <f>Overview!A56</f>
        <v>Cantherhines sp</v>
      </c>
    </row>
    <row r="57" spans="1:2" x14ac:dyDescent="0.2">
      <c r="A57" t="s">
        <v>447</v>
      </c>
      <c r="B57" s="32" t="str">
        <f>Overview!A57</f>
        <v>Canthigaster bennetti</v>
      </c>
    </row>
    <row r="58" spans="1:2" x14ac:dyDescent="0.2">
      <c r="A58" t="s">
        <v>448</v>
      </c>
      <c r="B58" s="32" t="str">
        <f>Overview!A58</f>
        <v>Canthigaster janthinoptera</v>
      </c>
    </row>
    <row r="59" spans="1:2" x14ac:dyDescent="0.2">
      <c r="A59" t="s">
        <v>449</v>
      </c>
      <c r="B59" s="32" t="str">
        <f>Overview!A59</f>
        <v>Canthigaster petersii</v>
      </c>
    </row>
    <row r="60" spans="1:2" x14ac:dyDescent="0.2">
      <c r="A60" t="s">
        <v>450</v>
      </c>
      <c r="B60" s="32" t="str">
        <f>Overview!A60</f>
        <v>Canthigaster smithae</v>
      </c>
    </row>
    <row r="61" spans="1:2" x14ac:dyDescent="0.2">
      <c r="A61" t="s">
        <v>446</v>
      </c>
      <c r="B61" s="32" t="str">
        <f>Overview!A61</f>
        <v>Canthigaster sp</v>
      </c>
    </row>
    <row r="62" spans="1:2" x14ac:dyDescent="0.2">
      <c r="A62" t="s">
        <v>451</v>
      </c>
      <c r="B62" s="32" t="str">
        <f>Overview!A62</f>
        <v>Canthigaster valentini</v>
      </c>
    </row>
    <row r="63" spans="1:2" x14ac:dyDescent="0.2">
      <c r="A63" t="s">
        <v>452</v>
      </c>
      <c r="B63" s="32" t="str">
        <f>Overview!A63</f>
        <v>Carangoides sp</v>
      </c>
    </row>
    <row r="64" spans="1:2" x14ac:dyDescent="0.2">
      <c r="A64" t="s">
        <v>453</v>
      </c>
      <c r="B64" s="32" t="str">
        <f>Overview!A64</f>
        <v>Caranx melampygus</v>
      </c>
    </row>
    <row r="65" spans="1:2" x14ac:dyDescent="0.2">
      <c r="A65" t="s">
        <v>454</v>
      </c>
      <c r="B65" s="32" t="str">
        <f>Overview!A65</f>
        <v>Caranx papuensis</v>
      </c>
    </row>
    <row r="66" spans="1:2" x14ac:dyDescent="0.2">
      <c r="A66" t="s">
        <v>455</v>
      </c>
      <c r="B66" s="32" t="str">
        <f>Overview!A66</f>
        <v>Caranx sexfaciatus</v>
      </c>
    </row>
    <row r="67" spans="1:2" x14ac:dyDescent="0.2">
      <c r="A67" t="s">
        <v>456</v>
      </c>
      <c r="B67" s="32" t="str">
        <f>Overview!A67</f>
        <v>Centropyge acanthops</v>
      </c>
    </row>
    <row r="68" spans="1:2" x14ac:dyDescent="0.2">
      <c r="A68" t="s">
        <v>373</v>
      </c>
      <c r="B68" s="32" t="str">
        <f>Overview!A68</f>
        <v>Centropyge multispinis</v>
      </c>
    </row>
    <row r="69" spans="1:2" x14ac:dyDescent="0.2">
      <c r="A69" t="s">
        <v>457</v>
      </c>
      <c r="B69" s="32" t="str">
        <f>Overview!A69</f>
        <v>Cephalopholis argus</v>
      </c>
    </row>
    <row r="70" spans="1:2" x14ac:dyDescent="0.2">
      <c r="A70" t="s">
        <v>458</v>
      </c>
      <c r="B70" s="32" t="str">
        <f>Overview!A70</f>
        <v>Cephalopholis boenak</v>
      </c>
    </row>
    <row r="71" spans="1:2" x14ac:dyDescent="0.2">
      <c r="A71" t="s">
        <v>459</v>
      </c>
      <c r="B71" s="32" t="str">
        <f>Overview!A71</f>
        <v>Cephalopholis leopardus</v>
      </c>
    </row>
    <row r="72" spans="1:2" x14ac:dyDescent="0.2">
      <c r="A72" t="s">
        <v>460</v>
      </c>
      <c r="B72" s="32" t="str">
        <f>Overview!A72</f>
        <v>Cephalopholis sp</v>
      </c>
    </row>
    <row r="73" spans="1:2" x14ac:dyDescent="0.2">
      <c r="A73" t="s">
        <v>461</v>
      </c>
      <c r="B73" s="32" t="str">
        <f>Overview!A73</f>
        <v>Cephalopholis miniata</v>
      </c>
    </row>
    <row r="74" spans="1:2" x14ac:dyDescent="0.2">
      <c r="A74" t="s">
        <v>462</v>
      </c>
      <c r="B74" s="32" t="str">
        <f>Overview!A74</f>
        <v>Cetoscarus ocellatus</v>
      </c>
    </row>
    <row r="75" spans="1:2" x14ac:dyDescent="0.2">
      <c r="A75" t="s">
        <v>463</v>
      </c>
      <c r="B75" s="32" t="str">
        <f>Overview!A75</f>
        <v>Chaetodon auriga</v>
      </c>
    </row>
    <row r="76" spans="1:2" x14ac:dyDescent="0.2">
      <c r="A76" t="s">
        <v>464</v>
      </c>
      <c r="B76" s="32" t="str">
        <f>Overview!A76</f>
        <v>Chaetodon bennetti</v>
      </c>
    </row>
    <row r="77" spans="1:2" x14ac:dyDescent="0.2">
      <c r="A77" t="s">
        <v>465</v>
      </c>
      <c r="B77" s="32" t="str">
        <f>Overview!A77</f>
        <v>Chaetodon falcula</v>
      </c>
    </row>
    <row r="78" spans="1:2" x14ac:dyDescent="0.2">
      <c r="A78" t="s">
        <v>466</v>
      </c>
      <c r="B78" s="32" t="str">
        <f>Overview!A78</f>
        <v>Chaetodon guttatissimus</v>
      </c>
    </row>
    <row r="79" spans="1:2" x14ac:dyDescent="0.2">
      <c r="A79" t="s">
        <v>467</v>
      </c>
      <c r="B79" s="32" t="str">
        <f>Overview!A79</f>
        <v>Chaetodon interruptus</v>
      </c>
    </row>
    <row r="80" spans="1:2" x14ac:dyDescent="0.2">
      <c r="A80" t="s">
        <v>468</v>
      </c>
      <c r="B80" s="32" t="str">
        <f>Overview!A80</f>
        <v>Chaetodon kleinii</v>
      </c>
    </row>
    <row r="81" spans="1:2" x14ac:dyDescent="0.2">
      <c r="A81" t="s">
        <v>469</v>
      </c>
      <c r="B81" s="32" t="str">
        <f>Overview!A81</f>
        <v>Chaetodon leucopleura</v>
      </c>
    </row>
    <row r="82" spans="1:2" x14ac:dyDescent="0.2">
      <c r="A82" t="s">
        <v>470</v>
      </c>
      <c r="B82" s="32" t="str">
        <f>Overview!A82</f>
        <v>Chaetodon lineolatus</v>
      </c>
    </row>
    <row r="83" spans="1:2" x14ac:dyDescent="0.2">
      <c r="A83" t="s">
        <v>471</v>
      </c>
      <c r="B83" s="32" t="str">
        <f>Overview!A83</f>
        <v>Chaetodon lunula</v>
      </c>
    </row>
    <row r="84" spans="1:2" x14ac:dyDescent="0.2">
      <c r="A84" t="s">
        <v>472</v>
      </c>
      <c r="B84" s="32" t="str">
        <f>Overview!A84</f>
        <v>Chaetodon melannotus</v>
      </c>
    </row>
    <row r="85" spans="1:2" x14ac:dyDescent="0.2">
      <c r="A85" t="s">
        <v>473</v>
      </c>
      <c r="B85" s="32" t="str">
        <f>Overview!A85</f>
        <v>Chaetodon meyeri</v>
      </c>
    </row>
    <row r="86" spans="1:2" x14ac:dyDescent="0.2">
      <c r="A86" t="s">
        <v>393</v>
      </c>
      <c r="B86" s="32" t="str">
        <f>Overview!A86</f>
        <v>Chaetodon trifascialis</v>
      </c>
    </row>
    <row r="87" spans="1:2" x14ac:dyDescent="0.2">
      <c r="A87" t="s">
        <v>394</v>
      </c>
      <c r="B87" s="32" t="str">
        <f>Overview!A87</f>
        <v>Chaetodon trifasciatus</v>
      </c>
    </row>
    <row r="88" spans="1:2" x14ac:dyDescent="0.2">
      <c r="A88" t="s">
        <v>474</v>
      </c>
      <c r="B88" s="32" t="str">
        <f>Overview!A88</f>
        <v>Chaetodon xanthocephalus</v>
      </c>
    </row>
    <row r="89" spans="1:2" x14ac:dyDescent="0.2">
      <c r="A89" t="s">
        <v>475</v>
      </c>
      <c r="B89" s="32" t="str">
        <f>Overview!A89</f>
        <v>Chaetodon zanzibarensis</v>
      </c>
    </row>
    <row r="90" spans="1:2" x14ac:dyDescent="0.2">
      <c r="A90" t="s">
        <v>476</v>
      </c>
      <c r="B90" s="32" t="str">
        <f>Overview!A90</f>
        <v>Cheilinus chlorourus</v>
      </c>
    </row>
    <row r="91" spans="1:2" x14ac:dyDescent="0.2">
      <c r="A91" t="s">
        <v>477</v>
      </c>
      <c r="B91" s="32" t="str">
        <f>Overview!A91</f>
        <v>Cheilinus fasciatus</v>
      </c>
    </row>
    <row r="92" spans="1:2" x14ac:dyDescent="0.2">
      <c r="A92" t="s">
        <v>374</v>
      </c>
      <c r="B92" s="32" t="str">
        <f>Overview!A92</f>
        <v>Cheilinus oxycephalus</v>
      </c>
    </row>
    <row r="93" spans="1:2" x14ac:dyDescent="0.2">
      <c r="A93" t="s">
        <v>478</v>
      </c>
      <c r="B93" s="32" t="str">
        <f>Overview!A93</f>
        <v>Cheilinus sp</v>
      </c>
    </row>
    <row r="94" spans="1:2" x14ac:dyDescent="0.2">
      <c r="A94" t="s">
        <v>372</v>
      </c>
      <c r="B94" s="32" t="str">
        <f>Overview!A94</f>
        <v>Cheilinus trilobatus</v>
      </c>
    </row>
    <row r="95" spans="1:2" x14ac:dyDescent="0.2">
      <c r="A95" t="s">
        <v>479</v>
      </c>
      <c r="B95" s="32" t="str">
        <f>Overview!A95</f>
        <v>Cheilinus undulatus</v>
      </c>
    </row>
    <row r="96" spans="1:2" x14ac:dyDescent="0.2">
      <c r="A96" t="s">
        <v>480</v>
      </c>
      <c r="B96" s="32" t="str">
        <f>Overview!A96</f>
        <v>Cheilio inermis</v>
      </c>
    </row>
    <row r="97" spans="1:2" x14ac:dyDescent="0.2">
      <c r="A97" t="s">
        <v>481</v>
      </c>
      <c r="B97" s="32" t="str">
        <f>Overview!A97</f>
        <v>Cheilodipterus arabicus</v>
      </c>
    </row>
    <row r="98" spans="1:2" x14ac:dyDescent="0.2">
      <c r="A98" t="s">
        <v>482</v>
      </c>
      <c r="B98" s="32" t="str">
        <f>Overview!A98</f>
        <v>Cheilodipterus macrodon</v>
      </c>
    </row>
    <row r="99" spans="1:2" x14ac:dyDescent="0.2">
      <c r="A99" t="s">
        <v>483</v>
      </c>
      <c r="B99" s="32" t="str">
        <f>Overview!A99</f>
        <v>Cheilodipterus quinquelineatus</v>
      </c>
    </row>
    <row r="100" spans="1:2" x14ac:dyDescent="0.2">
      <c r="A100" t="s">
        <v>484</v>
      </c>
      <c r="B100" s="32" t="str">
        <f>Overview!A100</f>
        <v>Chlorurus atrilunula</v>
      </c>
    </row>
    <row r="101" spans="1:2" x14ac:dyDescent="0.2">
      <c r="A101" t="s">
        <v>485</v>
      </c>
      <c r="B101" s="32" t="str">
        <f>Overview!A101</f>
        <v>Chlorurus sordidus</v>
      </c>
    </row>
    <row r="102" spans="1:2" x14ac:dyDescent="0.2">
      <c r="A102" t="s">
        <v>486</v>
      </c>
      <c r="B102" s="32" t="str">
        <f>Overview!A102</f>
        <v>Chlorurus strongylocephalus</v>
      </c>
    </row>
    <row r="103" spans="1:2" x14ac:dyDescent="0.2">
      <c r="A103" t="s">
        <v>487</v>
      </c>
      <c r="B103" s="32" t="str">
        <f>Overview!A103</f>
        <v>Chromis atripectoralis</v>
      </c>
    </row>
    <row r="104" spans="1:2" x14ac:dyDescent="0.2">
      <c r="A104" t="s">
        <v>488</v>
      </c>
      <c r="B104" s="32" t="str">
        <f>Overview!A104</f>
        <v>Chromis opercularis</v>
      </c>
    </row>
    <row r="105" spans="1:2" x14ac:dyDescent="0.2">
      <c r="A105" t="s">
        <v>489</v>
      </c>
      <c r="B105" s="32" t="str">
        <f>Overview!A105</f>
        <v>Chromis ternatensis</v>
      </c>
    </row>
    <row r="106" spans="1:2" x14ac:dyDescent="0.2">
      <c r="A106" t="s">
        <v>490</v>
      </c>
      <c r="B106" s="32" t="str">
        <f>Overview!A106</f>
        <v>Chromis viridis</v>
      </c>
    </row>
    <row r="107" spans="1:2" x14ac:dyDescent="0.2">
      <c r="A107" t="s">
        <v>491</v>
      </c>
      <c r="B107" s="32" t="str">
        <f>Overview!A107</f>
        <v>Chromis weberi</v>
      </c>
    </row>
    <row r="108" spans="1:2" x14ac:dyDescent="0.2">
      <c r="A108" t="s">
        <v>492</v>
      </c>
      <c r="B108" s="32" t="str">
        <f>Overview!A108</f>
        <v>Chrysiptera biocellata</v>
      </c>
    </row>
    <row r="109" spans="1:2" x14ac:dyDescent="0.2">
      <c r="A109" t="s">
        <v>493</v>
      </c>
      <c r="B109" s="32" t="str">
        <f>Overview!A109</f>
        <v>Chrysiptera sp</v>
      </c>
    </row>
    <row r="110" spans="1:2" x14ac:dyDescent="0.2">
      <c r="A110" t="s">
        <v>494</v>
      </c>
      <c r="B110" s="32" t="str">
        <f>Overview!A110</f>
        <v>Chrysiptera unimaculata</v>
      </c>
    </row>
    <row r="111" spans="1:2" x14ac:dyDescent="0.2">
      <c r="A111" t="s">
        <v>495</v>
      </c>
      <c r="B111" s="32" t="str">
        <f>Overview!A111</f>
        <v>Cirrhilabrus exquisitus</v>
      </c>
    </row>
    <row r="112" spans="1:2" x14ac:dyDescent="0.2">
      <c r="A112" t="s">
        <v>496</v>
      </c>
      <c r="B112" s="32" t="str">
        <f>Overview!A112</f>
        <v>Cirrhitichthys oxycephalus</v>
      </c>
    </row>
    <row r="113" spans="1:2" x14ac:dyDescent="0.2">
      <c r="A113" t="s">
        <v>497</v>
      </c>
      <c r="B113" s="32" t="str">
        <f>Overview!A113</f>
        <v>Coris aygula</v>
      </c>
    </row>
    <row r="114" spans="1:2" x14ac:dyDescent="0.2">
      <c r="A114" t="s">
        <v>498</v>
      </c>
      <c r="B114" s="32" t="str">
        <f>Overview!A114</f>
        <v>Coris caudimacula</v>
      </c>
    </row>
    <row r="115" spans="1:2" x14ac:dyDescent="0.2">
      <c r="A115" t="s">
        <v>499</v>
      </c>
      <c r="B115" s="32" t="str">
        <f>Overview!A115</f>
        <v>Coris cuvieri</v>
      </c>
    </row>
    <row r="116" spans="1:2" x14ac:dyDescent="0.2">
      <c r="A116" t="s">
        <v>500</v>
      </c>
      <c r="B116" s="32" t="str">
        <f>Overview!A116</f>
        <v>Coris formosa</v>
      </c>
    </row>
    <row r="117" spans="1:2" x14ac:dyDescent="0.2">
      <c r="A117" t="s">
        <v>501</v>
      </c>
      <c r="B117" s="32" t="str">
        <f>Overview!A117</f>
        <v>Coris sp</v>
      </c>
    </row>
    <row r="118" spans="1:2" x14ac:dyDescent="0.2">
      <c r="A118" t="s">
        <v>502</v>
      </c>
      <c r="B118" s="32" t="str">
        <f>Overview!A118</f>
        <v>Ctenochaetus binotatus</v>
      </c>
    </row>
    <row r="119" spans="1:2" x14ac:dyDescent="0.2">
      <c r="A119" t="s">
        <v>503</v>
      </c>
      <c r="B119" s="32" t="str">
        <f>Overview!A119</f>
        <v>Ctenochaetus sp</v>
      </c>
    </row>
    <row r="120" spans="1:2" x14ac:dyDescent="0.2">
      <c r="A120" t="s">
        <v>504</v>
      </c>
      <c r="B120" s="32" t="str">
        <f>Overview!A120</f>
        <v>Ctenochaetus striatus</v>
      </c>
    </row>
    <row r="121" spans="1:2" x14ac:dyDescent="0.2">
      <c r="A121" t="s">
        <v>369</v>
      </c>
      <c r="B121" s="32" t="str">
        <f>Overview!A121</f>
        <v>Ctenochaetus truncatus</v>
      </c>
    </row>
    <row r="122" spans="1:2" x14ac:dyDescent="0.2">
      <c r="A122" t="s">
        <v>505</v>
      </c>
      <c r="B122" s="32" t="str">
        <f>Overview!A122</f>
        <v>Cyclichthys orbicularis</v>
      </c>
    </row>
    <row r="123" spans="1:2" x14ac:dyDescent="0.2">
      <c r="A123" t="s">
        <v>506</v>
      </c>
      <c r="B123" s="32" t="str">
        <f>Overview!A123</f>
        <v>Dascyllus abudafur</v>
      </c>
    </row>
    <row r="124" spans="1:2" x14ac:dyDescent="0.2">
      <c r="A124" t="s">
        <v>507</v>
      </c>
      <c r="B124" s="32" t="str">
        <f>Overview!A124</f>
        <v>Dascyllus carneus</v>
      </c>
    </row>
    <row r="125" spans="1:2" x14ac:dyDescent="0.2">
      <c r="A125" t="s">
        <v>508</v>
      </c>
      <c r="B125" s="32" t="str">
        <f>Overview!A125</f>
        <v>Dascyllus trimaculatus</v>
      </c>
    </row>
    <row r="126" spans="1:2" x14ac:dyDescent="0.2">
      <c r="A126" t="s">
        <v>509</v>
      </c>
      <c r="B126" s="32" t="str">
        <f>Overview!A126</f>
        <v>Diagramma pictum</v>
      </c>
    </row>
    <row r="127" spans="1:2" x14ac:dyDescent="0.2">
      <c r="A127" t="s">
        <v>510</v>
      </c>
      <c r="B127" s="32" t="str">
        <f>Overview!A127</f>
        <v>Diagramma sp</v>
      </c>
    </row>
    <row r="128" spans="1:2" x14ac:dyDescent="0.2">
      <c r="A128" t="s">
        <v>511</v>
      </c>
      <c r="B128" s="32" t="str">
        <f>Overview!A128</f>
        <v>Diodon Holocanthus</v>
      </c>
    </row>
    <row r="129" spans="1:2" x14ac:dyDescent="0.2">
      <c r="A129" t="s">
        <v>512</v>
      </c>
      <c r="B129" s="32" t="str">
        <f>Overview!A129</f>
        <v>Diodon hystrix</v>
      </c>
    </row>
    <row r="130" spans="1:2" x14ac:dyDescent="0.2">
      <c r="A130" t="s">
        <v>513</v>
      </c>
      <c r="B130" s="32" t="str">
        <f>Overview!A130</f>
        <v>Diodon liturosus</v>
      </c>
    </row>
    <row r="131" spans="1:2" x14ac:dyDescent="0.2">
      <c r="A131" t="s">
        <v>514</v>
      </c>
      <c r="B131" s="32" t="str">
        <f>Overview!A131</f>
        <v>Epibulus insidiator</v>
      </c>
    </row>
    <row r="132" spans="1:2" x14ac:dyDescent="0.2">
      <c r="A132" t="s">
        <v>515</v>
      </c>
      <c r="B132" s="32" t="str">
        <f>Overview!A132</f>
        <v>Epinephelus areolatus</v>
      </c>
    </row>
    <row r="133" spans="1:2" x14ac:dyDescent="0.2">
      <c r="A133" t="s">
        <v>516</v>
      </c>
      <c r="B133" s="32" t="str">
        <f>Overview!A133</f>
        <v>Epinephelus fasciatus</v>
      </c>
    </row>
    <row r="134" spans="1:2" x14ac:dyDescent="0.2">
      <c r="A134" t="s">
        <v>517</v>
      </c>
      <c r="B134" s="32" t="str">
        <f>Overview!A134</f>
        <v>Epinephelus fuscoguttatus</v>
      </c>
    </row>
    <row r="135" spans="1:2" x14ac:dyDescent="0.2">
      <c r="A135" t="s">
        <v>518</v>
      </c>
      <c r="B135" s="32" t="str">
        <f>Overview!A135</f>
        <v>Epinephelus longispinis</v>
      </c>
    </row>
    <row r="136" spans="1:2" x14ac:dyDescent="0.2">
      <c r="A136" t="s">
        <v>519</v>
      </c>
      <c r="B136" s="32" t="str">
        <f>Overview!A136</f>
        <v>Epinephelus merra</v>
      </c>
    </row>
    <row r="137" spans="1:2" x14ac:dyDescent="0.2">
      <c r="A137" s="40" t="s">
        <v>706</v>
      </c>
      <c r="B137" s="32" t="str">
        <f>Overview!A137</f>
        <v>Epinephelus multinotatus</v>
      </c>
    </row>
    <row r="138" spans="1:2" x14ac:dyDescent="0.2">
      <c r="A138" t="s">
        <v>520</v>
      </c>
      <c r="B138" s="32" t="str">
        <f>Overview!A138</f>
        <v>Epinephelus flavocaeruleus</v>
      </c>
    </row>
    <row r="139" spans="1:2" x14ac:dyDescent="0.2">
      <c r="A139" t="s">
        <v>521</v>
      </c>
      <c r="B139" s="32" t="str">
        <f>Overview!A139</f>
        <v>Euthynnus affinis</v>
      </c>
    </row>
    <row r="140" spans="1:2" x14ac:dyDescent="0.2">
      <c r="A140" t="s">
        <v>522</v>
      </c>
      <c r="B140" s="32" t="str">
        <f>Overview!A140</f>
        <v>Ferdauia ferdau</v>
      </c>
    </row>
    <row r="141" spans="1:2" x14ac:dyDescent="0.2">
      <c r="A141" t="s">
        <v>523</v>
      </c>
      <c r="B141" s="32" t="str">
        <f>Overview!A141</f>
        <v>Ferdauia orthogrammus</v>
      </c>
    </row>
    <row r="142" spans="1:2" x14ac:dyDescent="0.2">
      <c r="A142" t="s">
        <v>524</v>
      </c>
      <c r="B142" s="32" t="str">
        <f>Overview!A142</f>
        <v>Fistularia commersonii</v>
      </c>
    </row>
    <row r="143" spans="1:2" x14ac:dyDescent="0.2">
      <c r="A143" t="s">
        <v>525</v>
      </c>
      <c r="B143" s="32" t="str">
        <f>Overview!A143</f>
        <v>Forcipiger flavissimus</v>
      </c>
    </row>
    <row r="144" spans="1:2" x14ac:dyDescent="0.2">
      <c r="A144" t="s">
        <v>526</v>
      </c>
      <c r="B144" s="32" t="str">
        <f>Overview!A144</f>
        <v>Gnathanodon speciosus</v>
      </c>
    </row>
    <row r="145" spans="1:2" x14ac:dyDescent="0.2">
      <c r="A145" t="s">
        <v>375</v>
      </c>
      <c r="B145" s="32" t="str">
        <f>Overview!A145</f>
        <v>Gomphosus caeruleus</v>
      </c>
    </row>
    <row r="146" spans="1:2" x14ac:dyDescent="0.2">
      <c r="A146" t="s">
        <v>527</v>
      </c>
      <c r="B146" s="32" t="str">
        <f>Overview!A146</f>
        <v>Grammistes sexlineatus</v>
      </c>
    </row>
    <row r="147" spans="1:2" x14ac:dyDescent="0.2">
      <c r="A147" t="s">
        <v>528</v>
      </c>
      <c r="B147" s="32" t="str">
        <f>Overview!A147</f>
        <v>Halichoeres cosmetus</v>
      </c>
    </row>
    <row r="148" spans="1:2" x14ac:dyDescent="0.2">
      <c r="A148" t="s">
        <v>529</v>
      </c>
      <c r="B148" s="32" t="str">
        <f>Overview!A148</f>
        <v>Halichoeres hortulanus</v>
      </c>
    </row>
    <row r="149" spans="1:2" x14ac:dyDescent="0.2">
      <c r="A149" t="s">
        <v>530</v>
      </c>
      <c r="B149" s="32" t="str">
        <f>Overview!A149</f>
        <v>Halichoeres nebulosus</v>
      </c>
    </row>
    <row r="150" spans="1:2" x14ac:dyDescent="0.2">
      <c r="A150" t="s">
        <v>531</v>
      </c>
      <c r="B150" s="32" t="str">
        <f>Overview!A150</f>
        <v>Halichoeres nigrescens</v>
      </c>
    </row>
    <row r="151" spans="1:2" x14ac:dyDescent="0.2">
      <c r="A151" t="s">
        <v>532</v>
      </c>
      <c r="B151" s="32" t="str">
        <f>Overview!A151</f>
        <v>Halichoeres scapularis</v>
      </c>
    </row>
    <row r="152" spans="1:2" x14ac:dyDescent="0.2">
      <c r="A152" t="s">
        <v>533</v>
      </c>
      <c r="B152" s="32" t="str">
        <f>Overview!A152</f>
        <v>Hemigymnus fasciatus</v>
      </c>
    </row>
    <row r="153" spans="1:2" x14ac:dyDescent="0.2">
      <c r="A153" t="s">
        <v>534</v>
      </c>
      <c r="B153" s="32" t="str">
        <f>Overview!A153</f>
        <v>Hemigymnus melapterus</v>
      </c>
    </row>
    <row r="154" spans="1:2" x14ac:dyDescent="0.2">
      <c r="A154" t="s">
        <v>535</v>
      </c>
      <c r="B154" s="32" t="str">
        <f>Overview!A154</f>
        <v>Heniochus acuminatus</v>
      </c>
    </row>
    <row r="155" spans="1:2" x14ac:dyDescent="0.2">
      <c r="A155" t="s">
        <v>536</v>
      </c>
      <c r="B155" s="32" t="str">
        <f>Overview!A155</f>
        <v>Heniochus monoceros</v>
      </c>
    </row>
    <row r="156" spans="1:2" x14ac:dyDescent="0.2">
      <c r="A156" t="s">
        <v>537</v>
      </c>
      <c r="B156" s="32" t="str">
        <f>Overview!A156</f>
        <v>Heteropriacanthus carolinus</v>
      </c>
    </row>
    <row r="157" spans="1:2" x14ac:dyDescent="0.2">
      <c r="A157" t="s">
        <v>538</v>
      </c>
      <c r="B157" s="32" t="str">
        <f>Overview!A157</f>
        <v>Hipposcarus harid</v>
      </c>
    </row>
    <row r="158" spans="1:2" x14ac:dyDescent="0.2">
      <c r="A158" t="s">
        <v>539</v>
      </c>
      <c r="B158" s="32" t="str">
        <f>Overview!A158</f>
        <v>Hologymnosus annulatus</v>
      </c>
    </row>
    <row r="159" spans="1:2" x14ac:dyDescent="0.2">
      <c r="A159" t="s">
        <v>540</v>
      </c>
      <c r="B159" s="32" t="str">
        <f>Overview!A159</f>
        <v>Kyphosus cinerascens</v>
      </c>
    </row>
    <row r="160" spans="1:2" x14ac:dyDescent="0.2">
      <c r="A160" t="s">
        <v>541</v>
      </c>
      <c r="B160" s="32" t="str">
        <f>Overview!A160</f>
        <v>Kyphosus sp</v>
      </c>
    </row>
    <row r="161" spans="1:2" x14ac:dyDescent="0.2">
      <c r="A161" t="s">
        <v>542</v>
      </c>
      <c r="B161" s="32" t="str">
        <f>Overview!A161</f>
        <v>Kyphosus vaigiensis</v>
      </c>
    </row>
    <row r="162" spans="1:2" x14ac:dyDescent="0.2">
      <c r="A162" t="s">
        <v>543</v>
      </c>
      <c r="B162" s="32" t="str">
        <f>Overview!A162</f>
        <v>Labrichthys unilineatus</v>
      </c>
    </row>
    <row r="163" spans="1:2" x14ac:dyDescent="0.2">
      <c r="A163" t="s">
        <v>544</v>
      </c>
      <c r="B163" s="32" t="str">
        <f>Overview!A163</f>
        <v>Labroides bicolor</v>
      </c>
    </row>
    <row r="164" spans="1:2" x14ac:dyDescent="0.2">
      <c r="A164" t="s">
        <v>380</v>
      </c>
      <c r="B164" s="32" t="str">
        <f>Overview!A164</f>
        <v>Labroides dimidiatus</v>
      </c>
    </row>
    <row r="165" spans="1:2" x14ac:dyDescent="0.2">
      <c r="A165" t="s">
        <v>545</v>
      </c>
      <c r="B165" s="32" t="str">
        <f>Overview!A165</f>
        <v>Lactoria fornasini</v>
      </c>
    </row>
    <row r="166" spans="1:2" x14ac:dyDescent="0.2">
      <c r="A166" t="s">
        <v>546</v>
      </c>
      <c r="B166" s="32" t="str">
        <f>Overview!A166</f>
        <v>Leptoscarus vaigiensis</v>
      </c>
    </row>
    <row r="167" spans="1:2" x14ac:dyDescent="0.2">
      <c r="A167" t="s">
        <v>547</v>
      </c>
      <c r="B167" s="32" t="str">
        <f>Overview!A167</f>
        <v>Lethrinus borbonicus</v>
      </c>
    </row>
    <row r="168" spans="1:2" x14ac:dyDescent="0.2">
      <c r="A168" t="s">
        <v>548</v>
      </c>
      <c r="B168" s="32" t="str">
        <f>Overview!A168</f>
        <v>Lethrinus harak</v>
      </c>
    </row>
    <row r="169" spans="1:2" x14ac:dyDescent="0.2">
      <c r="A169" t="s">
        <v>549</v>
      </c>
      <c r="B169" s="32" t="str">
        <f>Overview!A169</f>
        <v>Lethrinus lentjan</v>
      </c>
    </row>
    <row r="170" spans="1:2" x14ac:dyDescent="0.2">
      <c r="A170" t="s">
        <v>550</v>
      </c>
      <c r="B170" s="32" t="str">
        <f>Overview!A170</f>
        <v>Lethrinus mahsena</v>
      </c>
    </row>
    <row r="171" spans="1:2" x14ac:dyDescent="0.2">
      <c r="A171" t="s">
        <v>551</v>
      </c>
      <c r="B171" s="32" t="str">
        <f>Overview!A171</f>
        <v>Lethrinus microdon</v>
      </c>
    </row>
    <row r="172" spans="1:2" x14ac:dyDescent="0.2">
      <c r="A172" t="s">
        <v>552</v>
      </c>
      <c r="B172" s="32" t="str">
        <f>Overview!A172</f>
        <v>Lethrinus obsoletus</v>
      </c>
    </row>
    <row r="173" spans="1:2" x14ac:dyDescent="0.2">
      <c r="A173" t="s">
        <v>553</v>
      </c>
      <c r="B173" s="32" t="str">
        <f>Overview!A173</f>
        <v>Lethrinus sp</v>
      </c>
    </row>
    <row r="174" spans="1:2" x14ac:dyDescent="0.2">
      <c r="A174" t="s">
        <v>554</v>
      </c>
      <c r="B174" s="32" t="str">
        <f>Overview!A174</f>
        <v>Lethrinus variegatus</v>
      </c>
    </row>
    <row r="175" spans="1:2" x14ac:dyDescent="0.2">
      <c r="A175" t="s">
        <v>555</v>
      </c>
      <c r="B175" s="32" t="str">
        <f>Overview!A175</f>
        <v>Lophodiodon calori</v>
      </c>
    </row>
    <row r="176" spans="1:2" x14ac:dyDescent="0.2">
      <c r="A176" t="s">
        <v>556</v>
      </c>
      <c r="B176" s="32" t="str">
        <f>Overview!A176</f>
        <v>Lutjanus argentimaculatus</v>
      </c>
    </row>
    <row r="177" spans="1:2" x14ac:dyDescent="0.2">
      <c r="A177" t="s">
        <v>370</v>
      </c>
      <c r="B177" s="32" t="str">
        <f>Overview!A177</f>
        <v>Lutjanus bohar</v>
      </c>
    </row>
    <row r="178" spans="1:2" x14ac:dyDescent="0.2">
      <c r="A178" t="s">
        <v>557</v>
      </c>
      <c r="B178" s="32" t="str">
        <f>Overview!A178</f>
        <v>Lutjanus ehrenbergii</v>
      </c>
    </row>
    <row r="179" spans="1:2" x14ac:dyDescent="0.2">
      <c r="A179" t="s">
        <v>558</v>
      </c>
      <c r="B179" s="32" t="str">
        <f>Overview!A179</f>
        <v>Lutjanus fulviflamma</v>
      </c>
    </row>
    <row r="180" spans="1:2" x14ac:dyDescent="0.2">
      <c r="A180" t="s">
        <v>697</v>
      </c>
      <c r="B180" s="32" t="str">
        <f>Overview!A180</f>
        <v>Lutjanus fulvus</v>
      </c>
    </row>
    <row r="181" spans="1:2" x14ac:dyDescent="0.2">
      <c r="A181" t="s">
        <v>559</v>
      </c>
      <c r="B181" s="32" t="str">
        <f>Overview!A181</f>
        <v>Lutjanus gibbus</v>
      </c>
    </row>
    <row r="182" spans="1:2" x14ac:dyDescent="0.2">
      <c r="A182" t="s">
        <v>560</v>
      </c>
      <c r="B182" s="32" t="str">
        <f>Overview!A182</f>
        <v>Lutjanus kasmira</v>
      </c>
    </row>
    <row r="183" spans="1:2" x14ac:dyDescent="0.2">
      <c r="A183" t="s">
        <v>561</v>
      </c>
      <c r="B183" s="32" t="str">
        <f>Overview!A183</f>
        <v>Lutjanus lutjanus</v>
      </c>
    </row>
    <row r="184" spans="1:2" x14ac:dyDescent="0.2">
      <c r="A184" t="s">
        <v>562</v>
      </c>
      <c r="B184" s="32" t="str">
        <f>Overview!A184</f>
        <v>Lutjanus monostigma</v>
      </c>
    </row>
    <row r="185" spans="1:2" x14ac:dyDescent="0.2">
      <c r="A185" t="s">
        <v>563</v>
      </c>
      <c r="B185" s="32" t="str">
        <f>Overview!A185</f>
        <v>Macolor niger</v>
      </c>
    </row>
    <row r="186" spans="1:2" x14ac:dyDescent="0.2">
      <c r="A186" t="s">
        <v>564</v>
      </c>
      <c r="B186" s="32" t="str">
        <f>Overview!A186</f>
        <v>Macropharyngodon bipartitus</v>
      </c>
    </row>
    <row r="187" spans="1:2" x14ac:dyDescent="0.2">
      <c r="A187" t="s">
        <v>565</v>
      </c>
      <c r="B187" s="32" t="str">
        <f>Overview!A187</f>
        <v>Meiacanthus mossambicus</v>
      </c>
    </row>
    <row r="188" spans="1:2" x14ac:dyDescent="0.2">
      <c r="A188" t="s">
        <v>566</v>
      </c>
      <c r="B188" s="32" t="str">
        <f>Overview!A188</f>
        <v>Mirolabrichthys evansi</v>
      </c>
    </row>
    <row r="189" spans="1:2" x14ac:dyDescent="0.2">
      <c r="A189" t="s">
        <v>567</v>
      </c>
      <c r="B189" s="32" t="str">
        <f>Overview!A189</f>
        <v>Monotaxis grandoculis</v>
      </c>
    </row>
    <row r="190" spans="1:2" x14ac:dyDescent="0.2">
      <c r="A190" t="s">
        <v>568</v>
      </c>
      <c r="B190" s="32" t="str">
        <f>Overview!A190</f>
        <v>Mulloidichthys flavolineatus</v>
      </c>
    </row>
    <row r="191" spans="1:2" x14ac:dyDescent="0.2">
      <c r="A191" t="s">
        <v>569</v>
      </c>
      <c r="B191" s="32" t="str">
        <f>Overview!A191</f>
        <v>Mulloidichthys vanicolensis</v>
      </c>
    </row>
    <row r="192" spans="1:2" x14ac:dyDescent="0.2">
      <c r="A192" t="s">
        <v>570</v>
      </c>
      <c r="B192" s="32" t="str">
        <f>Overview!A192</f>
        <v>Myripristis murdjan</v>
      </c>
    </row>
    <row r="193" spans="1:2" x14ac:dyDescent="0.2">
      <c r="A193" t="s">
        <v>571</v>
      </c>
      <c r="B193" s="32" t="str">
        <f>Overview!A193</f>
        <v>Myripristis sp</v>
      </c>
    </row>
    <row r="194" spans="1:2" x14ac:dyDescent="0.2">
      <c r="A194" t="s">
        <v>572</v>
      </c>
      <c r="B194" s="32" t="str">
        <f>Overview!A194</f>
        <v>Myripristis violacea</v>
      </c>
    </row>
    <row r="195" spans="1:2" x14ac:dyDescent="0.2">
      <c r="A195" t="s">
        <v>573</v>
      </c>
      <c r="B195" s="32" t="str">
        <f>Overview!A195</f>
        <v>Naso annulatus</v>
      </c>
    </row>
    <row r="196" spans="1:2" x14ac:dyDescent="0.2">
      <c r="A196" t="s">
        <v>574</v>
      </c>
      <c r="B196" s="32" t="str">
        <f>Overview!A196</f>
        <v>Naso brevirostris</v>
      </c>
    </row>
    <row r="197" spans="1:2" x14ac:dyDescent="0.2">
      <c r="A197" t="s">
        <v>575</v>
      </c>
      <c r="B197" s="32" t="str">
        <f>Overview!A197</f>
        <v>Naso elegans</v>
      </c>
    </row>
    <row r="198" spans="1:2" x14ac:dyDescent="0.2">
      <c r="A198" t="s">
        <v>576</v>
      </c>
      <c r="B198" s="32" t="str">
        <f>Overview!A198</f>
        <v>Naso hexacanthus</v>
      </c>
    </row>
    <row r="199" spans="1:2" x14ac:dyDescent="0.2">
      <c r="A199" t="s">
        <v>577</v>
      </c>
      <c r="B199" s="32" t="str">
        <f>Overview!A199</f>
        <v>Naso unicornis</v>
      </c>
    </row>
    <row r="200" spans="1:2" x14ac:dyDescent="0.2">
      <c r="A200" t="s">
        <v>578</v>
      </c>
      <c r="B200" s="32" t="str">
        <f>Overview!A200</f>
        <v>Naso vlamingii</v>
      </c>
    </row>
    <row r="201" spans="1:2" x14ac:dyDescent="0.2">
      <c r="A201" t="s">
        <v>579</v>
      </c>
      <c r="B201" s="32" t="str">
        <f>Overview!A201</f>
        <v>Neoglyphidodon melas</v>
      </c>
    </row>
    <row r="202" spans="1:2" x14ac:dyDescent="0.2">
      <c r="A202" t="s">
        <v>371</v>
      </c>
      <c r="B202" s="32" t="str">
        <f>Overview!A202</f>
        <v>Neoniphon sammara</v>
      </c>
    </row>
    <row r="203" spans="1:2" x14ac:dyDescent="0.2">
      <c r="A203" t="s">
        <v>580</v>
      </c>
      <c r="B203" s="32" t="str">
        <f>Overview!A203</f>
        <v>Neopomacentrus azysron</v>
      </c>
    </row>
    <row r="204" spans="1:2" x14ac:dyDescent="0.2">
      <c r="A204" t="s">
        <v>581</v>
      </c>
      <c r="B204" s="32" t="str">
        <f>Overview!A204</f>
        <v>Neopomacentrus cyanomos</v>
      </c>
    </row>
    <row r="205" spans="1:2" x14ac:dyDescent="0.2">
      <c r="A205" t="s">
        <v>582</v>
      </c>
      <c r="B205" s="32" t="str">
        <f>Overview!A205</f>
        <v>Neotrygon indica</v>
      </c>
    </row>
    <row r="206" spans="1:2" x14ac:dyDescent="0.2">
      <c r="A206" t="s">
        <v>583</v>
      </c>
      <c r="B206" s="32" t="str">
        <f>Overview!A206</f>
        <v>Novaculichthys taeniourus</v>
      </c>
    </row>
    <row r="207" spans="1:2" x14ac:dyDescent="0.2">
      <c r="A207" t="s">
        <v>584</v>
      </c>
      <c r="B207" s="32" t="str">
        <f>Overview!A207</f>
        <v>Ostorhinchus apogonoides</v>
      </c>
    </row>
    <row r="208" spans="1:2" x14ac:dyDescent="0.2">
      <c r="A208" t="s">
        <v>585</v>
      </c>
      <c r="B208" s="32" t="str">
        <f>Overview!A208</f>
        <v>Ostorhinchus aureus</v>
      </c>
    </row>
    <row r="209" spans="1:2" x14ac:dyDescent="0.2">
      <c r="A209" t="s">
        <v>586</v>
      </c>
      <c r="B209" s="32" t="str">
        <f>Overview!A209</f>
        <v>Ostorhinchus cyanosoma</v>
      </c>
    </row>
    <row r="210" spans="1:2" x14ac:dyDescent="0.2">
      <c r="A210" t="s">
        <v>587</v>
      </c>
      <c r="B210" s="32" t="str">
        <f>Overview!A210</f>
        <v>Ostorhinchus fleurieu</v>
      </c>
    </row>
    <row r="211" spans="1:2" x14ac:dyDescent="0.2">
      <c r="A211" t="s">
        <v>588</v>
      </c>
      <c r="B211" s="32" t="str">
        <f>Overview!A211</f>
        <v>Ostracion cubicus</v>
      </c>
    </row>
    <row r="212" spans="1:2" x14ac:dyDescent="0.2">
      <c r="A212" t="s">
        <v>589</v>
      </c>
      <c r="B212" s="32" t="str">
        <f>Overview!A212</f>
        <v>Ostracion meleagris</v>
      </c>
    </row>
    <row r="213" spans="1:2" x14ac:dyDescent="0.2">
      <c r="A213" t="s">
        <v>590</v>
      </c>
      <c r="B213" s="32" t="str">
        <f>Overview!A213</f>
        <v>Oxycheilinus bimaculatus</v>
      </c>
    </row>
    <row r="214" spans="1:2" x14ac:dyDescent="0.2">
      <c r="A214" t="s">
        <v>591</v>
      </c>
      <c r="B214" s="32" t="str">
        <f>Overview!A214</f>
        <v>Oxycheilinus digramma</v>
      </c>
    </row>
    <row r="215" spans="1:2" x14ac:dyDescent="0.2">
      <c r="A215" t="s">
        <v>592</v>
      </c>
      <c r="B215" s="32" t="str">
        <f>Overview!A215</f>
        <v>Oxycheilinus mentalis</v>
      </c>
    </row>
    <row r="216" spans="1:2" x14ac:dyDescent="0.2">
      <c r="A216" t="s">
        <v>593</v>
      </c>
      <c r="B216" s="32" t="str">
        <f>Overview!A216</f>
        <v>Oxymonacanthus longirostris</v>
      </c>
    </row>
    <row r="217" spans="1:2" x14ac:dyDescent="0.2">
      <c r="A217" t="s">
        <v>594</v>
      </c>
      <c r="B217" s="32" t="str">
        <f>Overview!A217</f>
        <v>Paracanthurus hepatus</v>
      </c>
    </row>
    <row r="218" spans="1:2" x14ac:dyDescent="0.2">
      <c r="A218" t="s">
        <v>595</v>
      </c>
      <c r="B218" s="32" t="str">
        <f>Overview!A218</f>
        <v>Paraluteres prionurus</v>
      </c>
    </row>
    <row r="219" spans="1:2" x14ac:dyDescent="0.2">
      <c r="A219" t="s">
        <v>596</v>
      </c>
      <c r="B219" s="32" t="str">
        <f>Overview!A219</f>
        <v>Parapriacanthus ransonneti</v>
      </c>
    </row>
    <row r="220" spans="1:2" x14ac:dyDescent="0.2">
      <c r="A220" t="s">
        <v>597</v>
      </c>
      <c r="B220" s="32" t="str">
        <f>Overview!A220</f>
        <v>Parupeneus barberinus</v>
      </c>
    </row>
    <row r="221" spans="1:2" x14ac:dyDescent="0.2">
      <c r="A221" t="s">
        <v>598</v>
      </c>
      <c r="B221" s="32" t="str">
        <f>Overview!A221</f>
        <v>Parupeneus cyclostomus</v>
      </c>
    </row>
    <row r="222" spans="1:2" x14ac:dyDescent="0.2">
      <c r="A222" t="s">
        <v>599</v>
      </c>
      <c r="B222" s="32" t="str">
        <f>Overview!A222</f>
        <v>Parupeneus indicus</v>
      </c>
    </row>
    <row r="223" spans="1:2" x14ac:dyDescent="0.2">
      <c r="A223" t="s">
        <v>600</v>
      </c>
      <c r="B223" s="32" t="str">
        <f>Overview!A223</f>
        <v>Parupeneus macronemus</v>
      </c>
    </row>
    <row r="224" spans="1:2" x14ac:dyDescent="0.2">
      <c r="A224" t="s">
        <v>601</v>
      </c>
      <c r="B224" s="32" t="str">
        <f>Overview!A224</f>
        <v>Parupeneus pleurostigma</v>
      </c>
    </row>
    <row r="225" spans="1:2" x14ac:dyDescent="0.2">
      <c r="A225" t="s">
        <v>602</v>
      </c>
      <c r="B225" s="32" t="str">
        <f>Overview!A225</f>
        <v>Parupeneus rubescens</v>
      </c>
    </row>
    <row r="226" spans="1:2" x14ac:dyDescent="0.2">
      <c r="A226" t="s">
        <v>603</v>
      </c>
      <c r="B226" s="32" t="str">
        <f>Overview!A226</f>
        <v>Parupeneus trifasciatus</v>
      </c>
    </row>
    <row r="227" spans="1:2" x14ac:dyDescent="0.2">
      <c r="A227" t="s">
        <v>604</v>
      </c>
      <c r="B227" s="32" t="str">
        <f>Overview!A227</f>
        <v>Pempheris sp</v>
      </c>
    </row>
    <row r="228" spans="1:2" x14ac:dyDescent="0.2">
      <c r="A228" t="s">
        <v>605</v>
      </c>
      <c r="B228" s="32" t="str">
        <f>Overview!A228</f>
        <v>Pervagor janthinosoma</v>
      </c>
    </row>
    <row r="229" spans="1:2" x14ac:dyDescent="0.2">
      <c r="A229" t="s">
        <v>606</v>
      </c>
      <c r="B229" s="32" t="str">
        <f>Overview!A229</f>
        <v>Plagiotremus rhinorhynchos</v>
      </c>
    </row>
    <row r="230" spans="1:2" x14ac:dyDescent="0.2">
      <c r="A230" t="s">
        <v>607</v>
      </c>
      <c r="B230" s="32" t="str">
        <f>Overview!A230</f>
        <v>Plagiotremus tapeinosoma</v>
      </c>
    </row>
    <row r="231" spans="1:2" x14ac:dyDescent="0.2">
      <c r="A231" t="s">
        <v>608</v>
      </c>
      <c r="B231" s="32" t="str">
        <f>Overview!A231</f>
        <v>Platax teira</v>
      </c>
    </row>
    <row r="232" spans="1:2" x14ac:dyDescent="0.2">
      <c r="A232" t="s">
        <v>609</v>
      </c>
      <c r="B232" s="32" t="str">
        <f>Overview!A232</f>
        <v>Plectropomus laevis</v>
      </c>
    </row>
    <row r="233" spans="1:2" x14ac:dyDescent="0.2">
      <c r="A233" t="s">
        <v>610</v>
      </c>
      <c r="B233" s="32" t="str">
        <f>Overview!A233</f>
        <v>Plectorhinchus albovittatus</v>
      </c>
    </row>
    <row r="234" spans="1:2" x14ac:dyDescent="0.2">
      <c r="A234" t="s">
        <v>611</v>
      </c>
      <c r="B234" s="32" t="str">
        <f>Overview!A234</f>
        <v>Plectorhinchus flavomaculatus</v>
      </c>
    </row>
    <row r="235" spans="1:2" x14ac:dyDescent="0.2">
      <c r="A235" t="s">
        <v>612</v>
      </c>
      <c r="B235" s="32" t="str">
        <f>Overview!A235</f>
        <v>Plectorhinchus gaterinus</v>
      </c>
    </row>
    <row r="236" spans="1:2" x14ac:dyDescent="0.2">
      <c r="A236" t="s">
        <v>613</v>
      </c>
      <c r="B236" s="32" t="str">
        <f>Overview!A236</f>
        <v>Plectorhinchus schotaf</v>
      </c>
    </row>
    <row r="237" spans="1:2" x14ac:dyDescent="0.2">
      <c r="A237" t="s">
        <v>614</v>
      </c>
      <c r="B237" s="32" t="str">
        <f>Overview!A237</f>
        <v>Plectorhinchus sordidus</v>
      </c>
    </row>
    <row r="238" spans="1:2" x14ac:dyDescent="0.2">
      <c r="A238" t="s">
        <v>615</v>
      </c>
      <c r="B238" s="32" t="str">
        <f>Overview!A238</f>
        <v>Plectorhinchus vittatus</v>
      </c>
    </row>
    <row r="239" spans="1:2" x14ac:dyDescent="0.2">
      <c r="A239" t="s">
        <v>616</v>
      </c>
      <c r="B239" s="32" t="str">
        <f>Overview!A239</f>
        <v>Plectroglyphidodon dickii</v>
      </c>
    </row>
    <row r="240" spans="1:2" x14ac:dyDescent="0.2">
      <c r="A240" t="s">
        <v>617</v>
      </c>
      <c r="B240" s="32" t="str">
        <f>Overview!A240</f>
        <v>Plectroglyphidodon johnstonianus</v>
      </c>
    </row>
    <row r="241" spans="1:2" x14ac:dyDescent="0.2">
      <c r="A241" t="s">
        <v>618</v>
      </c>
      <c r="B241" s="32" t="str">
        <f>Overview!A241</f>
        <v>Stegastes lacrymatus</v>
      </c>
    </row>
    <row r="242" spans="1:2" x14ac:dyDescent="0.2">
      <c r="A242" t="s">
        <v>619</v>
      </c>
      <c r="B242" s="32" t="str">
        <f>Overview!A242</f>
        <v>Plotosus lineatus</v>
      </c>
    </row>
    <row r="243" spans="1:2" x14ac:dyDescent="0.2">
      <c r="A243" t="s">
        <v>620</v>
      </c>
      <c r="B243" s="32" t="str">
        <f>Overview!A243</f>
        <v>Pomacanthus chrysurus</v>
      </c>
    </row>
    <row r="244" spans="1:2" x14ac:dyDescent="0.2">
      <c r="A244" t="s">
        <v>621</v>
      </c>
      <c r="B244" s="32" t="str">
        <f>Overview!A244</f>
        <v>Pomacanthus imperator</v>
      </c>
    </row>
    <row r="245" spans="1:2" x14ac:dyDescent="0.2">
      <c r="A245" t="s">
        <v>622</v>
      </c>
      <c r="B245" s="32" t="str">
        <f>Overview!A245</f>
        <v>Pomacanthus semicirculatus</v>
      </c>
    </row>
    <row r="246" spans="1:2" x14ac:dyDescent="0.2">
      <c r="A246" t="s">
        <v>623</v>
      </c>
      <c r="B246" s="32" t="str">
        <f>Overview!A246</f>
        <v>Pomacentrus baenschi</v>
      </c>
    </row>
    <row r="247" spans="1:2" x14ac:dyDescent="0.2">
      <c r="A247" t="s">
        <v>624</v>
      </c>
      <c r="B247" s="32" t="str">
        <f>Overview!A247</f>
        <v>Pomacentrus caeruleus</v>
      </c>
    </row>
    <row r="248" spans="1:2" x14ac:dyDescent="0.2">
      <c r="A248" t="s">
        <v>625</v>
      </c>
      <c r="B248" s="32" t="str">
        <f>Overview!A248</f>
        <v>Pomacentrus pavo</v>
      </c>
    </row>
    <row r="249" spans="1:2" x14ac:dyDescent="0.2">
      <c r="A249" t="s">
        <v>367</v>
      </c>
      <c r="B249" s="32" t="str">
        <f>Overview!A249</f>
        <v>Pomacentrus sulfureus</v>
      </c>
    </row>
    <row r="250" spans="1:2" x14ac:dyDescent="0.2">
      <c r="A250" t="s">
        <v>626</v>
      </c>
      <c r="B250" s="32" t="str">
        <f>Overview!A250</f>
        <v>Pomacentrus trichrourus</v>
      </c>
    </row>
    <row r="251" spans="1:2" x14ac:dyDescent="0.2">
      <c r="A251" t="s">
        <v>627</v>
      </c>
      <c r="B251" s="32" t="str">
        <f>Overview!A251</f>
        <v>Priacanthus blochii</v>
      </c>
    </row>
    <row r="252" spans="1:2" x14ac:dyDescent="0.2">
      <c r="A252" t="s">
        <v>628</v>
      </c>
      <c r="B252" s="32" t="str">
        <f>Overview!A252</f>
        <v>Priacanthus hamrur</v>
      </c>
    </row>
    <row r="253" spans="1:2" x14ac:dyDescent="0.2">
      <c r="A253" t="s">
        <v>629</v>
      </c>
      <c r="B253" s="32" t="str">
        <f>Overview!A253</f>
        <v>Pristiapogon exostigma</v>
      </c>
    </row>
    <row r="254" spans="1:2" x14ac:dyDescent="0.2">
      <c r="A254" t="s">
        <v>630</v>
      </c>
      <c r="B254" s="32" t="str">
        <f>Overview!A254</f>
        <v>Pristiapogon fraenatus</v>
      </c>
    </row>
    <row r="255" spans="1:2" x14ac:dyDescent="0.2">
      <c r="A255" t="s">
        <v>631</v>
      </c>
      <c r="B255" s="32" t="str">
        <f>Overview!A255</f>
        <v>Pristiapogon kallopterus</v>
      </c>
    </row>
    <row r="256" spans="1:2" x14ac:dyDescent="0.2">
      <c r="A256" t="s">
        <v>632</v>
      </c>
      <c r="B256" s="32" t="str">
        <f>Overview!A256</f>
        <v>Pseudanthias squamipinnis</v>
      </c>
    </row>
    <row r="257" spans="1:2" x14ac:dyDescent="0.2">
      <c r="A257" t="s">
        <v>633</v>
      </c>
      <c r="B257" s="32" t="str">
        <f>Overview!A257</f>
        <v>Pseudobalistes flavimarginatus</v>
      </c>
    </row>
    <row r="258" spans="1:2" x14ac:dyDescent="0.2">
      <c r="A258" t="s">
        <v>634</v>
      </c>
      <c r="B258" s="32" t="str">
        <f>Overview!A258</f>
        <v>Pseudobalistes fuscus</v>
      </c>
    </row>
    <row r="259" spans="1:2" x14ac:dyDescent="0.2">
      <c r="A259" t="s">
        <v>698</v>
      </c>
      <c r="B259" s="32" t="str">
        <f>Overview!A259</f>
        <v>Pseudocheilinus evanidus</v>
      </c>
    </row>
    <row r="260" spans="1:2" x14ac:dyDescent="0.2">
      <c r="A260" t="s">
        <v>635</v>
      </c>
      <c r="B260" s="32" t="str">
        <f>Overview!A260</f>
        <v>Pseudocheilinus hexataenia</v>
      </c>
    </row>
    <row r="261" spans="1:2" x14ac:dyDescent="0.2">
      <c r="A261" t="s">
        <v>636</v>
      </c>
      <c r="B261" s="32" t="str">
        <f>Overview!A261</f>
        <v>Pseudodax moluccanus</v>
      </c>
    </row>
    <row r="262" spans="1:2" x14ac:dyDescent="0.2">
      <c r="A262" t="s">
        <v>637</v>
      </c>
      <c r="B262" s="32" t="str">
        <f>Overview!A262</f>
        <v>Ptereleotris evides</v>
      </c>
    </row>
    <row r="263" spans="1:2" x14ac:dyDescent="0.2">
      <c r="A263" t="s">
        <v>638</v>
      </c>
      <c r="B263" s="32" t="str">
        <f>Overview!A263</f>
        <v>Pterois antennata</v>
      </c>
    </row>
    <row r="264" spans="1:2" x14ac:dyDescent="0.2">
      <c r="A264" t="s">
        <v>699</v>
      </c>
      <c r="B264" s="32" t="str">
        <f>Overview!A264</f>
        <v>Pterois miles</v>
      </c>
    </row>
    <row r="265" spans="1:2" x14ac:dyDescent="0.2">
      <c r="A265" t="s">
        <v>639</v>
      </c>
      <c r="B265" s="32" t="str">
        <f>Overview!A265</f>
        <v>Pterois radiata</v>
      </c>
    </row>
    <row r="266" spans="1:2" x14ac:dyDescent="0.2">
      <c r="A266" t="s">
        <v>640</v>
      </c>
      <c r="B266" s="32" t="str">
        <f>Overview!A266</f>
        <v>Pycnochromis agilis</v>
      </c>
    </row>
    <row r="267" spans="1:2" x14ac:dyDescent="0.2">
      <c r="A267" s="40" t="s">
        <v>701</v>
      </c>
      <c r="B267" s="32" t="str">
        <f>Overview!A267</f>
        <v>Pycnochromis fieldi</v>
      </c>
    </row>
    <row r="268" spans="1:2" x14ac:dyDescent="0.2">
      <c r="A268" t="s">
        <v>641</v>
      </c>
      <c r="B268" s="32" t="str">
        <f>Overview!A268</f>
        <v>Pycnochromis nigrurus</v>
      </c>
    </row>
    <row r="269" spans="1:2" x14ac:dyDescent="0.2">
      <c r="A269" t="s">
        <v>642</v>
      </c>
      <c r="B269" s="32" t="str">
        <f>Overview!A269</f>
        <v>Pygoplites diacanthus</v>
      </c>
    </row>
    <row r="270" spans="1:2" x14ac:dyDescent="0.2">
      <c r="A270" t="s">
        <v>643</v>
      </c>
      <c r="B270" s="32" t="str">
        <f>Overview!A270</f>
        <v>Rastrelliger kanagurta</v>
      </c>
    </row>
    <row r="271" spans="1:2" x14ac:dyDescent="0.2">
      <c r="A271" t="s">
        <v>644</v>
      </c>
      <c r="B271" s="32" t="str">
        <f>Overview!A271</f>
        <v>Sargocentron caudimaculatum</v>
      </c>
    </row>
    <row r="272" spans="1:2" x14ac:dyDescent="0.2">
      <c r="A272" t="s">
        <v>368</v>
      </c>
      <c r="B272" s="32" t="str">
        <f>Overview!A272</f>
        <v>Sargocentron diadema</v>
      </c>
    </row>
    <row r="273" spans="1:2" x14ac:dyDescent="0.2">
      <c r="A273" t="s">
        <v>645</v>
      </c>
      <c r="B273" s="32" t="str">
        <f>Overview!A273</f>
        <v>Sargocentron sp</v>
      </c>
    </row>
    <row r="274" spans="1:2" x14ac:dyDescent="0.2">
      <c r="A274" t="s">
        <v>646</v>
      </c>
      <c r="B274" s="32" t="str">
        <f>Overview!A274</f>
        <v>Sargocentron spiniferum</v>
      </c>
    </row>
    <row r="275" spans="1:2" x14ac:dyDescent="0.2">
      <c r="A275" t="s">
        <v>647</v>
      </c>
      <c r="B275" s="32" t="str">
        <f>Overview!A275</f>
        <v>Sargocentron violaceum</v>
      </c>
    </row>
    <row r="276" spans="1:2" x14ac:dyDescent="0.2">
      <c r="A276" t="s">
        <v>648</v>
      </c>
      <c r="B276" s="32" t="str">
        <f>Overview!A276</f>
        <v>Scarus frenatus</v>
      </c>
    </row>
    <row r="277" spans="1:2" x14ac:dyDescent="0.2">
      <c r="A277" t="s">
        <v>649</v>
      </c>
      <c r="B277" s="32" t="str">
        <f>Overview!A277</f>
        <v>Scarus ghobban</v>
      </c>
    </row>
    <row r="278" spans="1:2" x14ac:dyDescent="0.2">
      <c r="A278" t="s">
        <v>650</v>
      </c>
      <c r="B278" s="32" t="str">
        <f>Overview!A278</f>
        <v>Scarus niger</v>
      </c>
    </row>
    <row r="279" spans="1:2" x14ac:dyDescent="0.2">
      <c r="A279" t="s">
        <v>651</v>
      </c>
      <c r="B279" s="32" t="str">
        <f>Overview!A279</f>
        <v>Scarus psittacus</v>
      </c>
    </row>
    <row r="280" spans="1:2" x14ac:dyDescent="0.2">
      <c r="A280" t="s">
        <v>652</v>
      </c>
      <c r="B280" s="32" t="str">
        <f>Overview!A280</f>
        <v>Scarus rubroviolaceus</v>
      </c>
    </row>
    <row r="281" spans="1:2" x14ac:dyDescent="0.2">
      <c r="A281" t="s">
        <v>653</v>
      </c>
      <c r="B281" s="32" t="str">
        <f>Overview!A281</f>
        <v>Scarus scaber</v>
      </c>
    </row>
    <row r="282" spans="1:2" x14ac:dyDescent="0.2">
      <c r="A282" t="s">
        <v>654</v>
      </c>
      <c r="B282" s="32" t="str">
        <f>Overview!A282</f>
        <v>Scarus sp</v>
      </c>
    </row>
    <row r="283" spans="1:2" x14ac:dyDescent="0.2">
      <c r="A283" t="s">
        <v>655</v>
      </c>
      <c r="B283" s="32" t="str">
        <f>Overview!A283</f>
        <v>Scarus tricolor</v>
      </c>
    </row>
    <row r="284" spans="1:2" x14ac:dyDescent="0.2">
      <c r="A284" t="s">
        <v>378</v>
      </c>
      <c r="B284" s="32" t="str">
        <f>Overview!A284</f>
        <v>Scolopsis bimaculatus</v>
      </c>
    </row>
    <row r="285" spans="1:2" x14ac:dyDescent="0.2">
      <c r="A285" t="s">
        <v>656</v>
      </c>
      <c r="B285" s="32" t="str">
        <f>Overview!A285</f>
        <v>Scolopsis ghanam</v>
      </c>
    </row>
    <row r="286" spans="1:2" x14ac:dyDescent="0.2">
      <c r="A286" t="s">
        <v>657</v>
      </c>
      <c r="B286" s="32" t="str">
        <f>Overview!A286</f>
        <v>Siganus argenteus</v>
      </c>
    </row>
    <row r="287" spans="1:2" x14ac:dyDescent="0.2">
      <c r="A287" t="s">
        <v>658</v>
      </c>
      <c r="B287" s="32" t="str">
        <f>Overview!A287</f>
        <v>Siganus luridus</v>
      </c>
    </row>
    <row r="288" spans="1:2" x14ac:dyDescent="0.2">
      <c r="A288" t="s">
        <v>659</v>
      </c>
      <c r="B288" s="32" t="str">
        <f>Overview!A288</f>
        <v>Siganus sp</v>
      </c>
    </row>
    <row r="289" spans="1:2" x14ac:dyDescent="0.2">
      <c r="A289" t="s">
        <v>660</v>
      </c>
      <c r="B289" s="32" t="str">
        <f>Overview!A289</f>
        <v>Siganus stellatus</v>
      </c>
    </row>
    <row r="290" spans="1:2" x14ac:dyDescent="0.2">
      <c r="A290" t="s">
        <v>661</v>
      </c>
      <c r="B290" s="32" t="str">
        <f>Overview!A290</f>
        <v>Siganus sutor</v>
      </c>
    </row>
    <row r="291" spans="1:2" x14ac:dyDescent="0.2">
      <c r="A291" t="s">
        <v>662</v>
      </c>
      <c r="B291" s="32" t="str">
        <f>Overview!A291</f>
        <v>Sphyraena flavicauda</v>
      </c>
    </row>
    <row r="292" spans="1:2" x14ac:dyDescent="0.2">
      <c r="A292" t="s">
        <v>663</v>
      </c>
      <c r="B292" s="32" t="str">
        <f>Overview!A292</f>
        <v>Stegastes nigricans</v>
      </c>
    </row>
    <row r="293" spans="1:2" x14ac:dyDescent="0.2">
      <c r="A293" t="s">
        <v>664</v>
      </c>
      <c r="B293" s="32" t="str">
        <f>Overview!A293</f>
        <v>Stethojulis albovittata</v>
      </c>
    </row>
    <row r="294" spans="1:2" x14ac:dyDescent="0.2">
      <c r="A294" t="s">
        <v>665</v>
      </c>
      <c r="B294" s="32" t="str">
        <f>Overview!A294</f>
        <v>Stethojulis interrupta</v>
      </c>
    </row>
    <row r="295" spans="1:2" x14ac:dyDescent="0.2">
      <c r="A295" t="s">
        <v>666</v>
      </c>
      <c r="B295" s="32" t="str">
        <f>Overview!A295</f>
        <v>Stethojulis sp</v>
      </c>
    </row>
    <row r="296" spans="1:2" x14ac:dyDescent="0.2">
      <c r="A296" t="s">
        <v>667</v>
      </c>
      <c r="B296" s="32" t="str">
        <f>Overview!A296</f>
        <v>Stethojulis strigiventer</v>
      </c>
    </row>
    <row r="297" spans="1:2" x14ac:dyDescent="0.2">
      <c r="A297" t="s">
        <v>668</v>
      </c>
      <c r="B297" s="32" t="str">
        <f>Overview!A297</f>
        <v>Stethojulis trilineata</v>
      </c>
    </row>
    <row r="298" spans="1:2" x14ac:dyDescent="0.2">
      <c r="A298" t="s">
        <v>669</v>
      </c>
      <c r="B298" s="32" t="str">
        <f>Overview!A298</f>
        <v>Sufflamen bursa</v>
      </c>
    </row>
    <row r="299" spans="1:2" x14ac:dyDescent="0.2">
      <c r="A299" t="s">
        <v>670</v>
      </c>
      <c r="B299" s="32" t="str">
        <f>Overview!A299</f>
        <v>Sufflamen chrysopterum</v>
      </c>
    </row>
    <row r="300" spans="1:2" x14ac:dyDescent="0.2">
      <c r="A300" t="s">
        <v>671</v>
      </c>
      <c r="B300" s="32" t="str">
        <f>Overview!A300</f>
        <v>Taeniamia fucata</v>
      </c>
    </row>
    <row r="301" spans="1:2" x14ac:dyDescent="0.2">
      <c r="A301" t="s">
        <v>672</v>
      </c>
      <c r="B301" s="32" t="str">
        <f>Overview!A301</f>
        <v>Taeniura lymma</v>
      </c>
    </row>
    <row r="302" spans="1:2" x14ac:dyDescent="0.2">
      <c r="A302" t="s">
        <v>673</v>
      </c>
      <c r="B302" s="32" t="str">
        <f>Overview!A302</f>
        <v>Thalassoma amblycephalum</v>
      </c>
    </row>
    <row r="303" spans="1:2" x14ac:dyDescent="0.2">
      <c r="A303" t="s">
        <v>674</v>
      </c>
      <c r="B303" s="32" t="str">
        <f>Overview!A303</f>
        <v>Thalassoma hardwicke</v>
      </c>
    </row>
    <row r="304" spans="1:2" x14ac:dyDescent="0.2">
      <c r="A304" t="s">
        <v>675</v>
      </c>
      <c r="B304" s="32" t="str">
        <f>Overview!A304</f>
        <v>Thalassoma hebraicum</v>
      </c>
    </row>
    <row r="305" spans="1:2" x14ac:dyDescent="0.2">
      <c r="A305" t="s">
        <v>379</v>
      </c>
      <c r="B305" s="32" t="str">
        <f>Overview!A305</f>
        <v>Thalassoma lunare</v>
      </c>
    </row>
    <row r="306" spans="1:2" x14ac:dyDescent="0.2">
      <c r="A306" t="s">
        <v>676</v>
      </c>
      <c r="B306" s="32" t="str">
        <f>Overview!A306</f>
        <v>Thalassoma purpureum</v>
      </c>
    </row>
    <row r="307" spans="1:2" x14ac:dyDescent="0.2">
      <c r="A307" t="s">
        <v>677</v>
      </c>
      <c r="B307" s="32" t="str">
        <f>Overview!A307</f>
        <v>Turrum fulvoguttatum</v>
      </c>
    </row>
    <row r="308" spans="1:2" x14ac:dyDescent="0.2">
      <c r="A308" t="s">
        <v>678</v>
      </c>
      <c r="B308" s="32" t="str">
        <f>Overview!A308</f>
        <v>Upeneus heemstra</v>
      </c>
    </row>
    <row r="309" spans="1:2" x14ac:dyDescent="0.2">
      <c r="A309" t="s">
        <v>376</v>
      </c>
      <c r="B309" s="32" t="str">
        <f>Overview!A309</f>
        <v>Zanclus cornutus</v>
      </c>
    </row>
    <row r="310" spans="1:2" x14ac:dyDescent="0.2">
      <c r="A310" t="s">
        <v>679</v>
      </c>
      <c r="B310" s="32" t="str">
        <f>Overview!A310</f>
        <v>Zebrasoma desjardinii</v>
      </c>
    </row>
    <row r="311" spans="1:2" x14ac:dyDescent="0.2">
      <c r="A311" t="s">
        <v>680</v>
      </c>
      <c r="B311" s="32" t="str">
        <f>Overview!A311</f>
        <v>Zebrasoma scopas</v>
      </c>
    </row>
    <row r="312" spans="1:2" x14ac:dyDescent="0.2">
      <c r="B312" s="32">
        <f>Overview!A312</f>
        <v>0</v>
      </c>
    </row>
    <row r="313" spans="1:2" x14ac:dyDescent="0.2">
      <c r="B313" s="32">
        <f>Overview!A313</f>
        <v>0</v>
      </c>
    </row>
    <row r="314" spans="1:2" x14ac:dyDescent="0.2">
      <c r="B314" s="32">
        <f>Overview!A314</f>
        <v>0</v>
      </c>
    </row>
    <row r="315" spans="1:2" x14ac:dyDescent="0.2">
      <c r="B315" s="32">
        <f>Overview!A315</f>
        <v>0</v>
      </c>
    </row>
    <row r="316" spans="1:2" x14ac:dyDescent="0.2">
      <c r="B316" s="32">
        <f>Overview!A316</f>
        <v>0</v>
      </c>
    </row>
    <row r="317" spans="1:2" x14ac:dyDescent="0.2">
      <c r="B317" s="32">
        <f>Overview!A317</f>
        <v>0</v>
      </c>
    </row>
    <row r="318" spans="1:2" x14ac:dyDescent="0.2">
      <c r="B318" s="32">
        <f>Overview!A318</f>
        <v>0</v>
      </c>
    </row>
    <row r="319" spans="1:2" x14ac:dyDescent="0.2">
      <c r="B319" s="32">
        <f>Overview!A319</f>
        <v>0</v>
      </c>
    </row>
    <row r="320" spans="1:2" x14ac:dyDescent="0.2">
      <c r="B320" s="32">
        <f>Overview!A320</f>
        <v>0</v>
      </c>
    </row>
    <row r="321" spans="2:2" x14ac:dyDescent="0.2">
      <c r="B321" s="32">
        <f>Overview!A321</f>
        <v>0</v>
      </c>
    </row>
    <row r="322" spans="2:2" x14ac:dyDescent="0.2">
      <c r="B322" s="32"/>
    </row>
    <row r="323" spans="2:2" x14ac:dyDescent="0.2">
      <c r="B323" s="32"/>
    </row>
    <row r="324" spans="2:2" x14ac:dyDescent="0.2">
      <c r="B324" s="32"/>
    </row>
    <row r="325" spans="2:2" x14ac:dyDescent="0.2">
      <c r="B325" s="32"/>
    </row>
    <row r="326" spans="2:2" x14ac:dyDescent="0.2">
      <c r="B326" s="32"/>
    </row>
    <row r="327" spans="2:2" x14ac:dyDescent="0.2">
      <c r="B327" s="32"/>
    </row>
    <row r="328" spans="2:2" x14ac:dyDescent="0.2">
      <c r="B328" s="32"/>
    </row>
    <row r="329" spans="2:2" x14ac:dyDescent="0.2">
      <c r="B329" s="32"/>
    </row>
    <row r="330" spans="2:2" x14ac:dyDescent="0.2">
      <c r="B330" s="32"/>
    </row>
    <row r="331" spans="2:2" x14ac:dyDescent="0.2">
      <c r="B331" s="32"/>
    </row>
    <row r="332" spans="2:2" x14ac:dyDescent="0.2">
      <c r="B332" s="32"/>
    </row>
    <row r="333" spans="2:2" x14ac:dyDescent="0.2">
      <c r="B333" s="32"/>
    </row>
    <row r="334" spans="2:2" x14ac:dyDescent="0.2">
      <c r="B334" s="32"/>
    </row>
    <row r="335" spans="2:2" x14ac:dyDescent="0.2">
      <c r="B335" s="32"/>
    </row>
    <row r="336" spans="2:2" x14ac:dyDescent="0.2">
      <c r="B336" s="32"/>
    </row>
    <row r="337" spans="2:2" x14ac:dyDescent="0.2">
      <c r="B337" s="32"/>
    </row>
    <row r="338" spans="2:2" x14ac:dyDescent="0.2">
      <c r="B338" s="32"/>
    </row>
    <row r="339" spans="2:2" x14ac:dyDescent="0.2">
      <c r="B339" s="32"/>
    </row>
    <row r="340" spans="2:2" x14ac:dyDescent="0.2">
      <c r="B340" s="32"/>
    </row>
    <row r="341" spans="2:2" x14ac:dyDescent="0.2">
      <c r="B341" s="32"/>
    </row>
    <row r="342" spans="2:2" x14ac:dyDescent="0.2">
      <c r="B342" s="32"/>
    </row>
    <row r="343" spans="2:2" x14ac:dyDescent="0.2">
      <c r="B343" s="32"/>
    </row>
    <row r="344" spans="2:2" x14ac:dyDescent="0.2">
      <c r="B344" s="32"/>
    </row>
    <row r="345" spans="2:2" x14ac:dyDescent="0.2">
      <c r="B345" s="32"/>
    </row>
    <row r="346" spans="2:2" x14ac:dyDescent="0.2">
      <c r="B346" s="32"/>
    </row>
    <row r="347" spans="2:2" x14ac:dyDescent="0.2">
      <c r="B347" s="32"/>
    </row>
    <row r="348" spans="2:2" x14ac:dyDescent="0.2">
      <c r="B348" s="32"/>
    </row>
    <row r="349" spans="2:2" x14ac:dyDescent="0.2">
      <c r="B349" s="32"/>
    </row>
    <row r="350" spans="2:2" x14ac:dyDescent="0.2">
      <c r="B350" s="32"/>
    </row>
    <row r="351" spans="2:2" x14ac:dyDescent="0.2">
      <c r="B351" s="32"/>
    </row>
    <row r="352" spans="2:2" x14ac:dyDescent="0.2">
      <c r="B352" s="32"/>
    </row>
    <row r="353" spans="2:2" x14ac:dyDescent="0.2">
      <c r="B353" s="32"/>
    </row>
    <row r="354" spans="2:2" x14ac:dyDescent="0.2">
      <c r="B354" s="32"/>
    </row>
    <row r="355" spans="2:2" x14ac:dyDescent="0.2">
      <c r="B355" s="32"/>
    </row>
    <row r="356" spans="2:2" x14ac:dyDescent="0.2">
      <c r="B356" s="32"/>
    </row>
    <row r="357" spans="2:2" x14ac:dyDescent="0.2">
      <c r="B357" s="32"/>
    </row>
    <row r="358" spans="2:2" x14ac:dyDescent="0.2">
      <c r="B358" s="32"/>
    </row>
    <row r="359" spans="2:2" x14ac:dyDescent="0.2">
      <c r="B359" s="32"/>
    </row>
    <row r="360" spans="2:2" x14ac:dyDescent="0.2">
      <c r="B360" s="32"/>
    </row>
    <row r="361" spans="2:2" x14ac:dyDescent="0.2">
      <c r="B361" s="32"/>
    </row>
    <row r="362" spans="2:2" x14ac:dyDescent="0.2">
      <c r="B362" s="32"/>
    </row>
    <row r="363" spans="2:2" x14ac:dyDescent="0.2">
      <c r="B363" s="32"/>
    </row>
    <row r="364" spans="2:2" x14ac:dyDescent="0.2">
      <c r="B364" s="32"/>
    </row>
    <row r="365" spans="2:2" x14ac:dyDescent="0.2">
      <c r="B365" s="32"/>
    </row>
    <row r="366" spans="2:2" x14ac:dyDescent="0.2">
      <c r="B366" s="32"/>
    </row>
    <row r="367" spans="2:2" x14ac:dyDescent="0.2">
      <c r="B367" s="32"/>
    </row>
    <row r="368" spans="2:2" x14ac:dyDescent="0.2">
      <c r="B368" s="32"/>
    </row>
    <row r="369" spans="2:2" x14ac:dyDescent="0.2">
      <c r="B369" s="32"/>
    </row>
    <row r="370" spans="2:2" x14ac:dyDescent="0.2">
      <c r="B370" s="32"/>
    </row>
    <row r="371" spans="2:2" x14ac:dyDescent="0.2">
      <c r="B371" s="32"/>
    </row>
    <row r="372" spans="2:2" x14ac:dyDescent="0.2">
      <c r="B372" s="32"/>
    </row>
    <row r="373" spans="2:2" x14ac:dyDescent="0.2">
      <c r="B373" s="32"/>
    </row>
    <row r="374" spans="2:2" x14ac:dyDescent="0.2">
      <c r="B374" s="32"/>
    </row>
    <row r="375" spans="2:2" x14ac:dyDescent="0.2">
      <c r="B375" s="32"/>
    </row>
    <row r="376" spans="2:2" x14ac:dyDescent="0.2">
      <c r="B376" s="32"/>
    </row>
    <row r="377" spans="2:2" x14ac:dyDescent="0.2">
      <c r="B377" s="32"/>
    </row>
    <row r="378" spans="2:2" x14ac:dyDescent="0.2">
      <c r="B378" s="32"/>
    </row>
    <row r="379" spans="2:2" x14ac:dyDescent="0.2">
      <c r="B379" s="32"/>
    </row>
    <row r="380" spans="2:2" x14ac:dyDescent="0.2">
      <c r="B380" s="32"/>
    </row>
    <row r="381" spans="2:2" x14ac:dyDescent="0.2">
      <c r="B381" s="32"/>
    </row>
    <row r="382" spans="2:2" x14ac:dyDescent="0.2">
      <c r="B382" s="32"/>
    </row>
    <row r="383" spans="2:2" x14ac:dyDescent="0.2">
      <c r="B383" s="32"/>
    </row>
    <row r="384" spans="2:2" x14ac:dyDescent="0.2">
      <c r="B384" s="32"/>
    </row>
    <row r="385" spans="2:2" x14ac:dyDescent="0.2">
      <c r="B385" s="32"/>
    </row>
    <row r="386" spans="2:2" x14ac:dyDescent="0.2">
      <c r="B386" s="32"/>
    </row>
    <row r="387" spans="2:2" x14ac:dyDescent="0.2">
      <c r="B387" s="32"/>
    </row>
    <row r="388" spans="2:2" x14ac:dyDescent="0.2">
      <c r="B388" s="32"/>
    </row>
    <row r="389" spans="2:2" x14ac:dyDescent="0.2">
      <c r="B389" s="32"/>
    </row>
    <row r="390" spans="2:2" x14ac:dyDescent="0.2">
      <c r="B390" s="32"/>
    </row>
    <row r="391" spans="2:2" x14ac:dyDescent="0.2">
      <c r="B391" s="32"/>
    </row>
    <row r="392" spans="2:2" x14ac:dyDescent="0.2">
      <c r="B392" s="32"/>
    </row>
    <row r="393" spans="2:2" x14ac:dyDescent="0.2">
      <c r="B393" s="32"/>
    </row>
    <row r="394" spans="2:2" x14ac:dyDescent="0.2">
      <c r="B394" s="32"/>
    </row>
    <row r="395" spans="2:2" x14ac:dyDescent="0.2">
      <c r="B395" s="32"/>
    </row>
    <row r="396" spans="2:2" x14ac:dyDescent="0.2">
      <c r="B396" s="32"/>
    </row>
    <row r="397" spans="2:2" x14ac:dyDescent="0.2">
      <c r="B397" s="32"/>
    </row>
    <row r="398" spans="2:2" x14ac:dyDescent="0.2">
      <c r="B398" s="32"/>
    </row>
    <row r="399" spans="2:2" x14ac:dyDescent="0.2">
      <c r="B399" s="32"/>
    </row>
    <row r="400" spans="2:2" x14ac:dyDescent="0.2">
      <c r="B400" s="32"/>
    </row>
    <row r="401" spans="2:2" x14ac:dyDescent="0.2">
      <c r="B401" s="32"/>
    </row>
    <row r="402" spans="2:2" x14ac:dyDescent="0.2">
      <c r="B402" s="32"/>
    </row>
    <row r="403" spans="2:2" x14ac:dyDescent="0.2">
      <c r="B403" s="32"/>
    </row>
    <row r="404" spans="2:2" x14ac:dyDescent="0.2">
      <c r="B404" s="32"/>
    </row>
    <row r="405" spans="2:2" x14ac:dyDescent="0.2">
      <c r="B405" s="32"/>
    </row>
    <row r="406" spans="2:2" x14ac:dyDescent="0.2">
      <c r="B406" s="32"/>
    </row>
    <row r="407" spans="2:2" x14ac:dyDescent="0.2">
      <c r="B407" s="32"/>
    </row>
    <row r="408" spans="2:2" x14ac:dyDescent="0.2">
      <c r="B408" s="32"/>
    </row>
    <row r="409" spans="2:2" x14ac:dyDescent="0.2">
      <c r="B409" s="32"/>
    </row>
    <row r="410" spans="2:2" x14ac:dyDescent="0.2">
      <c r="B410" s="32"/>
    </row>
    <row r="411" spans="2:2" x14ac:dyDescent="0.2">
      <c r="B411" s="32"/>
    </row>
    <row r="412" spans="2:2" x14ac:dyDescent="0.2">
      <c r="B412" s="32"/>
    </row>
    <row r="413" spans="2:2" x14ac:dyDescent="0.2">
      <c r="B413" s="32"/>
    </row>
    <row r="414" spans="2:2" x14ac:dyDescent="0.2">
      <c r="B414" s="32"/>
    </row>
    <row r="415" spans="2:2" x14ac:dyDescent="0.2">
      <c r="B415" s="32"/>
    </row>
    <row r="416" spans="2:2" x14ac:dyDescent="0.2">
      <c r="B416" s="32"/>
    </row>
    <row r="417" spans="2:2" x14ac:dyDescent="0.2">
      <c r="B417" s="32"/>
    </row>
    <row r="418" spans="2:2" x14ac:dyDescent="0.2">
      <c r="B418" s="32"/>
    </row>
    <row r="419" spans="2:2" x14ac:dyDescent="0.2">
      <c r="B419" s="32"/>
    </row>
    <row r="420" spans="2:2" x14ac:dyDescent="0.2">
      <c r="B420" s="32"/>
    </row>
    <row r="421" spans="2:2" x14ac:dyDescent="0.2">
      <c r="B421" s="32"/>
    </row>
    <row r="422" spans="2:2" x14ac:dyDescent="0.2">
      <c r="B422" s="32"/>
    </row>
    <row r="423" spans="2:2" x14ac:dyDescent="0.2">
      <c r="B423" s="32"/>
    </row>
    <row r="424" spans="2:2" x14ac:dyDescent="0.2">
      <c r="B424" s="32"/>
    </row>
    <row r="425" spans="2:2" x14ac:dyDescent="0.2">
      <c r="B425" s="32"/>
    </row>
    <row r="426" spans="2:2" x14ac:dyDescent="0.2">
      <c r="B426" s="32"/>
    </row>
    <row r="427" spans="2:2" x14ac:dyDescent="0.2">
      <c r="B427" s="32"/>
    </row>
    <row r="428" spans="2:2" x14ac:dyDescent="0.2">
      <c r="B428" s="32"/>
    </row>
    <row r="429" spans="2:2" x14ac:dyDescent="0.2">
      <c r="B429" s="32"/>
    </row>
    <row r="430" spans="2:2" x14ac:dyDescent="0.2">
      <c r="B430" s="32"/>
    </row>
    <row r="431" spans="2:2" x14ac:dyDescent="0.2">
      <c r="B431" s="32"/>
    </row>
    <row r="432" spans="2:2" x14ac:dyDescent="0.2">
      <c r="B432" s="32"/>
    </row>
    <row r="433" spans="2:2" x14ac:dyDescent="0.2">
      <c r="B433" s="32"/>
    </row>
    <row r="434" spans="2:2" x14ac:dyDescent="0.2">
      <c r="B434" s="32"/>
    </row>
    <row r="435" spans="2:2" x14ac:dyDescent="0.2">
      <c r="B435" s="32"/>
    </row>
    <row r="436" spans="2:2" x14ac:dyDescent="0.2">
      <c r="B436" s="32"/>
    </row>
    <row r="437" spans="2:2" x14ac:dyDescent="0.2">
      <c r="B437" s="32"/>
    </row>
    <row r="438" spans="2:2" x14ac:dyDescent="0.2">
      <c r="B438" s="32"/>
    </row>
    <row r="439" spans="2:2" x14ac:dyDescent="0.2">
      <c r="B439" s="32"/>
    </row>
    <row r="440" spans="2:2" x14ac:dyDescent="0.2">
      <c r="B440" s="32"/>
    </row>
    <row r="441" spans="2:2" x14ac:dyDescent="0.2">
      <c r="B441" s="32"/>
    </row>
    <row r="442" spans="2:2" x14ac:dyDescent="0.2">
      <c r="B442" s="32"/>
    </row>
    <row r="443" spans="2:2" x14ac:dyDescent="0.2">
      <c r="B443" s="32"/>
    </row>
    <row r="444" spans="2:2" x14ac:dyDescent="0.2">
      <c r="B444" s="32"/>
    </row>
    <row r="445" spans="2:2" x14ac:dyDescent="0.2">
      <c r="B445" s="32"/>
    </row>
    <row r="446" spans="2:2" x14ac:dyDescent="0.2">
      <c r="B446" s="32"/>
    </row>
    <row r="447" spans="2:2" x14ac:dyDescent="0.2">
      <c r="B447" s="32"/>
    </row>
    <row r="448" spans="2:2" x14ac:dyDescent="0.2">
      <c r="B448" s="32"/>
    </row>
    <row r="449" spans="2:2" x14ac:dyDescent="0.2">
      <c r="B449" s="32"/>
    </row>
    <row r="450" spans="2:2" x14ac:dyDescent="0.2">
      <c r="B450" s="32"/>
    </row>
    <row r="451" spans="2:2" x14ac:dyDescent="0.2">
      <c r="B451" s="32"/>
    </row>
    <row r="452" spans="2:2" x14ac:dyDescent="0.2">
      <c r="B452" s="32"/>
    </row>
    <row r="453" spans="2:2" x14ac:dyDescent="0.2">
      <c r="B453" s="32"/>
    </row>
    <row r="454" spans="2:2" x14ac:dyDescent="0.2">
      <c r="B454" s="32"/>
    </row>
    <row r="455" spans="2:2" x14ac:dyDescent="0.2">
      <c r="B455" s="32"/>
    </row>
    <row r="456" spans="2:2" x14ac:dyDescent="0.2">
      <c r="B456" s="32"/>
    </row>
    <row r="457" spans="2:2" x14ac:dyDescent="0.2">
      <c r="B457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Overview</vt:lpstr>
      <vt:lpstr>Raw</vt:lpstr>
      <vt:lpstr>Abbrevation full 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Jorn de Gelder</dc:creator>
  <cp:lastModifiedBy>Gelder, Jorn de</cp:lastModifiedBy>
  <dcterms:created xsi:type="dcterms:W3CDTF">2025-10-09T11:50:59Z</dcterms:created>
  <dcterms:modified xsi:type="dcterms:W3CDTF">2025-12-19T13:06:00Z</dcterms:modified>
</cp:coreProperties>
</file>