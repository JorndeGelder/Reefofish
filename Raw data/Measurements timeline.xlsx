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3"/>
    <sheet state="visible" name="Overview (yearly)" sheetId="2" r:id="rId4"/>
    <sheet state="visible" name="Overview (monthly)" sheetId="3" r:id="rId5"/>
    <sheet state="visible" name="Overview (bleaching)" sheetId="4" r:id="rId6"/>
    <sheet state="visible" name="Overview (loggers)" sheetId="5" r:id="rId7"/>
    <sheet state="visible" name="Nursery history" sheetId="6" r:id="rId8"/>
    <sheet state="hidden" name="Experiments" sheetId="7" r:id="rId9"/>
  </sheets>
  <definedNames>
    <definedName hidden="1" localSheetId="1" name="_xlnm._FilterDatabase">'Overview (yearly)'!$A$1:$AK$233</definedName>
    <definedName hidden="1" localSheetId="2" name="_xlnm._FilterDatabase">'Overview (monthly)'!$A$1:$FQ$715</definedName>
    <definedName hidden="1" localSheetId="3" name="_xlnm._FilterDatabase">'Overview (bleaching)'!$A$2:$AJ$13</definedName>
    <definedName hidden="1" localSheetId="4" name="_xlnm._FilterDatabase">'Overview (loggers)'!$A$1:$BY$11</definedName>
    <definedName hidden="1" localSheetId="5" name="_xlnm._FilterDatabase">'Nursery history'!$A$1:$F$1002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2">
      <text>
        <t xml:space="preserve">It appears from Koen's data that there might be substantial reef in this 'Control' patch?
	-Ewout Knoester</t>
      </text>
    </comment>
    <comment authorId="0" ref="L138">
      <text>
        <t xml:space="preserve">Double check (danielle 4.0)
	-Ewout Knoester</t>
      </text>
    </comment>
    <comment authorId="0" ref="L124">
      <text>
        <t xml:space="preserve">double check (danielle 4.4)
	-Ewout Knoester</t>
      </text>
    </comment>
    <comment authorId="0" ref="L217">
      <text>
        <t xml:space="preserve">double check (danielle 4.5)
	-Ewout Knoester</t>
      </text>
    </comment>
    <comment authorId="0" ref="J206">
      <text>
        <t xml:space="preserve">-4.659264, 39.392103
	-Daniëlle Geschiere</t>
      </text>
    </comment>
    <comment authorId="0" ref="J208">
      <text>
        <t xml:space="preserve">-4.659527, 39.39135
	-Daniëlle Geschiere</t>
      </text>
    </comment>
    <comment authorId="0" ref="J142">
      <text>
        <t xml:space="preserve">-4.658928, 39.39247
	-Daniëlle Geschiere</t>
      </text>
    </comment>
    <comment authorId="0" ref="J123">
      <text>
        <t xml:space="preserve">-4.659459, 39.389944
	-Daniëlle Geschiere</t>
      </text>
    </comment>
    <comment authorId="0" ref="J134">
      <text>
        <t xml:space="preserve">-4.657632, 39.378076
	-Daniëlle Geschiere</t>
      </text>
    </comment>
    <comment authorId="0" ref="J148">
      <text>
        <t xml:space="preserve">-4.657994, 39.378604
	-Daniëlle Geschiere</t>
      </text>
    </comment>
    <comment authorId="0" ref="J131">
      <text>
        <t xml:space="preserve">-4.659713, 39.38519
	-Daniëlle Geschiere</t>
      </text>
    </comment>
    <comment authorId="0" ref="J81">
      <text>
        <t xml:space="preserve">-4.659731, 39.390133
	-Daniëlle Geschiere</t>
      </text>
    </comment>
    <comment authorId="0" ref="J126">
      <text>
        <t xml:space="preserve">-4.659572, 39.384088
	-Daniëlle Geschiere</t>
      </text>
    </comment>
    <comment authorId="0" ref="J124">
      <text>
        <t xml:space="preserve">-4.659571, 39.385685
	-Daniëlle Geschiere</t>
      </text>
    </comment>
    <comment authorId="0" ref="J125">
      <text>
        <t xml:space="preserve">-4.659822, 39.385286
	-Daniëlle Geschiere</t>
      </text>
    </comment>
    <comment authorId="0" ref="J140">
      <text>
        <t xml:space="preserve">-4.659886, 39.385098
	-Daniëlle Geschiere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Only a few intertidal pics could be taken due to bad conditions
	-Ewout Knoester</t>
      </text>
    </comment>
  </commentList>
</comments>
</file>

<file path=xl/sharedStrings.xml><?xml version="1.0" encoding="utf-8"?>
<sst xmlns="http://schemas.openxmlformats.org/spreadsheetml/2006/main" count="6937" uniqueCount="1739">
  <si>
    <t xml:space="preserve"> </t>
  </si>
  <si>
    <t>Explanation</t>
  </si>
  <si>
    <t>Nursery</t>
  </si>
  <si>
    <t>Continuous monitoring (experiments)</t>
  </si>
  <si>
    <t>Start - end monitoring only</t>
  </si>
  <si>
    <t>No monitoring</t>
  </si>
  <si>
    <t>Nursery lost</t>
  </si>
  <si>
    <t>Ewout</t>
  </si>
  <si>
    <t>Analysed (by whom)</t>
  </si>
  <si>
    <t>Analysed (by whom) &amp; photos in back-up</t>
  </si>
  <si>
    <t>Analysed (by whom) &amp; photos in back-up, but something wrong/ low quality data (see specific comments)</t>
  </si>
  <si>
    <t>NO</t>
  </si>
  <si>
    <t>Will not be analysed (not useful anymore), but photos in back-up</t>
  </si>
  <si>
    <t>To be analysed (by whom)</t>
  </si>
  <si>
    <t>To be photographed</t>
  </si>
  <si>
    <t>Sc</t>
  </si>
  <si>
    <t>Double check survival (by:)</t>
  </si>
  <si>
    <t>Status growth measurements</t>
  </si>
  <si>
    <t>Continuous</t>
  </si>
  <si>
    <t>Measurements at regular interval</t>
  </si>
  <si>
    <t>Start-end</t>
  </si>
  <si>
    <t>Measurements at beginning and end of nursery period</t>
  </si>
  <si>
    <t>No</t>
  </si>
  <si>
    <t>No measurements</t>
  </si>
  <si>
    <t>Lost</t>
  </si>
  <si>
    <t>Tree disappeared underwater</t>
  </si>
  <si>
    <t>Empty</t>
  </si>
  <si>
    <t>Tree has no coral</t>
  </si>
  <si>
    <t>Out</t>
  </si>
  <si>
    <t>Tree has been taken out of the water for maintenance</t>
  </si>
  <si>
    <t>Species abbreviations</t>
  </si>
  <si>
    <t>Af</t>
  </si>
  <si>
    <t>Acropora formosa</t>
  </si>
  <si>
    <t>Av</t>
  </si>
  <si>
    <t>Acropora verweyi</t>
  </si>
  <si>
    <t>Asp</t>
  </si>
  <si>
    <t>Acropora sp.</t>
  </si>
  <si>
    <t>Pc</t>
  </si>
  <si>
    <t>Porites cylindrica</t>
  </si>
  <si>
    <t>Pv</t>
  </si>
  <si>
    <t>Pocillopora verrucosa</t>
  </si>
  <si>
    <t>Mt</t>
  </si>
  <si>
    <t>Millepora tenera</t>
  </si>
  <si>
    <t>Other common abbreviations</t>
  </si>
  <si>
    <t>CMA-</t>
  </si>
  <si>
    <t>Community Managed Area (i.e. Mkwiro CMA)</t>
  </si>
  <si>
    <t>F-</t>
  </si>
  <si>
    <t>Fished area (e.g. Pilli Pipa)</t>
  </si>
  <si>
    <t>NT-</t>
  </si>
  <si>
    <t>No-Take area (i.e. Kikuyu House)</t>
  </si>
  <si>
    <t>-XS-</t>
  </si>
  <si>
    <t>Extra Small: 16m2</t>
  </si>
  <si>
    <t>-L-</t>
  </si>
  <si>
    <t>Large: 64m2</t>
  </si>
  <si>
    <t>-XL-</t>
  </si>
  <si>
    <t>Extra Large: 256m2</t>
  </si>
  <si>
    <t>-BRU-</t>
  </si>
  <si>
    <t>Bottle Reef Units</t>
  </si>
  <si>
    <t>M-</t>
  </si>
  <si>
    <t xml:space="preserve">Moses </t>
  </si>
  <si>
    <t>R-</t>
  </si>
  <si>
    <t>Reference (i.e. natural reef)</t>
  </si>
  <si>
    <t>Overview (yearly)</t>
  </si>
  <si>
    <t>Benthic survey</t>
  </si>
  <si>
    <t>Fish survey</t>
  </si>
  <si>
    <t>Both benthic and fish survey</t>
  </si>
  <si>
    <t>Benthic, fish and other surveys</t>
  </si>
  <si>
    <t>To be surveyed</t>
  </si>
  <si>
    <t>Patch</t>
  </si>
  <si>
    <t>Type</t>
  </si>
  <si>
    <t>Exp.complexity</t>
  </si>
  <si>
    <t>Exp.size</t>
  </si>
  <si>
    <t>Exp.moses</t>
  </si>
  <si>
    <t>Exp.mars</t>
  </si>
  <si>
    <t>Exp.production</t>
  </si>
  <si>
    <t>Exp.seasons</t>
  </si>
  <si>
    <t>Site</t>
  </si>
  <si>
    <t>GPS</t>
  </si>
  <si>
    <t>Coord.X</t>
  </si>
  <si>
    <t>Depth.MLLW</t>
  </si>
  <si>
    <t>Reef.dist_m</t>
  </si>
  <si>
    <t>AR.dist_m</t>
  </si>
  <si>
    <t>Date.created</t>
  </si>
  <si>
    <t>Area_m2</t>
  </si>
  <si>
    <t>Frags.initial</t>
  </si>
  <si>
    <t>Sumthings.initial</t>
  </si>
  <si>
    <t>Frags.replanted</t>
  </si>
  <si>
    <t>Sumthings.replanted</t>
  </si>
  <si>
    <t>Frags.live</t>
  </si>
  <si>
    <t>Frags.live.year</t>
  </si>
  <si>
    <t>Frags.comments</t>
  </si>
  <si>
    <t>Comments.general</t>
  </si>
  <si>
    <t>RRAD1_m</t>
  </si>
  <si>
    <t>RRAD.date_1</t>
  </si>
  <si>
    <t>RRAD2_m</t>
  </si>
  <si>
    <t>RRAD.date_2</t>
  </si>
  <si>
    <t>(CMA-B-1)</t>
  </si>
  <si>
    <t>Reference</t>
  </si>
  <si>
    <t>Mkwiro CMA</t>
  </si>
  <si>
    <t>-4.660000, 39.389835</t>
  </si>
  <si>
    <t>NA</t>
  </si>
  <si>
    <t>(CMA-B-2)</t>
  </si>
  <si>
    <t>-4.659984, 39.389511</t>
  </si>
  <si>
    <t>(CMA-B-3)</t>
  </si>
  <si>
    <t>-4.660072, 39.389183</t>
  </si>
  <si>
    <t>(CMA-B-4)</t>
  </si>
  <si>
    <t>-4.660087, 39.388927</t>
  </si>
  <si>
    <t>Yes</t>
  </si>
  <si>
    <t>(CMA-B-5)</t>
  </si>
  <si>
    <t>-4.660107, 39.388638</t>
  </si>
  <si>
    <t>(CMA-C-2)</t>
  </si>
  <si>
    <t>-4.659678, 39.392044</t>
  </si>
  <si>
    <t>(CMA-R-2)</t>
  </si>
  <si>
    <t>(CMA-S-1)</t>
  </si>
  <si>
    <t>-4.659745, 39.391613</t>
  </si>
  <si>
    <t>(CMA-S-2)</t>
  </si>
  <si>
    <t>-4.659977, 39.390411</t>
  </si>
  <si>
    <t>(CMA-S-3)</t>
  </si>
  <si>
    <t>-4.659896, 39.391312</t>
  </si>
  <si>
    <t>(CMA-S-4)</t>
  </si>
  <si>
    <t>-4.659882, 39.391022</t>
  </si>
  <si>
    <t>(CMA-S-5)</t>
  </si>
  <si>
    <t>-4.659902, 39.390732</t>
  </si>
  <si>
    <t>(F-C-1)</t>
  </si>
  <si>
    <t>Reference far</t>
  </si>
  <si>
    <t>Pilli Pipa</t>
  </si>
  <si>
    <t>-4.658894, 39.380501</t>
  </si>
  <si>
    <t>4H fish</t>
  </si>
  <si>
    <t>(F-C-2)</t>
  </si>
  <si>
    <t>Reference xs</t>
  </si>
  <si>
    <t>-4.658901, 39.380131</t>
  </si>
  <si>
    <t>(F-C-3)</t>
  </si>
  <si>
    <t>-4.658799, 39.380325</t>
  </si>
  <si>
    <t>(F-C-4)</t>
  </si>
  <si>
    <t>-4.658624, 39.379833</t>
  </si>
  <si>
    <t>(F-C-5)</t>
  </si>
  <si>
    <t>-4.658571, 39.379623</t>
  </si>
  <si>
    <t>Rxs</t>
  </si>
  <si>
    <t>(F-R-1)</t>
  </si>
  <si>
    <t>-4.657705, 39.377956</t>
  </si>
  <si>
    <t>Full galaxea</t>
  </si>
  <si>
    <t>(F-R-2)</t>
  </si>
  <si>
    <t>-4.657611, 39.377708</t>
  </si>
  <si>
    <t>Half galaxea</t>
  </si>
  <si>
    <t>(F-R-3)</t>
  </si>
  <si>
    <t>-4.657575, 39.377457</t>
  </si>
  <si>
    <t>(F-R-4)</t>
  </si>
  <si>
    <t>-4.657543, 39.377213</t>
  </si>
  <si>
    <t>No galaxea</t>
  </si>
  <si>
    <t>(F-R-5)</t>
  </si>
  <si>
    <t>-4.657482, 39.377064</t>
  </si>
  <si>
    <t>(F-S-1)</t>
  </si>
  <si>
    <t>-4.658364, 39.379288</t>
  </si>
  <si>
    <t>(F-S-2)</t>
  </si>
  <si>
    <t>-4.658067, 39.378674</t>
  </si>
  <si>
    <t>(F-S-3)</t>
  </si>
  <si>
    <t>-4.658148, 39.378708</t>
  </si>
  <si>
    <t>Little hard substrate surveyed</t>
  </si>
  <si>
    <t>(F-S-5)</t>
  </si>
  <si>
    <t>-4.658003, 39.378502</t>
  </si>
  <si>
    <t>(NT-C-1)</t>
  </si>
  <si>
    <t>Kikuyu House</t>
  </si>
  <si>
    <t>-4.659803, 39.383919</t>
  </si>
  <si>
    <t>(NT-C-2)</t>
  </si>
  <si>
    <t>-4.659830, 39.384632</t>
  </si>
  <si>
    <t>(NT-C-3)</t>
  </si>
  <si>
    <t>-4.659705, 39.383625</t>
  </si>
  <si>
    <t>11H</t>
  </si>
  <si>
    <t>(NT-C-4)</t>
  </si>
  <si>
    <t>-4.659848, 39.384167</t>
  </si>
  <si>
    <t>(NT-C-5)</t>
  </si>
  <si>
    <t>-4.659743, 39.384354</t>
  </si>
  <si>
    <t>High complexity</t>
  </si>
  <si>
    <t>(NT-R-1)</t>
  </si>
  <si>
    <t>-4.660206, 39.388107</t>
  </si>
  <si>
    <t>(NT-R-2)</t>
  </si>
  <si>
    <t>-4.660056, 39.387829</t>
  </si>
  <si>
    <t>(NT-R-3)</t>
  </si>
  <si>
    <t>-4.660081, 39.387569</t>
  </si>
  <si>
    <t>(NT-R-4)</t>
  </si>
  <si>
    <t>-4.660069, 39.387299</t>
  </si>
  <si>
    <t>(NT-R-5)</t>
  </si>
  <si>
    <t>-4.660048, 39.387028</t>
  </si>
  <si>
    <t>(NT-S-1)</t>
  </si>
  <si>
    <t>-4.659925, 39.385605</t>
  </si>
  <si>
    <t>(NT-S-2)</t>
  </si>
  <si>
    <t>-4.659985, 39.386211</t>
  </si>
  <si>
    <t>(NT-S-3)</t>
  </si>
  <si>
    <t>-4.659921, 39.385376</t>
  </si>
  <si>
    <t>(NT-S-4)</t>
  </si>
  <si>
    <t>-4.659929, 39.385132</t>
  </si>
  <si>
    <t>(NT-S-5)</t>
  </si>
  <si>
    <t>-4.659924, 39.385887</t>
  </si>
  <si>
    <t>(Shallow cage)</t>
  </si>
  <si>
    <t>5H</t>
  </si>
  <si>
    <t>Control</t>
  </si>
  <si>
    <t>7R</t>
  </si>
  <si>
    <t>Control (before)</t>
  </si>
  <si>
    <t>Since 2018 Pilli Pipa nursery (i.e. not a Control plot anymore)</t>
  </si>
  <si>
    <t>CMA-C-1</t>
  </si>
  <si>
    <t>Since 2021 XL patches (i.e. no control anymore)</t>
  </si>
  <si>
    <t>CMA-C-2</t>
  </si>
  <si>
    <t>CMA-C-3</t>
  </si>
  <si>
    <t>CMA-C-4</t>
  </si>
  <si>
    <t>CMA-C-5</t>
  </si>
  <si>
    <t>CMA-DOME-1</t>
  </si>
  <si>
    <t>AR</t>
  </si>
  <si>
    <t>-4.659623, 39.391472</t>
  </si>
  <si>
    <t>CMA-DOME-3</t>
  </si>
  <si>
    <t>-4.659731, 39.391121</t>
  </si>
  <si>
    <t>CMA-DOME-4</t>
  </si>
  <si>
    <t>-4.659949, 39.389160</t>
  </si>
  <si>
    <t>CMA-DOME-5</t>
  </si>
  <si>
    <t>-4.659991, 39.388638</t>
  </si>
  <si>
    <t>CMA-L-1</t>
  </si>
  <si>
    <t>L</t>
  </si>
  <si>
    <t>AR (maybe)</t>
  </si>
  <si>
    <t>-4.659430, 39.392060</t>
  </si>
  <si>
    <t>CMA-L-2</t>
  </si>
  <si>
    <t>-4.659592, 39.391598</t>
  </si>
  <si>
    <t>CMA-S-1</t>
  </si>
  <si>
    <t>CMA-L-3</t>
  </si>
  <si>
    <t>-4.659728, 39.390823</t>
  </si>
  <si>
    <t>CMA-L-4</t>
  </si>
  <si>
    <t>-4.659844, 39.390667</t>
  </si>
  <si>
    <t>CMA-L-5</t>
  </si>
  <si>
    <t>-4.659964, 39.388996</t>
  </si>
  <si>
    <t>CMA-L-6</t>
  </si>
  <si>
    <t>-4.659671, 39.391308</t>
  </si>
  <si>
    <t>CMA-L-7</t>
  </si>
  <si>
    <t>-4.659832, 39.389771</t>
  </si>
  <si>
    <t>CMA-B-1</t>
  </si>
  <si>
    <t>CMA-L-8</t>
  </si>
  <si>
    <t>-4.659995, 39.388378</t>
  </si>
  <si>
    <t>CMA-R-1</t>
  </si>
  <si>
    <t>Likely stays control</t>
  </si>
  <si>
    <t>CMA-R-2</t>
  </si>
  <si>
    <t>CMA-R-3</t>
  </si>
  <si>
    <t>CMA-R-4</t>
  </si>
  <si>
    <t>CMA-R-5</t>
  </si>
  <si>
    <t>CMA-XL-1</t>
  </si>
  <si>
    <t>XL</t>
  </si>
  <si>
    <t>-4.659486, 39.390839</t>
  </si>
  <si>
    <t>CMA-XL-10</t>
  </si>
  <si>
    <t>CMA-XL-11</t>
  </si>
  <si>
    <t>CMA-XL-2</t>
  </si>
  <si>
    <t>-4.659747, 39.390396</t>
  </si>
  <si>
    <t>CMA-S-2</t>
  </si>
  <si>
    <t>CMA-XL-3</t>
  </si>
  <si>
    <t>-4.659793, 39.389519</t>
  </si>
  <si>
    <t>CMA-B-2</t>
  </si>
  <si>
    <t>CMA-XL-4</t>
  </si>
  <si>
    <t>-4.659870, 39.389210</t>
  </si>
  <si>
    <t>CMA-B-3</t>
  </si>
  <si>
    <t>CMA-XL-5</t>
  </si>
  <si>
    <t>-4.659814, 39.388866</t>
  </si>
  <si>
    <t>CMA-B-4</t>
  </si>
  <si>
    <t>CMA-XL-6</t>
  </si>
  <si>
    <t>-4.659706, 39.390129</t>
  </si>
  <si>
    <t>CMA-XL-7</t>
  </si>
  <si>
    <t>-4.659746, 39.390694</t>
  </si>
  <si>
    <t>CMA-S-5</t>
  </si>
  <si>
    <t>CMA-XL-8</t>
  </si>
  <si>
    <t>-4.659984, 39.388470</t>
  </si>
  <si>
    <t>CMA-XL-9</t>
  </si>
  <si>
    <t>CMA-XS-1</t>
  </si>
  <si>
    <t>XS</t>
  </si>
  <si>
    <t>-4.659856, 39.390434</t>
  </si>
  <si>
    <t>CMA-XS-2</t>
  </si>
  <si>
    <t>-4.659897, 39.389854</t>
  </si>
  <si>
    <t>CMA-XS-3</t>
  </si>
  <si>
    <t>-4.659852, 39.389397</t>
  </si>
  <si>
    <t>CMA-XS-4</t>
  </si>
  <si>
    <t>-4.659870, 39.388714</t>
  </si>
  <si>
    <t>CMA-B-5</t>
  </si>
  <si>
    <t>CMA-XS-5</t>
  </si>
  <si>
    <t>-4.659853, 39.388512</t>
  </si>
  <si>
    <t>CMA-XS-6</t>
  </si>
  <si>
    <t>-4.659920, 39.388367</t>
  </si>
  <si>
    <t>CMA-XS-7</t>
  </si>
  <si>
    <t>-4.659803, 39.388474</t>
  </si>
  <si>
    <t>CMA-XS-8</t>
  </si>
  <si>
    <t>-4.659810, 39.389114</t>
  </si>
  <si>
    <t>Co-and-Betty</t>
  </si>
  <si>
    <t>Firefly</t>
  </si>
  <si>
    <t>Expanding reef patch</t>
  </si>
  <si>
    <t>Coney Islands</t>
  </si>
  <si>
    <t>Kisite</t>
  </si>
  <si>
    <t>F-BRU-1</t>
  </si>
  <si>
    <t>BRU-</t>
  </si>
  <si>
    <t>-4.658588, 39.380428</t>
  </si>
  <si>
    <t>F-C-3</t>
  </si>
  <si>
    <t>F-BRU-2</t>
  </si>
  <si>
    <t>BRU+</t>
  </si>
  <si>
    <t>-4.658067, 39.379314</t>
  </si>
  <si>
    <t>F-S-1</t>
  </si>
  <si>
    <t>F-BRU-3</t>
  </si>
  <si>
    <t>-4.657824, 39.378891</t>
  </si>
  <si>
    <t>F-S-3</t>
  </si>
  <si>
    <t>F-BRU-4</t>
  </si>
  <si>
    <t>-4.657778, 39.378696</t>
  </si>
  <si>
    <t>F-S-2</t>
  </si>
  <si>
    <t>F-BRU-5</t>
  </si>
  <si>
    <t>-4.657927, 39.378250</t>
  </si>
  <si>
    <t>F-C-1</t>
  </si>
  <si>
    <t>-4.658687, 39.380638</t>
  </si>
  <si>
    <t>4H benthic</t>
  </si>
  <si>
    <t>F-C-4</t>
  </si>
  <si>
    <t>-4.658367, 39.379997</t>
  </si>
  <si>
    <t>F-C-5</t>
  </si>
  <si>
    <t>-4.658238, 39.379772</t>
  </si>
  <si>
    <t>F-CAGE-1</t>
  </si>
  <si>
    <t>CAGE+</t>
  </si>
  <si>
    <t>-4.658508, 39.380238</t>
  </si>
  <si>
    <t>F-C-2</t>
  </si>
  <si>
    <t>F-CAGE-2</t>
  </si>
  <si>
    <t>-4.658617, 39.380177</t>
  </si>
  <si>
    <t>3R</t>
  </si>
  <si>
    <t>F-CAGE-3</t>
  </si>
  <si>
    <t>CAGE-</t>
  </si>
  <si>
    <t>-4.658575, 39.379967</t>
  </si>
  <si>
    <t>F-CAGE-4</t>
  </si>
  <si>
    <t>-4.658178, 39.379940</t>
  </si>
  <si>
    <t>F-CAGE-5</t>
  </si>
  <si>
    <t>-4.657882, 39.379314</t>
  </si>
  <si>
    <t>F-CAKE-1</t>
  </si>
  <si>
    <t>CAKE-</t>
  </si>
  <si>
    <t>-4.658603, 39.380547</t>
  </si>
  <si>
    <t>F-CAKE-2</t>
  </si>
  <si>
    <t>CAKE+</t>
  </si>
  <si>
    <t>-4.658480, 39.379791</t>
  </si>
  <si>
    <t>F-CAKE-3</t>
  </si>
  <si>
    <t>-4.658293, 39.379547</t>
  </si>
  <si>
    <t>F-CAKE-4</t>
  </si>
  <si>
    <t>-4.658028, 39.379208</t>
  </si>
  <si>
    <t>F-CAKE-5</t>
  </si>
  <si>
    <t>-4.657970, 39.378883</t>
  </si>
  <si>
    <t>F-COMP-1</t>
  </si>
  <si>
    <t>COMP+</t>
  </si>
  <si>
    <t>-4.658625, 39.380272</t>
  </si>
  <si>
    <t>F-COMP-2</t>
  </si>
  <si>
    <t>-4.658602, 39.380077</t>
  </si>
  <si>
    <t>F-COMP-3</t>
  </si>
  <si>
    <t>-4.658038, 39.378963</t>
  </si>
  <si>
    <t>F-COMP-4</t>
  </si>
  <si>
    <t>COMP-</t>
  </si>
  <si>
    <t>-4.657845, 39.378788</t>
  </si>
  <si>
    <t>F-COMP-5</t>
  </si>
  <si>
    <t>-4.657987, 39.378372</t>
  </si>
  <si>
    <t>F-R-1</t>
  </si>
  <si>
    <t>Control far</t>
  </si>
  <si>
    <t>-4.657489, 39.378086</t>
  </si>
  <si>
    <t>F-R-2</t>
  </si>
  <si>
    <t>-4.657444, 39.377834</t>
  </si>
  <si>
    <t>F-R-3</t>
  </si>
  <si>
    <t>-4.657443, 39.377552</t>
  </si>
  <si>
    <t>F-R-4</t>
  </si>
  <si>
    <t>-4.657342, 39.377266</t>
  </si>
  <si>
    <t>F-R-5</t>
  </si>
  <si>
    <t>-4.657319, 39.377064</t>
  </si>
  <si>
    <t>F-S-4</t>
  </si>
  <si>
    <t>-4.657985, 39.379089</t>
  </si>
  <si>
    <t>F-S-5</t>
  </si>
  <si>
    <t>-4.657704, 39.378498</t>
  </si>
  <si>
    <t>Intertidal reef</t>
  </si>
  <si>
    <t>Intertidal structures</t>
  </si>
  <si>
    <t>M-1</t>
  </si>
  <si>
    <t>Moses-</t>
  </si>
  <si>
    <t>-4.659775, 39.391468</t>
  </si>
  <si>
    <t>M-2</t>
  </si>
  <si>
    <t>-4.659711, 39.391022</t>
  </si>
  <si>
    <t>CMA-S-4</t>
  </si>
  <si>
    <t>fish</t>
  </si>
  <si>
    <t>M-3</t>
  </si>
  <si>
    <t>-4.659904, 39.389462</t>
  </si>
  <si>
    <t>M-4</t>
  </si>
  <si>
    <t>-4.659750, 39.385471</t>
  </si>
  <si>
    <t>M-5</t>
  </si>
  <si>
    <t>-4.659760, 39.385235</t>
  </si>
  <si>
    <t>M-6</t>
  </si>
  <si>
    <t>-4.659655, 39.384174</t>
  </si>
  <si>
    <t>M-7</t>
  </si>
  <si>
    <t>-4.658195, 39.378891</t>
  </si>
  <si>
    <t>M-C1</t>
  </si>
  <si>
    <t>-4.659752, 39.391254</t>
  </si>
  <si>
    <t>M-C2</t>
  </si>
  <si>
    <t>-4.659918, 39.390430</t>
  </si>
  <si>
    <t>M-C3</t>
  </si>
  <si>
    <t>-4.659853, 39.390343</t>
  </si>
  <si>
    <t>M-C4</t>
  </si>
  <si>
    <t>-4.659557, 39.385296</t>
  </si>
  <si>
    <t>M-C5</t>
  </si>
  <si>
    <t>-4.659703, 39.384838</t>
  </si>
  <si>
    <t>M-C6</t>
  </si>
  <si>
    <t>-4.659596, 39.383644</t>
  </si>
  <si>
    <t>M-C7</t>
  </si>
  <si>
    <t>Control (maybe)</t>
  </si>
  <si>
    <t>-4.658200, 39.379086</t>
  </si>
  <si>
    <t>(F-S-4): quite some rubble &amp; soft coral</t>
  </si>
  <si>
    <t>M-P1</t>
  </si>
  <si>
    <t>Pins</t>
  </si>
  <si>
    <t>-4.659821, 39.391159</t>
  </si>
  <si>
    <t>Sent (2024-03)</t>
  </si>
  <si>
    <t>M-P2</t>
  </si>
  <si>
    <t>-4.659850, 39.391056</t>
  </si>
  <si>
    <t>M-P3</t>
  </si>
  <si>
    <t>-4.659929, 39.390358</t>
  </si>
  <si>
    <t>M-P4</t>
  </si>
  <si>
    <t>-4.659828, 39.385525</t>
  </si>
  <si>
    <t>Sent (2024-09)</t>
  </si>
  <si>
    <t>M-P5</t>
  </si>
  <si>
    <t>-4.659659, 39.384613</t>
  </si>
  <si>
    <t>Sent (2024-10)</t>
  </si>
  <si>
    <t>M-P6</t>
  </si>
  <si>
    <t>-4.659652, 39.384274</t>
  </si>
  <si>
    <t>M-P7</t>
  </si>
  <si>
    <t>-4.658232, 39.378963</t>
  </si>
  <si>
    <t>Sent (2024-11)</t>
  </si>
  <si>
    <t>M+1</t>
  </si>
  <si>
    <t>Moses+</t>
  </si>
  <si>
    <t>-4.659593, 39.391830</t>
  </si>
  <si>
    <t>Sent (2023-10)</t>
  </si>
  <si>
    <t>M+2</t>
  </si>
  <si>
    <t>-4.659815, 39.390934</t>
  </si>
  <si>
    <t>Sent (2023-11)</t>
  </si>
  <si>
    <t>M+3</t>
  </si>
  <si>
    <t>-4.659901, 39.389725</t>
  </si>
  <si>
    <t>M+4</t>
  </si>
  <si>
    <t>-4.659773, 39.385704</t>
  </si>
  <si>
    <t>M+5</t>
  </si>
  <si>
    <t>-4.659697, 39.385174</t>
  </si>
  <si>
    <t>M+6</t>
  </si>
  <si>
    <t>-4.659636, 39.384068</t>
  </si>
  <si>
    <t>M+7</t>
  </si>
  <si>
    <t>-4.658230, 39.379181</t>
  </si>
  <si>
    <t>M+8</t>
  </si>
  <si>
    <t>Wasini</t>
  </si>
  <si>
    <t>-4.654940, 39.363673</t>
  </si>
  <si>
    <t>MosesA</t>
  </si>
  <si>
    <t>-4.658914, 39.381367</t>
  </si>
  <si>
    <t>MosesB</t>
  </si>
  <si>
    <t>-4.658861, 39.380993</t>
  </si>
  <si>
    <t>MosesC</t>
  </si>
  <si>
    <t>-4.658930, 39.380733</t>
  </si>
  <si>
    <t>NT-BRU-1</t>
  </si>
  <si>
    <t>-4.659645, 39.386219</t>
  </si>
  <si>
    <t>NT-S-2</t>
  </si>
  <si>
    <t>NT-BRU-2</t>
  </si>
  <si>
    <t>-4.659579, 39.385654</t>
  </si>
  <si>
    <t>NT-S-1</t>
  </si>
  <si>
    <t>NT-BRU-3</t>
  </si>
  <si>
    <t>BRU</t>
  </si>
  <si>
    <t>-4.659554, 39.385414</t>
  </si>
  <si>
    <t>NT-S-3</t>
  </si>
  <si>
    <t>NT-BRU-4</t>
  </si>
  <si>
    <t>-4.659701, 39.385052</t>
  </si>
  <si>
    <t>NT-BRU-5</t>
  </si>
  <si>
    <t>-4.659502, 39.383942</t>
  </si>
  <si>
    <t>NT-C-1</t>
  </si>
  <si>
    <t>NT-C-3</t>
  </si>
  <si>
    <t>Control?</t>
  </si>
  <si>
    <t>-4.659467, 39.383675</t>
  </si>
  <si>
    <t>NT-C-4</t>
  </si>
  <si>
    <t xml:space="preserve">Control </t>
  </si>
  <si>
    <t>-4.659526, 39.384171</t>
  </si>
  <si>
    <t>NT-C-5</t>
  </si>
  <si>
    <t>-4.659543, 39.384354</t>
  </si>
  <si>
    <t>NT-CAGE-1</t>
  </si>
  <si>
    <t>-4.659762, 39.385933</t>
  </si>
  <si>
    <t>NT-CAGE-2</t>
  </si>
  <si>
    <t>-4.659710, 39.385605</t>
  </si>
  <si>
    <t>NT-CAGE-3</t>
  </si>
  <si>
    <t>CAGE</t>
  </si>
  <si>
    <t>-4.659656, 39.384506</t>
  </si>
  <si>
    <t>NT-CAGE-4</t>
  </si>
  <si>
    <t>-4.659532, 39.384041</t>
  </si>
  <si>
    <t>NT-CAGE-5</t>
  </si>
  <si>
    <t>-4.659526, 39.383854</t>
  </si>
  <si>
    <t>NT-CAKE-1</t>
  </si>
  <si>
    <t>-4.659656, 39.386089</t>
  </si>
  <si>
    <t>NT-CAKE-2</t>
  </si>
  <si>
    <t>CAKE</t>
  </si>
  <si>
    <t>-4.659495, 39.385521</t>
  </si>
  <si>
    <t>NT-CAKE-3</t>
  </si>
  <si>
    <t>-4.659405, 39.385311</t>
  </si>
  <si>
    <t>NT-CAKE-4</t>
  </si>
  <si>
    <t>-4.659546, 39.384472</t>
  </si>
  <si>
    <t>NT-CAKE-5</t>
  </si>
  <si>
    <t>-4.659397, 39.383438</t>
  </si>
  <si>
    <t>NT-COMP-1</t>
  </si>
  <si>
    <t>-4.659605, 39.386021</t>
  </si>
  <si>
    <t>NT-COMP-2</t>
  </si>
  <si>
    <t>COMP</t>
  </si>
  <si>
    <t>-4.659636, 39.385868</t>
  </si>
  <si>
    <t>NT-S-5</t>
  </si>
  <si>
    <t>NT-COMP-3</t>
  </si>
  <si>
    <t>-4.659456, 39.385246</t>
  </si>
  <si>
    <t>NT-COMP-4</t>
  </si>
  <si>
    <t>-4.659531, 39.385117</t>
  </si>
  <si>
    <t>NT-S-4</t>
  </si>
  <si>
    <t>NT-COMP-5</t>
  </si>
  <si>
    <t>-4.659546, 39.384720</t>
  </si>
  <si>
    <t>NT-C-2</t>
  </si>
  <si>
    <t>NT-R-1</t>
  </si>
  <si>
    <t>-4.659758, 39.388107</t>
  </si>
  <si>
    <t>NT-R-2</t>
  </si>
  <si>
    <t>-4.659719, 39.387867</t>
  </si>
  <si>
    <t>NT-R-3</t>
  </si>
  <si>
    <t>-4.659708, 39.387596</t>
  </si>
  <si>
    <t>NT-R-4</t>
  </si>
  <si>
    <t>-4.659717, 39.387344</t>
  </si>
  <si>
    <t>NT-R-5</t>
  </si>
  <si>
    <t>-4.659734, 39.387054</t>
  </si>
  <si>
    <t>R-L-1</t>
  </si>
  <si>
    <t>Reference L</t>
  </si>
  <si>
    <t>-4.659569, 39.392086</t>
  </si>
  <si>
    <t>R-L-2</t>
  </si>
  <si>
    <t>-4.659827, 39.390804</t>
  </si>
  <si>
    <t>R-L-3</t>
  </si>
  <si>
    <t>-4.659863, 39.390026</t>
  </si>
  <si>
    <t>R-L-4</t>
  </si>
  <si>
    <t>-4.659943, 39.389324</t>
  </si>
  <si>
    <t>R-L-5</t>
  </si>
  <si>
    <t>-4.660015, 39.388504</t>
  </si>
  <si>
    <t>R-L-6</t>
  </si>
  <si>
    <t>R-L-7</t>
  </si>
  <si>
    <t>R-L-8</t>
  </si>
  <si>
    <t>Reference reef from CMA</t>
  </si>
  <si>
    <t>R-W-1</t>
  </si>
  <si>
    <t>Reference XL far</t>
  </si>
  <si>
    <t>R-W-2</t>
  </si>
  <si>
    <t>R-W-3</t>
  </si>
  <si>
    <t>R-W-4</t>
  </si>
  <si>
    <t>R-W-5</t>
  </si>
  <si>
    <t>R-W-6</t>
  </si>
  <si>
    <t>R-W-7</t>
  </si>
  <si>
    <t>R-W-8</t>
  </si>
  <si>
    <t>R-XL-1</t>
  </si>
  <si>
    <t>Reference XL</t>
  </si>
  <si>
    <t>-4.659576, 39.392300</t>
  </si>
  <si>
    <t>R-XL-2</t>
  </si>
  <si>
    <t>R-XL-3</t>
  </si>
  <si>
    <t>R-XL-4</t>
  </si>
  <si>
    <t>new patch of galaxea</t>
  </si>
  <si>
    <t>R-XL-5</t>
  </si>
  <si>
    <t>R-XL-6</t>
  </si>
  <si>
    <t>R-XL-7</t>
  </si>
  <si>
    <t>R-XL-8</t>
  </si>
  <si>
    <t>R-XS-0</t>
  </si>
  <si>
    <t>Reference XS</t>
  </si>
  <si>
    <t>-4.659637, 39.391724</t>
  </si>
  <si>
    <t>R-XS-1</t>
  </si>
  <si>
    <t>New patch chosen because original too small (data has been updated)</t>
  </si>
  <si>
    <t>R-XS-10</t>
  </si>
  <si>
    <t>R-XS-2</t>
  </si>
  <si>
    <t>-4.659827, 39.391312</t>
  </si>
  <si>
    <t>R-XS-2.5</t>
  </si>
  <si>
    <t>-4.659806, 39.390984</t>
  </si>
  <si>
    <t>R-XS-2.7</t>
  </si>
  <si>
    <t>R-XS-3</t>
  </si>
  <si>
    <t>-4.659885, 39.390255</t>
  </si>
  <si>
    <t>R-XS-3.5</t>
  </si>
  <si>
    <t>-4.659923, 39.388844</t>
  </si>
  <si>
    <t>R-XS-3.6</t>
  </si>
  <si>
    <t>R-XS-3.7</t>
  </si>
  <si>
    <t>Check?</t>
  </si>
  <si>
    <t>R-XS-4</t>
  </si>
  <si>
    <t>-4.659823, 39.385796</t>
  </si>
  <si>
    <t>R-XS-5</t>
  </si>
  <si>
    <t>-4.659729, 39.385326</t>
  </si>
  <si>
    <t>R-XS-6</t>
  </si>
  <si>
    <t>-4.659703, 39.384109</t>
  </si>
  <si>
    <t>R-XS-7</t>
  </si>
  <si>
    <t>-4.658161, 39.378784</t>
  </si>
  <si>
    <t>R-XS-8</t>
  </si>
  <si>
    <t>R-XS-9</t>
  </si>
  <si>
    <t>Rl_SC</t>
  </si>
  <si>
    <t>-4.659110, 39.381504</t>
  </si>
  <si>
    <t>Rxl_Res</t>
  </si>
  <si>
    <t>-4.659059, 39.380951</t>
  </si>
  <si>
    <t>Shallow cage</t>
  </si>
  <si>
    <t>-4.658916, 39.381756</t>
  </si>
  <si>
    <t>6R; Expanding reef patch</t>
  </si>
  <si>
    <t>Subtidal reef</t>
  </si>
  <si>
    <t>Subtidal structures</t>
  </si>
  <si>
    <t>MARS-1</t>
  </si>
  <si>
    <t>MARS-2</t>
  </si>
  <si>
    <t>MARS-3</t>
  </si>
  <si>
    <t>MAT</t>
  </si>
  <si>
    <t>Plug Inn</t>
  </si>
  <si>
    <t>Snorkel reef</t>
  </si>
  <si>
    <t>Concrete curing</t>
  </si>
  <si>
    <t>Plug0</t>
  </si>
  <si>
    <t>Structure</t>
  </si>
  <si>
    <t>Year</t>
  </si>
  <si>
    <t>Batch</t>
  </si>
  <si>
    <t>Active</t>
  </si>
  <si>
    <t>Status</t>
  </si>
  <si>
    <t>Coral</t>
  </si>
  <si>
    <t>Size (1-5): 2025-02</t>
  </si>
  <si>
    <t>Experiment</t>
  </si>
  <si>
    <t>Comments</t>
  </si>
  <si>
    <t>Maintenance</t>
  </si>
  <si>
    <t>Genera</t>
  </si>
  <si>
    <t>Acropora.formosa</t>
  </si>
  <si>
    <t>Acropora.microphthalma</t>
  </si>
  <si>
    <t>Acropora.forskali</t>
  </si>
  <si>
    <t>Acropora.sp1 (caes fine)</t>
  </si>
  <si>
    <t>Acropora.sp2 (cory smooth whitetip)</t>
  </si>
  <si>
    <t>Acropora tenuis</t>
  </si>
  <si>
    <t>Acropora.sp5 (cory smooth bluetip)</t>
  </si>
  <si>
    <t>Acropora.sp6 (cory smooth purpletip)</t>
  </si>
  <si>
    <t>Acropora.sp7 (cory smooth yellow)</t>
  </si>
  <si>
    <t>Acropora.sp8 (cory smooth)</t>
  </si>
  <si>
    <t>Acropora.sp9 (cory smooth green)</t>
  </si>
  <si>
    <t>Acropora.sp10 (cory thin bulbous)</t>
  </si>
  <si>
    <t>Acropora.sp11 (cory thin hydroid)</t>
  </si>
  <si>
    <t>Acropora.sp13 (table fluor green)</t>
  </si>
  <si>
    <t>Acropora.sp 14 (microphthalma bluetip)</t>
  </si>
  <si>
    <t>Acropora.gemmifera</t>
  </si>
  <si>
    <t>Acropora.hyacinthus</t>
  </si>
  <si>
    <t>Acropora.humilis</t>
  </si>
  <si>
    <t>Acropora.verweyi</t>
  </si>
  <si>
    <t>Echinopora sp1 (encrusting)</t>
  </si>
  <si>
    <t>Isopora.palifera</t>
  </si>
  <si>
    <t>Millepora.sp1 (bushy)</t>
  </si>
  <si>
    <t>Millepora.sp2 (tenera)</t>
  </si>
  <si>
    <t>Millepora.sp3 (submassive)</t>
  </si>
  <si>
    <t>Montipora.sp1 (tube growths)</t>
  </si>
  <si>
    <t>Pavona.sp1</t>
  </si>
  <si>
    <t>Pocillopora.damicornis</t>
  </si>
  <si>
    <t>Pocillopora.indiania</t>
  </si>
  <si>
    <t>Pocillopora.verrucosa</t>
  </si>
  <si>
    <t>Porites.cylindrica</t>
  </si>
  <si>
    <t>Porites.rus</t>
  </si>
  <si>
    <t>Porites.rus (yellow)</t>
  </si>
  <si>
    <t>Porites.sp1 (corallith)</t>
  </si>
  <si>
    <t>Porites.sp2 (submassive)</t>
  </si>
  <si>
    <t>Porites.sp3 (subbranching)</t>
  </si>
  <si>
    <t>Stylophora.pistillata</t>
  </si>
  <si>
    <t>Stylophora.subseriata</t>
  </si>
  <si>
    <t>Oct</t>
  </si>
  <si>
    <t>Nov</t>
  </si>
  <si>
    <t>Dec</t>
  </si>
  <si>
    <t>Feb</t>
  </si>
  <si>
    <t>Mar</t>
  </si>
  <si>
    <t>Apr</t>
  </si>
  <si>
    <t>May</t>
  </si>
  <si>
    <t>Jun</t>
  </si>
  <si>
    <t>Jul</t>
  </si>
  <si>
    <t>Aug</t>
  </si>
  <si>
    <t>Sep</t>
  </si>
  <si>
    <t>Attachment_Mini disk</t>
  </si>
  <si>
    <t>Recycled (cont)</t>
  </si>
  <si>
    <t>FF</t>
  </si>
  <si>
    <t>SPECS</t>
  </si>
  <si>
    <t>Attachment (iron vs PPR)</t>
  </si>
  <si>
    <t>Not yet started (Mar-2020)</t>
  </si>
  <si>
    <t>Bird cage 1</t>
  </si>
  <si>
    <t>Recycled (strt-end)</t>
  </si>
  <si>
    <t>PP</t>
  </si>
  <si>
    <t>Pc, Pr, Pv, Af, Asp, Mt</t>
  </si>
  <si>
    <t>Complexity experiment</t>
  </si>
  <si>
    <t>Structural complexity</t>
  </si>
  <si>
    <t>XXX</t>
  </si>
  <si>
    <t>Mercy+Ewout</t>
  </si>
  <si>
    <t>Concrete curing 2020</t>
  </si>
  <si>
    <t>Cement curing 2020</t>
  </si>
  <si>
    <t>Take single top picture for each disk</t>
  </si>
  <si>
    <t>Tim</t>
  </si>
  <si>
    <t>Concrete curing 2021</t>
  </si>
  <si>
    <t>Cement curing 2021</t>
  </si>
  <si>
    <t>Cindy</t>
  </si>
  <si>
    <t>Anniek</t>
  </si>
  <si>
    <t>Depth gradient_Bottle reef 2018</t>
  </si>
  <si>
    <t>Depth gradient</t>
  </si>
  <si>
    <t>Judy</t>
  </si>
  <si>
    <t>Depth gradient_Bottle reef 2020</t>
  </si>
  <si>
    <t>Depth gradient_Mini disk</t>
  </si>
  <si>
    <t>Depth gradient_Mini tree 2017 - 2018</t>
  </si>
  <si>
    <t>Ellen</t>
  </si>
  <si>
    <t>Peter</t>
  </si>
  <si>
    <t>Depth gradient_Mini tree 2019 - 2020</t>
  </si>
  <si>
    <t>Peter M (Sc: Ewout)</t>
  </si>
  <si>
    <t>Depth gradient_Mini tree 2021 - 2022</t>
  </si>
  <si>
    <t>Judy (Sc: Ewout)</t>
  </si>
  <si>
    <t>NO: pics taken wrong (behind measure bar)</t>
  </si>
  <si>
    <t>Depth gradient_Mini tree 2024 - 2025</t>
  </si>
  <si>
    <t>Tony (sc: Ewout)</t>
  </si>
  <si>
    <t>Tony</t>
  </si>
  <si>
    <t>Depth gradient_Mini tree_Translocation</t>
  </si>
  <si>
    <t>Floater 001</t>
  </si>
  <si>
    <t>Snorkel nurseries</t>
  </si>
  <si>
    <t>End: 2020-10 dead frags replaced</t>
  </si>
  <si>
    <t>Asma</t>
  </si>
  <si>
    <t>Floater 002</t>
  </si>
  <si>
    <t>Recycled (n)</t>
  </si>
  <si>
    <t>Floater 003</t>
  </si>
  <si>
    <t>2022-05: TAKE OUT</t>
  </si>
  <si>
    <t>Floater 082</t>
  </si>
  <si>
    <t>Omar F</t>
  </si>
  <si>
    <t>Dzivula/omar</t>
  </si>
  <si>
    <t>Floater 083</t>
  </si>
  <si>
    <t>Floater 084</t>
  </si>
  <si>
    <t>Floater 251</t>
  </si>
  <si>
    <t>Recycled 2024 (cont)</t>
  </si>
  <si>
    <t>Snorkel nurseries 2023-2024</t>
  </si>
  <si>
    <t>Floater</t>
  </si>
  <si>
    <t>Omar</t>
  </si>
  <si>
    <t>Mwanamisi</t>
  </si>
  <si>
    <t>Not filled yet</t>
  </si>
  <si>
    <t>Floater 252</t>
  </si>
  <si>
    <t>Floater 253</t>
  </si>
  <si>
    <t>Floater 254</t>
  </si>
  <si>
    <t>Intertidal 2020</t>
  </si>
  <si>
    <t>Inter and sub</t>
  </si>
  <si>
    <t>Luis (No sc: not used)</t>
  </si>
  <si>
    <t>Luis (sc: Ewout)</t>
  </si>
  <si>
    <t>Mgeni (non-stressed) &amp; Idrisa (stressed): sc both Ewout</t>
  </si>
  <si>
    <t>Mgeni (non-stressed; No sc: not used)</t>
  </si>
  <si>
    <t>Survival only?</t>
  </si>
  <si>
    <t>Intertidal 2020 continued</t>
  </si>
  <si>
    <t>Intertidal 2022</t>
  </si>
  <si>
    <t>Careful data interpretation: subtidal suffered a lot from seagrass abbrasion</t>
  </si>
  <si>
    <t>Cindy (Sc: Ewout)</t>
  </si>
  <si>
    <t>Gian-Lu (Sc: Ewout)</t>
  </si>
  <si>
    <t>NA (incomplete)</t>
  </si>
  <si>
    <t>Cindy/Judy (Sc: Ewoutish)</t>
  </si>
  <si>
    <t>Intertidal 2022 - Pd brightness</t>
  </si>
  <si>
    <t>Intertidal 2022 - colour</t>
  </si>
  <si>
    <t>Data not to be used: coral fragments covered in floating debris due to storms and no cleaning</t>
  </si>
  <si>
    <t>Gian-Lu (Growth + Bleaching; Sc: Ewout)</t>
  </si>
  <si>
    <t>NA (seagrass)</t>
  </si>
  <si>
    <t>Intertidal 2023</t>
  </si>
  <si>
    <t>Intertidal zone exposed to very low spring tide right at start of experiment</t>
  </si>
  <si>
    <t>Sara &amp; Judy (Growth + Bleaching)</t>
  </si>
  <si>
    <t>Sara &amp; Judy</t>
  </si>
  <si>
    <t>Judy (sc: Ewout)</t>
  </si>
  <si>
    <t>Sietske &amp; Selina (sc: Ewout)</t>
  </si>
  <si>
    <t>Sofia (sc: Ewout)</t>
  </si>
  <si>
    <t>Sofia</t>
  </si>
  <si>
    <t>Intertidal 2024</t>
  </si>
  <si>
    <t>?</t>
  </si>
  <si>
    <t>Intertidal_Temperature</t>
  </si>
  <si>
    <t>Recycled</t>
  </si>
  <si>
    <t>(10 min)</t>
  </si>
  <si>
    <t>(1 h)</t>
  </si>
  <si>
    <t>(0.5 h)</t>
  </si>
  <si>
    <t>(5 min)</t>
  </si>
  <si>
    <t>MAT 2020</t>
  </si>
  <si>
    <t>At startup, power wrongly connected for a day or two</t>
  </si>
  <si>
    <t>Daisy (not used)</t>
  </si>
  <si>
    <t>Daisy (sc: Ewout)</t>
  </si>
  <si>
    <t>Bulisa (sc: Ewout)</t>
  </si>
  <si>
    <t>Bulisa (c: Miguel, sc: Ewout)</t>
  </si>
  <si>
    <t>MAT 2022</t>
  </si>
  <si>
    <t>Several power cuts near end of experiment, so terminated</t>
  </si>
  <si>
    <t>Bulisa (Sc: Ewout)</t>
  </si>
  <si>
    <t>Luc (Sc: Ewout)</t>
  </si>
  <si>
    <t>MAT 2023</t>
  </si>
  <si>
    <t>Some power cuts in between; Pics Jan2024 of lower quality: taken from an angle</t>
  </si>
  <si>
    <t>Vera</t>
  </si>
  <si>
    <t>Vera (30 sample check Bulisa)</t>
  </si>
  <si>
    <t>XXX (control only)</t>
  </si>
  <si>
    <t>Spatial variation grazing</t>
  </si>
  <si>
    <t>Grazing 2018</t>
  </si>
  <si>
    <t>Emilia</t>
  </si>
  <si>
    <t>LM</t>
  </si>
  <si>
    <t>DP</t>
  </si>
  <si>
    <t>KIS</t>
  </si>
  <si>
    <t>WAS</t>
  </si>
  <si>
    <t>Table 001</t>
  </si>
  <si>
    <t>Af, Pc, Pv, Mt</t>
  </si>
  <si>
    <t>Michelle</t>
  </si>
  <si>
    <t>Rianne</t>
  </si>
  <si>
    <t>Violetta</t>
  </si>
  <si>
    <t>Table 002</t>
  </si>
  <si>
    <t>Table 003</t>
  </si>
  <si>
    <t>Carlotta</t>
  </si>
  <si>
    <t>Table 004</t>
  </si>
  <si>
    <t>Movement nurseries</t>
  </si>
  <si>
    <t>Paula</t>
  </si>
  <si>
    <t>Table 005</t>
  </si>
  <si>
    <t>No (cont)</t>
  </si>
  <si>
    <t>Table 006</t>
  </si>
  <si>
    <t>Tree (NOCK) 01</t>
  </si>
  <si>
    <t>Recycled 2024 (n)</t>
  </si>
  <si>
    <t>KH</t>
  </si>
  <si>
    <t>NOCK</t>
  </si>
  <si>
    <t>Floating tree</t>
  </si>
  <si>
    <t>Restock (~14 frags) then ~10 frags for outplanting</t>
  </si>
  <si>
    <t>Tree (NOCK) 02</t>
  </si>
  <si>
    <t>then ~10 frags for outplanting</t>
  </si>
  <si>
    <t>Tree (NOCK) 03</t>
  </si>
  <si>
    <t>Original tree</t>
  </si>
  <si>
    <t>(no label) then ~15 frags for outplanting</t>
  </si>
  <si>
    <t>Tree (NOCK) 04</t>
  </si>
  <si>
    <t>Outplant (~22 frags)</t>
  </si>
  <si>
    <t>Tree (NOCK) 05</t>
  </si>
  <si>
    <t>then ~12 frags for outplanting</t>
  </si>
  <si>
    <t>Tree (NOCK) 06</t>
  </si>
  <si>
    <t>then ~6 frags for outplanting</t>
  </si>
  <si>
    <t>Tree (NOCK) 07</t>
  </si>
  <si>
    <t>Tree (NOCK) 08</t>
  </si>
  <si>
    <t>then ~4 frags for outplanting</t>
  </si>
  <si>
    <t>Tree (NOCK) 09</t>
  </si>
  <si>
    <t>Outplant (~15 frags)</t>
  </si>
  <si>
    <t>Filled with heat resilient: Tree 129: 2_3_5</t>
  </si>
  <si>
    <t>Tree (NOCK) 10</t>
  </si>
  <si>
    <t>then ~15 frags for outplanting</t>
  </si>
  <si>
    <t>Tree (NOCK) 11</t>
  </si>
  <si>
    <t>then ~3 frags for outplanting</t>
  </si>
  <si>
    <t>Tree (NOCK) 12</t>
  </si>
  <si>
    <t>and then keep tree (most other frags are probably too small for outplanting) maybe add buoy &amp; check ropes &amp; replace a few loops</t>
  </si>
  <si>
    <t>Tree (NOCK) 13</t>
  </si>
  <si>
    <t>then ~40 frags for outplanting</t>
  </si>
  <si>
    <t>Tree (NOCK) 14</t>
  </si>
  <si>
    <t>Take out (~1 surviving frag for outplanting)</t>
  </si>
  <si>
    <t>Tree (NOCK) 15</t>
  </si>
  <si>
    <t>Take out (~4 surviving frag for outplanting)</t>
  </si>
  <si>
    <t>Tree (NOCK) 16</t>
  </si>
  <si>
    <t>Restock (~6 frags) then ~3 frags for outplanting</t>
  </si>
  <si>
    <t>Tree (NOCK) 17</t>
  </si>
  <si>
    <t>Take out (~3 surviving frag for outplanting)</t>
  </si>
  <si>
    <t>Tree (NOCK) 18</t>
  </si>
  <si>
    <t>Take out (all dead)</t>
  </si>
  <si>
    <t>Filled with heat resilient: Tree NOCK 6: 2_3_1, 2_3_2, 2_3_3, 2_3_4, 2_3_5, 3_1_5, 3_2_2, 3_2_3, 3_3_1, 3_3_3, 3_3_4, 3_3_5, 4_1_1, 4_1_2, 4_1_3, 4_1_4, 4_2_2 &amp; 4_2_3</t>
  </si>
  <si>
    <t>Tree (NOCK) 19</t>
  </si>
  <si>
    <t>Restock (12 frags) then ~15 frags for outplanting</t>
  </si>
  <si>
    <t>Tree (NOCK) 20</t>
  </si>
  <si>
    <t>Restock (18 frags) then ~10 frags for outplanting</t>
  </si>
  <si>
    <t>Tree (NOCK) 21</t>
  </si>
  <si>
    <t>Tree (NOCK) 22</t>
  </si>
  <si>
    <t>Not done? Restock (18 frags) then ~10 frags for outplanting</t>
  </si>
  <si>
    <t>Tree (NOCK) 23</t>
  </si>
  <si>
    <t>Filled with heat resilient: Tree 189: 1_3_2, 2_1_1 &amp; 2_2_2</t>
  </si>
  <si>
    <t>Tree (NOCK) 24</t>
  </si>
  <si>
    <t>Restock (8 frags) then ~12 frags for outplanting</t>
  </si>
  <si>
    <t>Tree (NOCK) 25</t>
  </si>
  <si>
    <t>Outplant (~6 frags)</t>
  </si>
  <si>
    <t>Filled with heat resilient: Tree 024: 1_2_3, 1_2_5 &amp; 1_3_3</t>
  </si>
  <si>
    <t>Tree (NOCK) 26</t>
  </si>
  <si>
    <t>Outplant (~7 frags)</t>
  </si>
  <si>
    <t>Filled with heat resilient: Tree 129: 3_1_1 &amp; 3_1_3</t>
  </si>
  <si>
    <t>Tree (NOCK) 27</t>
  </si>
  <si>
    <t>Restock (35 frags) then ~10 frags for outplanting</t>
  </si>
  <si>
    <t>Tree (NOCK) 28</t>
  </si>
  <si>
    <t>Restock (15 frags) then ~20 frags for outplanting</t>
  </si>
  <si>
    <t>Tree (NOCK) 29</t>
  </si>
  <si>
    <t>Restock (~19 frags) and then keep tree (some fragments might be cut for outplanting, but not cutting out loops) maybe add buoy &amp; check ropes</t>
  </si>
  <si>
    <t>Tree (NOCK) 30</t>
  </si>
  <si>
    <t>Restock (5 frags) then ~15 frags for outplanting</t>
  </si>
  <si>
    <t>Tree 001</t>
  </si>
  <si>
    <t>End: 2020-10</t>
  </si>
  <si>
    <t>Filled with heat resilient: Tree 215: 3_1_1 &amp; 3_2_3</t>
  </si>
  <si>
    <t>Tree 002</t>
  </si>
  <si>
    <t>Not in database</t>
  </si>
  <si>
    <t>Recycled 2023 (n)</t>
  </si>
  <si>
    <t>Filled with somewhat heat resilient corals (from tree 212 batch 1: did not bleach in 2024, but about half fragments sudden necrosis)</t>
  </si>
  <si>
    <t>Tree 003</t>
  </si>
  <si>
    <t>Anne</t>
  </si>
  <si>
    <t>Take out (~2 surviving frag for outplanting)</t>
  </si>
  <si>
    <t>Filled with heat resilient: Tree 004: 1_3_2 &amp; 1_3_4</t>
  </si>
  <si>
    <t>Tree 004</t>
  </si>
  <si>
    <t>Moha</t>
  </si>
  <si>
    <t>Fanny</t>
  </si>
  <si>
    <t>Outplant remainder (11)</t>
  </si>
  <si>
    <t>Filled with heat resilient: Tree 150: 3_1_2, 3_1_3 &amp; 4_1_4</t>
  </si>
  <si>
    <t>Tree 005</t>
  </si>
  <si>
    <t>Transplantation (control)</t>
  </si>
  <si>
    <t>Tree 006</t>
  </si>
  <si>
    <t>Av, Pc, Mt</t>
  </si>
  <si>
    <t>Kim</t>
  </si>
  <si>
    <t>Outplant remainder (~3 frags)</t>
  </si>
  <si>
    <t>Filled with heat resilient: Tree 204: 3_2_3 &amp; 3_2_4</t>
  </si>
  <si>
    <t>Tree 007</t>
  </si>
  <si>
    <t>Recycled 2024 (strt-end)</t>
  </si>
  <si>
    <t>Filled with unknown</t>
  </si>
  <si>
    <t>Tree 008</t>
  </si>
  <si>
    <t>Av, Pc, Mt, Pv</t>
  </si>
  <si>
    <t>Thick tree: 36 frags</t>
  </si>
  <si>
    <t>Outplant (~17 frags)</t>
  </si>
  <si>
    <t>Filled with heat resilient: Tree 033: 1_3_1, 1_3_2, 1_3_3 &amp; 1_3_5 (mix with tree 008 also)</t>
  </si>
  <si>
    <t>Tree 008x</t>
  </si>
  <si>
    <t>2022-02: Missing label</t>
  </si>
  <si>
    <t>Tree 009</t>
  </si>
  <si>
    <t>Av, Pc, Mt, Asp</t>
  </si>
  <si>
    <t>Oliver</t>
  </si>
  <si>
    <t>Husna</t>
  </si>
  <si>
    <t>Take out (~1 surviving frags for outplanting)</t>
  </si>
  <si>
    <t>Filled with heat resilient: Tree 055: 1_1_1 &amp; 1_1_3</t>
  </si>
  <si>
    <t>Tree 010</t>
  </si>
  <si>
    <t>(New label 10 lost)</t>
  </si>
  <si>
    <t>then outplant remainder (~10 frags)</t>
  </si>
  <si>
    <t>Filled with heat resilient: Tree 183: 1_2_1 &amp; 1_3_3</t>
  </si>
  <si>
    <t>Tree 011</t>
  </si>
  <si>
    <t>Take out (all dead?)</t>
  </si>
  <si>
    <t>Tree 012</t>
  </si>
  <si>
    <t>Taken out and repaired</t>
  </si>
  <si>
    <t>Recycled 2025 (n)</t>
  </si>
  <si>
    <t>then take out</t>
  </si>
  <si>
    <t>Filled with heat resilient: Tree 204: 1_1_1 &amp; 1_1_2</t>
  </si>
  <si>
    <t>Tree 013</t>
  </si>
  <si>
    <t>Tree 014</t>
  </si>
  <si>
    <t>Check date start measurements</t>
  </si>
  <si>
    <t>Filled with heat resilient: Tree 128: 3_2_1, 3_3_1 &amp; 4_1_2</t>
  </si>
  <si>
    <t>Tree 015</t>
  </si>
  <si>
    <t>Car-tire tree</t>
  </si>
  <si>
    <t>then take out (4 surviving)</t>
  </si>
  <si>
    <t>Tree 016</t>
  </si>
  <si>
    <t>Car-tire tree; Check for pics end measurement</t>
  </si>
  <si>
    <t>Single genotype (from Kikuyu house)</t>
  </si>
  <si>
    <t>Pwani</t>
  </si>
  <si>
    <t>Samples from genetics stored in this tree</t>
  </si>
  <si>
    <t>Tree 017</t>
  </si>
  <si>
    <t>Needs to be EMPTIED and OUT</t>
  </si>
  <si>
    <t>Outplant (~10 frags)</t>
  </si>
  <si>
    <t>Filled with heat resilient: Tree 152: 1_2_1 &amp; 3_1_1</t>
  </si>
  <si>
    <t>Tree 018</t>
  </si>
  <si>
    <t>Never monitored</t>
  </si>
  <si>
    <t>Filled with heat resilient: Tree 246: 2_1_1 &amp; 2_1_2</t>
  </si>
  <si>
    <t>Tree 019</t>
  </si>
  <si>
    <t>Nike</t>
  </si>
  <si>
    <t>Filled with heat resilient: Tree 215: 4_1_3 &amp; 4_1_5</t>
  </si>
  <si>
    <t>Tree 020</t>
  </si>
  <si>
    <t>No (strt-end)</t>
  </si>
  <si>
    <t>NB: Car tire tree..</t>
  </si>
  <si>
    <t>Reloop and refill or take out</t>
  </si>
  <si>
    <t>Tree 021</t>
  </si>
  <si>
    <t>Filled with heat resilient: Tree 152: 3_2_1</t>
  </si>
  <si>
    <t>Tree 022</t>
  </si>
  <si>
    <t>Af, Pv</t>
  </si>
  <si>
    <t>1 (only 2 frags)</t>
  </si>
  <si>
    <t>Filled with heat resilient: Tree 149: 4_2_5 and Tree 052: 2_3_4 &amp; 3_3_1</t>
  </si>
  <si>
    <t>Tree 023</t>
  </si>
  <si>
    <t>af, asp, sp</t>
  </si>
  <si>
    <t>Mary-Beth</t>
  </si>
  <si>
    <t>Restock (23 frags) then outplant (~20 frags)?? Put at wrong tree number?</t>
  </si>
  <si>
    <t>Filled with heat resilient: Tree 041: 1_2_1, 1_2_2, 1_3_1 &amp; 2_1_5</t>
  </si>
  <si>
    <t>Tree 024</t>
  </si>
  <si>
    <t>Recycled (n))</t>
  </si>
  <si>
    <t>Thinned before pics Mar-19</t>
  </si>
  <si>
    <t>No?</t>
  </si>
  <si>
    <t>Start - End</t>
  </si>
  <si>
    <t>Single genotype (from firefly)</t>
  </si>
  <si>
    <t>then outplant (~30 frags)</t>
  </si>
  <si>
    <t>Tree 025</t>
  </si>
  <si>
    <t>Taken out apperently: Take out (~1 surviving frags for outplanting)</t>
  </si>
  <si>
    <t>Filled with heat resilient: Tree 381: 4_2_1</t>
  </si>
  <si>
    <t>Tree 026</t>
  </si>
  <si>
    <t>Sam</t>
  </si>
  <si>
    <t>Outplant (~11 frags)</t>
  </si>
  <si>
    <t>Filled with heat resilient: Tree 032: 2_1_3, 2_1_4, 2_2_4, 3_3_3 &amp; 4_2_1</t>
  </si>
  <si>
    <t>Tree 027</t>
  </si>
  <si>
    <t>Unclear status: probably already out</t>
  </si>
  <si>
    <t>Filled with heat resilient: Tree 153: 3_3_5 &amp; 4_1_3</t>
  </si>
  <si>
    <t>Tree 028</t>
  </si>
  <si>
    <t>Apparently taken out: then ~7 frags for outplanting</t>
  </si>
  <si>
    <t>Filled with heat resilient: Tree 096: 4_2_5</t>
  </si>
  <si>
    <t>Tree 029</t>
  </si>
  <si>
    <t>Pr, Pc, Asp</t>
  </si>
  <si>
    <t>Filled with heat resilient: Tree 150: 4_1_4, 4_2_1 &amp; 4_3_5</t>
  </si>
  <si>
    <t>Tree 030</t>
  </si>
  <si>
    <t>Unknown status</t>
  </si>
  <si>
    <t>Tree 031</t>
  </si>
  <si>
    <t>Clare</t>
  </si>
  <si>
    <t>Single genotype (from firefly); Very large start sizes</t>
  </si>
  <si>
    <t>Filled with heat resilient: Tree 129: 2_3_1 &amp; 2_3_3</t>
  </si>
  <si>
    <t>Tree 032</t>
  </si>
  <si>
    <t>Asp, Af</t>
  </si>
  <si>
    <t>and outplant remainder (~10 frags)</t>
  </si>
  <si>
    <t>Tree 033</t>
  </si>
  <si>
    <t>Af, Pv, Asp</t>
  </si>
  <si>
    <t>and outplant remainder (~22 frags)</t>
  </si>
  <si>
    <t>Tree 034</t>
  </si>
  <si>
    <t>Transplantation</t>
  </si>
  <si>
    <t>Likely taken out already: Take out (~1 surviving frags for outplanting)</t>
  </si>
  <si>
    <t>Filled with heat resilient: Tree 381: 3_2_4 &amp; 3_3_3</t>
  </si>
  <si>
    <t>Tree 035</t>
  </si>
  <si>
    <t>Tree 036</t>
  </si>
  <si>
    <t>Broken?</t>
  </si>
  <si>
    <t>Single genotype (from Pilli Pipa nursery, originally found by Carlotta at Pilli Pipa); Start measurement rather late with big frags..</t>
  </si>
  <si>
    <t>Tree 037</t>
  </si>
  <si>
    <t>Recycled 2023 (strt-end)</t>
  </si>
  <si>
    <t>Ada</t>
  </si>
  <si>
    <t xml:space="preserve">Keep tree as is (maybe replace some loops); </t>
  </si>
  <si>
    <t>Tree 038</t>
  </si>
  <si>
    <t>No coral yet</t>
  </si>
  <si>
    <t>Tree 039</t>
  </si>
  <si>
    <t>Take out (all dead); Confused with tree 59?</t>
  </si>
  <si>
    <t>Tree 040</t>
  </si>
  <si>
    <t>Tree 041</t>
  </si>
  <si>
    <t>and outplant remainder (~43 frags)</t>
  </si>
  <si>
    <t>Tree 042</t>
  </si>
  <si>
    <t>Jochem</t>
  </si>
  <si>
    <t>CBASS</t>
  </si>
  <si>
    <t>Filled with NON heat resilient (corals that bleached &amp; recovered)</t>
  </si>
  <si>
    <t>Label with red label</t>
  </si>
  <si>
    <t>Tree 043</t>
  </si>
  <si>
    <t>and outplant remainder (~2 frags)</t>
  </si>
  <si>
    <t>2023-09; Stilll there?; 2023-01: Needs new label (double)</t>
  </si>
  <si>
    <t>Take out (~5 surviving frags for outplanting); 2023-09: Needs new label</t>
  </si>
  <si>
    <t>Filled with heat resilient: Tree 381: 1_3_3 &amp; 1_3_4</t>
  </si>
  <si>
    <t>Double label?</t>
  </si>
  <si>
    <t>Tree 044</t>
  </si>
  <si>
    <t>Intertidal</t>
  </si>
  <si>
    <t>Leah</t>
  </si>
  <si>
    <t>Tree 045</t>
  </si>
  <si>
    <t>Outplant (~5 frags)</t>
  </si>
  <si>
    <t>Filled with heat resilient: Tree 024: 2_2_1</t>
  </si>
  <si>
    <t>Tree 046</t>
  </si>
  <si>
    <t>Tree 047</t>
  </si>
  <si>
    <t>Intertidal (control)</t>
  </si>
  <si>
    <t>Filled with somewhat heat resilient corals (from tree 221 batch 1)</t>
  </si>
  <si>
    <t>Tree 048</t>
  </si>
  <si>
    <t>Reloop</t>
  </si>
  <si>
    <t>Tree 049</t>
  </si>
  <si>
    <t>Tree 050</t>
  </si>
  <si>
    <t>Tree 051</t>
  </si>
  <si>
    <t>tall tree</t>
  </si>
  <si>
    <t>Genotype unknown</t>
  </si>
  <si>
    <t>Species unknown</t>
  </si>
  <si>
    <t>Not sure if done: and outplant remainder (~17 frags)</t>
  </si>
  <si>
    <t>Filled with heat resilient: Tree 222: 2_3_1 &amp; 3_1_1 and Tree 388: 1_1_1</t>
  </si>
  <si>
    <t>Tree 052</t>
  </si>
  <si>
    <t>then outplant (~24 frags); 2025-02: needs buoy</t>
  </si>
  <si>
    <t>Tree 053</t>
  </si>
  <si>
    <t>take out (0 frags remaining)</t>
  </si>
  <si>
    <t>Filled with heat resilient: Tree 052: 4_3_5 and Tree 132: 1_3_3, 1_3_4, 2_1_4, 2_1_5, 2_3_2 &amp; 3_2_5</t>
  </si>
  <si>
    <t>Tree 054</t>
  </si>
  <si>
    <t>Single genotype: Pilli Pipa: right in front of restaurant (extra thick branches</t>
  </si>
  <si>
    <t>Tree 055</t>
  </si>
  <si>
    <t>Not sure if done: outplant remainder (~15 frags)</t>
  </si>
  <si>
    <t>Filled with heat resilient: Tree 033: 2_3_3 &amp; 3_3_3</t>
  </si>
  <si>
    <t>Tree 056</t>
  </si>
  <si>
    <t>Filled with heat resilient: Tree 215: 4_1_1 &amp; 4_1_3</t>
  </si>
  <si>
    <t>Tree 057</t>
  </si>
  <si>
    <t>Mangrove</t>
  </si>
  <si>
    <t>Marlieke</t>
  </si>
  <si>
    <t>Florine</t>
  </si>
  <si>
    <t>Chris</t>
  </si>
  <si>
    <t>Single genotype: F-CAGE-2</t>
  </si>
  <si>
    <t>Filled with heat resilient: Tree 149: 1_3_1 &amp; 4_2_5</t>
  </si>
  <si>
    <t>Tree 058</t>
  </si>
  <si>
    <t>Mangrove/ intertidal control</t>
  </si>
  <si>
    <t>Outplant (~13 frags): OR: all dead, unclear label confusion</t>
  </si>
  <si>
    <t>Filled with heat resilient: Tree 085: 3_2_1</t>
  </si>
  <si>
    <t>Tree 059</t>
  </si>
  <si>
    <t>SPECS: ID uncertain: probably new species: yellow thin?</t>
  </si>
  <si>
    <t>Status unknown, likely taken out</t>
  </si>
  <si>
    <t>Pwani?</t>
  </si>
  <si>
    <t>Restock (nearly all ~30 frags, except a few (~3) that bleached, which can be outplaned); Double label with tree in KH, might it have been taken out already? Confused with tree 39?</t>
  </si>
  <si>
    <t>Tree 060</t>
  </si>
  <si>
    <t>Single genotype (from Firefly west)</t>
  </si>
  <si>
    <t>Outplant (~25 frags): not done, died already apparently</t>
  </si>
  <si>
    <t>Filled with heat resilient: Tree 004: 2_2_3 &amp; 3_1_4</t>
  </si>
  <si>
    <t>Tree 061</t>
  </si>
  <si>
    <t>Re-loop (0 surviving frag for outplanting)</t>
  </si>
  <si>
    <t>Tree 062</t>
  </si>
  <si>
    <t>Re-stock (3 frags) then re-loop</t>
  </si>
  <si>
    <t>Tree 063</t>
  </si>
  <si>
    <t>Taken out, repaired and replacedStart pics taken but not used: bad start fragments</t>
  </si>
  <si>
    <t>Filled with heat resilient: Tree 245: 2_1_1, 2_1_2, 2_1_3</t>
  </si>
  <si>
    <t>Tree 064</t>
  </si>
  <si>
    <t>Filled with somewhat heat resilient corals (from tree 204 batch 1)</t>
  </si>
  <si>
    <t>Tree 065</t>
  </si>
  <si>
    <t>Filled with heat resilient: Tree 150: 2_1_3 &amp; 3_1_2</t>
  </si>
  <si>
    <t>Tree 066</t>
  </si>
  <si>
    <t>New label (double)</t>
  </si>
  <si>
    <t>Tree 067</t>
  </si>
  <si>
    <t>Tree 068</t>
  </si>
  <si>
    <t>Filled with heat resilient: Tree 051: 2_2_3 &amp; 4_3_2</t>
  </si>
  <si>
    <t>Tree 069</t>
  </si>
  <si>
    <t>Restock (~5 frags: bleached porites, but recoverd) and outplant remainder (~5 frags)</t>
  </si>
  <si>
    <t>Tree 070</t>
  </si>
  <si>
    <t>Outplant (~40 frags)</t>
  </si>
  <si>
    <t>Tree 071</t>
  </si>
  <si>
    <t>Filled with heat resilient: Tree 215: 2_1_1, 2_1_3 &amp; 2_1_5</t>
  </si>
  <si>
    <t>Tree 072</t>
  </si>
  <si>
    <t>Recycled 2025 (strt-end)</t>
  </si>
  <si>
    <t>Filled with heat resilient: Tree 381: 1_3_4 &amp; 1_3_5</t>
  </si>
  <si>
    <t>Tree 073</t>
  </si>
  <si>
    <t>Apparently taken out already; Restock (4 frags) and outplant remainder (~3 frags)</t>
  </si>
  <si>
    <t>Filled with heat resilient: Tree 213: 1_2_4 &amp; 1_3_5</t>
  </si>
  <si>
    <t>Tree 074</t>
  </si>
  <si>
    <t>Filled with heat resilient: Tree 215: 3_2_3 &amp; 3_2_5</t>
  </si>
  <si>
    <t>Tree 075</t>
  </si>
  <si>
    <t>Tree lost? Filled with unknown corals?</t>
  </si>
  <si>
    <t>Tree 076</t>
  </si>
  <si>
    <t>Quite large start frags: monitoring not continued</t>
  </si>
  <si>
    <t>Filled with heat resilient: Tree 189: 4_1_5, 4_2_1 &amp; 4_2_3</t>
  </si>
  <si>
    <t>Tree 077</t>
  </si>
  <si>
    <t>Taken out already apparently; Restock (3 frags: only tips surviving) then take out (1 surviving)</t>
  </si>
  <si>
    <t>Filled with heat resilient: Tree 381: 2_2_4, 2_3_5 &amp; 3_1_3</t>
  </si>
  <si>
    <t>Tree 078</t>
  </si>
  <si>
    <t>Filled with heat resilient: Tree 010: 1_2_1</t>
  </si>
  <si>
    <t>Tree 079</t>
  </si>
  <si>
    <t>Af, Av, Pc, Pv</t>
  </si>
  <si>
    <t>Cleaning</t>
  </si>
  <si>
    <t>Weekly</t>
  </si>
  <si>
    <t>Myriam</t>
  </si>
  <si>
    <t>Sjors</t>
  </si>
  <si>
    <t>Mgeni</t>
  </si>
  <si>
    <t>Evelien</t>
  </si>
  <si>
    <t>Filled with heat resilient: Tree 010: 4_2_1, 4_2_2 &amp; 4_2_3</t>
  </si>
  <si>
    <t>Tree 080</t>
  </si>
  <si>
    <t>Filled with heat resilient: Tree 129: 1_2_3, 1_2_5 &amp; 4_1_1</t>
  </si>
  <si>
    <t>Tree 081</t>
  </si>
  <si>
    <t>Filled with heat resilient: Tree 140: 1_1_3, 1_3_1, 1_3_5, 2_2_4 &amp; 2_2_5 (fragments mixed with Tree 200 also)</t>
  </si>
  <si>
    <t>Tree 082</t>
  </si>
  <si>
    <t>Filled with heat resilient: Tree 176: 2_1_5 &amp; 3_2_5</t>
  </si>
  <si>
    <t>Tree 083</t>
  </si>
  <si>
    <t>Single genotype (from Firefly mid, BRU)</t>
  </si>
  <si>
    <t>Filled with heat resilient: Tree 033: 1_3_5</t>
  </si>
  <si>
    <t>Tree 084</t>
  </si>
  <si>
    <t>Never</t>
  </si>
  <si>
    <t>Bart</t>
  </si>
  <si>
    <t>Filled with somewhat heat resilient corals (from tree 225 batch 1)</t>
  </si>
  <si>
    <t>Rope needs connecting</t>
  </si>
  <si>
    <t>Tree 085</t>
  </si>
  <si>
    <t>then outplant (~8 frags)</t>
  </si>
  <si>
    <t>Tree 086</t>
  </si>
  <si>
    <t>Take out (~4 surviving frags for outplanting)</t>
  </si>
  <si>
    <t>Filled with heat resilient: Tree 033: 3_3_5</t>
  </si>
  <si>
    <t>Tree 087</t>
  </si>
  <si>
    <t>2 branches per side</t>
  </si>
  <si>
    <t>K</t>
  </si>
  <si>
    <t>Filled with heat resilient: Tree 024: 1_1_2 &amp; 1_2_3</t>
  </si>
  <si>
    <t>Tree 088</t>
  </si>
  <si>
    <t>Recycled 2023 (cont)</t>
  </si>
  <si>
    <t>Monthly</t>
  </si>
  <si>
    <t>Samples from genetics stored in this tree + Mix of likely heat resilient species</t>
  </si>
  <si>
    <t>Tree 089</t>
  </si>
  <si>
    <t>Daisy</t>
  </si>
  <si>
    <t>2023-09: taken out even though yellow label</t>
  </si>
  <si>
    <t>Tree 090</t>
  </si>
  <si>
    <t>Laura</t>
  </si>
  <si>
    <t>Tree 091</t>
  </si>
  <si>
    <t>Take out (~2 surviving frags for outplanting)</t>
  </si>
  <si>
    <t>Filled with heat resilient: Tree 129: 1_3_3</t>
  </si>
  <si>
    <t>Tree 092</t>
  </si>
  <si>
    <t>Florenske</t>
  </si>
  <si>
    <t>Filled with heat resilient: Tree 153: 1_2_1, 1_3_1 &amp; 1_3_2</t>
  </si>
  <si>
    <t>Tree 093</t>
  </si>
  <si>
    <t>Unknown Acropora</t>
  </si>
  <si>
    <t>Take out (~7 surviving frags for outplanting)</t>
  </si>
  <si>
    <t>Filled with heat resilient: Tree 153: 3_1_5 &amp; 3_3_4</t>
  </si>
  <si>
    <t>Tree 094</t>
  </si>
  <si>
    <t>Quarterly</t>
  </si>
  <si>
    <t>Tree 095</t>
  </si>
  <si>
    <t>Quirijn</t>
  </si>
  <si>
    <t>Filled with heat resilient: Tree 189: 1_1_2, 1_2_1, 1_2_3 &amp; 1_3_1</t>
  </si>
  <si>
    <t>Tree 096</t>
  </si>
  <si>
    <t>then take out (2 surviving)</t>
  </si>
  <si>
    <t>Tree 097</t>
  </si>
  <si>
    <t>Single genotype (from Firefly)</t>
  </si>
  <si>
    <t>Filled with heat resilient: Tree 215:4_2_5 &amp; 4_3_5</t>
  </si>
  <si>
    <t>Tree 098</t>
  </si>
  <si>
    <t>Single genotype: from single colony at main Firefly patch</t>
  </si>
  <si>
    <t>Keep tree as is (maybe refill loops, or use for massive)</t>
  </si>
  <si>
    <t>Tree 099</t>
  </si>
  <si>
    <t>Fragments 10</t>
  </si>
  <si>
    <t>2022-02: No label</t>
  </si>
  <si>
    <t>Single genotype: collected from recruit at Firefly nursery that didn't bleach during 2022 heat wave</t>
  </si>
  <si>
    <t>Not sure (all Poc fragments half dead/alive): restock (using any healthy remaining parts), then throw out remainder/take tree out</t>
  </si>
  <si>
    <t>(not use: no end data collected)</t>
  </si>
  <si>
    <t>Tree 100</t>
  </si>
  <si>
    <t>Moved from PP to FF at 11-2019; Removed from FF 2020-10</t>
  </si>
  <si>
    <t>Tree 101</t>
  </si>
  <si>
    <t>Outplant (~23 frags): OR: all dead? Unclear label confusion</t>
  </si>
  <si>
    <t>Filled with heat resilient: Tree 204: 4_3_4</t>
  </si>
  <si>
    <t>Tree 102</t>
  </si>
  <si>
    <t>Tree 103</t>
  </si>
  <si>
    <t>Tree 104</t>
  </si>
  <si>
    <t>Filled with heat resilient: Tree 024: 3_3_1, 3_3_2 &amp; 3_3_5</t>
  </si>
  <si>
    <t>Tree 105</t>
  </si>
  <si>
    <t>and outplant remainder (~20 frags)</t>
  </si>
  <si>
    <t>Tree 106</t>
  </si>
  <si>
    <t>Tree 107</t>
  </si>
  <si>
    <t>Filled with heat resilient: Tree 381: 2_2_2 &amp; 2_2_3</t>
  </si>
  <si>
    <t>Tree 108</t>
  </si>
  <si>
    <t>Tree 109</t>
  </si>
  <si>
    <t>Filled with heat resilient: Tree 024: 2_2_1, 1_3_3 &amp; 3_3_1</t>
  </si>
  <si>
    <t>Tree 110</t>
  </si>
  <si>
    <t>Label unclear: needs replacing</t>
  </si>
  <si>
    <t>Tree 111</t>
  </si>
  <si>
    <t>Genetics sampling</t>
  </si>
  <si>
    <t>Tree 112</t>
  </si>
  <si>
    <t>Tree 113</t>
  </si>
  <si>
    <t>then outplant (~25 frags)</t>
  </si>
  <si>
    <t>Tree 114</t>
  </si>
  <si>
    <t>Not done (?): Restock (2 frags) then outplant remainder (~10 frags)</t>
  </si>
  <si>
    <t>Tree 115</t>
  </si>
  <si>
    <t>Tree 116</t>
  </si>
  <si>
    <t>then outplant remainder (~15 frags)</t>
  </si>
  <si>
    <t>Tree 117</t>
  </si>
  <si>
    <t>No yellow label yet; Not taken out yet??</t>
  </si>
  <si>
    <t>Tree 118</t>
  </si>
  <si>
    <t>Filled with heat resilient: Likely mostly from Tree 113</t>
  </si>
  <si>
    <t>Tree 119</t>
  </si>
  <si>
    <t>Take out (~1 surviving frag for outplanting, most other are mostly dead so not suitable for outplanting)</t>
  </si>
  <si>
    <t>Filled with heat resilient: Tree NOCK 6: 4_2_5, 4_3_1 &amp; 4_3_2</t>
  </si>
  <si>
    <t>Tree 120</t>
  </si>
  <si>
    <t>No specs yet</t>
  </si>
  <si>
    <t>Tree 121</t>
  </si>
  <si>
    <t>Filled with heat resilient: Tree 006: 1_4_3 &amp; 2_1_2 and Tree 004: 4_1_5</t>
  </si>
  <si>
    <t>Tree 122</t>
  </si>
  <si>
    <t>Filled with heat resilient: Tree 004: 3_1_4</t>
  </si>
  <si>
    <t>Tree 123</t>
  </si>
  <si>
    <t>Single genotpye (Pilli Pipa: big colony with lots of snails but still healthy)</t>
  </si>
  <si>
    <t>No yellow label yet</t>
  </si>
  <si>
    <t>Mix of likely heat resilient species</t>
  </si>
  <si>
    <t>Tree 124</t>
  </si>
  <si>
    <t>Single genotype (Pilli Pipa: whip patch, used whole colony, was predated by Drupella)</t>
  </si>
  <si>
    <t>Tree 125</t>
  </si>
  <si>
    <t>Filled with heat resilient: Tree 189: 1_1_2 &amp; 1_2_1</t>
  </si>
  <si>
    <t>Tree 126</t>
  </si>
  <si>
    <t>Filled with heat resilient: Tree 126: 1_2_1 &amp; 1_2_3</t>
  </si>
  <si>
    <t>Tree 127</t>
  </si>
  <si>
    <t>Filled with heat resilient: Tree 215: 4_1_5 &amp; 4_2_5</t>
  </si>
  <si>
    <t>Tree 128</t>
  </si>
  <si>
    <t>then outplant remainder (~30 frags)</t>
  </si>
  <si>
    <t>Tree 129</t>
  </si>
  <si>
    <t>then outplant if any remains</t>
  </si>
  <si>
    <t>Tree 130</t>
  </si>
  <si>
    <t>Tree 131</t>
  </si>
  <si>
    <t>Wasn't on map?</t>
  </si>
  <si>
    <t>Tree 132</t>
  </si>
  <si>
    <t>Restock (~17 frags) then outplant remainder (~7 frags)</t>
  </si>
  <si>
    <t>Tree 133</t>
  </si>
  <si>
    <t>Filled with heat resilient: Tree 215: 4_3_5</t>
  </si>
  <si>
    <t>Tree 134</t>
  </si>
  <si>
    <t>Filled with heat resilient: Tree 189: 4_3_5, 3_1_4 &amp; 4_3_2</t>
  </si>
  <si>
    <t>Tree 135</t>
  </si>
  <si>
    <t>Filled with heat resilient: Tree 189: 3_2_4, 3_2_5 &amp; 4_1_5</t>
  </si>
  <si>
    <t>Tree 136</t>
  </si>
  <si>
    <t>Filled with heat resilient: Tree 033: 3_3_5 and Tree 085: 1_3_1</t>
  </si>
  <si>
    <t>Tree 137</t>
  </si>
  <si>
    <t>Re-loop (underwater)</t>
  </si>
  <si>
    <t>Tree 138</t>
  </si>
  <si>
    <t>Filled with heat resilient: Tree 129: 4_2_3 &amp; 4_2_5</t>
  </si>
  <si>
    <t>Tree 139</t>
  </si>
  <si>
    <t>Filled with heat resilient: Tree 215: 2_2_5</t>
  </si>
  <si>
    <t>Tree 140</t>
  </si>
  <si>
    <t>Tree 141</t>
  </si>
  <si>
    <t>Tree 142</t>
  </si>
  <si>
    <t>Tree 143</t>
  </si>
  <si>
    <t>Keep tree as is (maybe refill loops, or use for massive tree)</t>
  </si>
  <si>
    <t>Tree 144</t>
  </si>
  <si>
    <t>Filled with heat resilient: Tree 132: 4_2_3, 4_2_4 &amp; 4_2_5 and Tree 010: 1_1_2 &amp; 1_1_5</t>
  </si>
  <si>
    <t>Tree 145</t>
  </si>
  <si>
    <t>Tree 146</t>
  </si>
  <si>
    <t>Tree 147</t>
  </si>
  <si>
    <t>Tree 148</t>
  </si>
  <si>
    <t>Single genotype: collected from a single colony at the Firefly House Reef (-4.650810, 39.385806); Measurements taken consistently both months</t>
  </si>
  <si>
    <t>Idrisa</t>
  </si>
  <si>
    <t>Filled paritally with heat resilient: Single non-bleached surviving Pocillopora from Dolphin Point (first 6 frags) &amp; Pocillopora from Tree 099 (bleached but survived)</t>
  </si>
  <si>
    <t>Tree 149</t>
  </si>
  <si>
    <t>Single genotype: collected from a single colony at the Firefly House Reef (-4.650810, 39.385806); End pictures underestimated; NB: pictures second month taken differently than first month, therefore sizes underestimated</t>
  </si>
  <si>
    <t>then outplant remainder (~9 frags)</t>
  </si>
  <si>
    <t>Filled with heat resilient: Tree 163: 1_1_1 &amp; 1_1_4</t>
  </si>
  <si>
    <t>Tree 150</t>
  </si>
  <si>
    <t>then outplant remainder (~16 frags)</t>
  </si>
  <si>
    <t>Tree 151</t>
  </si>
  <si>
    <t>Single genotype: collected from a single colony at the Firefly House Reef (-4.650810, 39.385806) and tree 150; NB: pictures first month length swapped with width; second month underestimated; NB: pictures second month taken differently than first month, therefore sizes underestimated</t>
  </si>
  <si>
    <t>Filled with heat resilient: Tree 189: 3_1_5 &amp; 3_2_1</t>
  </si>
  <si>
    <t>Tree 152</t>
  </si>
  <si>
    <t>Single genotype: collected from a single colony at the Firefly House Reef (-4.650810, 39.385806); NB: pictures second month taken differently than first month, therefore sizes underestimated</t>
  </si>
  <si>
    <t>not sure if done: then outplant remainder (~33 frags)</t>
  </si>
  <si>
    <t>Filled with heat resilient: Tree 015: 2_3_5</t>
  </si>
  <si>
    <t>Tree 153</t>
  </si>
  <si>
    <t>Single genotype: collected from a single colony at the Firefly House Reef (-4.650810, 39.385806);NB: pictures first month length swapped with width; second month underestimated</t>
  </si>
  <si>
    <t>not sure if done: then outplant remainder (~20 frags)</t>
  </si>
  <si>
    <t>Filled with heat resilient: Tree 043: 2_3_5</t>
  </si>
  <si>
    <t>Tree 154</t>
  </si>
  <si>
    <t>Collected from several colonies (-4.650810, 39.385806)</t>
  </si>
  <si>
    <t>Filled with heat resilient: Tree 010: 1_2_5 &amp; 2_1_1</t>
  </si>
  <si>
    <t>Tree 155</t>
  </si>
  <si>
    <t>Single genotype: collected from a single colony at the Firefly House Reef (-4.650810, 39.385806)</t>
  </si>
  <si>
    <t>NB: pictures first month length swapped with width; second month underestimated</t>
  </si>
  <si>
    <t>Tree 156</t>
  </si>
  <si>
    <t>Single genotype: collected from a single colony at the Firefly House Reef (-4.650810, 39.385806); NB: pictures first month length swapped with width; second month underestimated</t>
  </si>
  <si>
    <t>Tree 157</t>
  </si>
  <si>
    <t>Take out (~3 SMALL surviving frags for outplanting)</t>
  </si>
  <si>
    <t>Filled with heat resilient: Tree 132: 3_2_1, 3_2_2, 3_2_4, 3_2_5, 3_3_1 &amp; 3_3_4</t>
  </si>
  <si>
    <t>Tree 158</t>
  </si>
  <si>
    <t>Outplant (~12 frags)</t>
  </si>
  <si>
    <t>Filled with heat resilient: Tree 004: 1_3_4, 1_3_5 &amp; 2_2_3</t>
  </si>
  <si>
    <t>Tree 159</t>
  </si>
  <si>
    <t>Take out (~3 surviving frags for outplanting)</t>
  </si>
  <si>
    <t>Filled with heat resilient: Tree 085: 1_3_1 &amp; 2_2_2</t>
  </si>
  <si>
    <t>Tree 160</t>
  </si>
  <si>
    <t>Filled with heat resilient: Tree 189: 1_3_2 &amp; 2_1_1</t>
  </si>
  <si>
    <t>Tree 161</t>
  </si>
  <si>
    <t>Unclear status: not present in any measurements at all</t>
  </si>
  <si>
    <t>Filled with heat resilient: Tree 189: 2_2_2, 2_2_3, 2_2_5, 2_3_2 &amp; 2_3_3</t>
  </si>
  <si>
    <t>Tree 162</t>
  </si>
  <si>
    <t>2023-01: Wrong old label 69</t>
  </si>
  <si>
    <t>Tree 163</t>
  </si>
  <si>
    <t>then outplant (~25 surviving)</t>
  </si>
  <si>
    <t>Tree 164</t>
  </si>
  <si>
    <t>Outplant (~14 frags)</t>
  </si>
  <si>
    <t>Filled with heat resilient: Tree NOCK 02: 2_1_4, 2_1_5, 3_2_3, 3_2_4, 4_1_4, 4_2_1 &amp; 4_2_4</t>
  </si>
  <si>
    <t>Tree 165</t>
  </si>
  <si>
    <t>Tree 166</t>
  </si>
  <si>
    <t>Apparently taken out already?</t>
  </si>
  <si>
    <t>Tree 167</t>
  </si>
  <si>
    <t>Tree 168</t>
  </si>
  <si>
    <t>Tree 169</t>
  </si>
  <si>
    <t>Tree 170</t>
  </si>
  <si>
    <t>Tree 171</t>
  </si>
  <si>
    <t>Filled with heat resilient: Tree 024: 3_3_3, 3_3_4 &amp; 3_3_5</t>
  </si>
  <si>
    <t>Tree 172</t>
  </si>
  <si>
    <t>Taken out apparently: Take out (~4 surviving frags for outplanting)</t>
  </si>
  <si>
    <t>Filled with heat resilient: Tree 381: 1_3_3</t>
  </si>
  <si>
    <t>Tree 173</t>
  </si>
  <si>
    <t>Tree 174</t>
  </si>
  <si>
    <t>Apparently taken out: Restock (1 frags) then take out (~3 surviving)</t>
  </si>
  <si>
    <t>Tree 175</t>
  </si>
  <si>
    <t>Single genotype (from Firefly mid)</t>
  </si>
  <si>
    <t>Keep tree as is, maybe add buoy &amp; check ropes</t>
  </si>
  <si>
    <t>Tree 176</t>
  </si>
  <si>
    <t>Tree 177</t>
  </si>
  <si>
    <t>Tree 178</t>
  </si>
  <si>
    <t>Taken out apperently: Restock (~3 frags) then outplant remainder (~3 frags)</t>
  </si>
  <si>
    <t>MOST LIKELY (confused with Tree 153?): Filled with heat resilient: Tree 381: 3_3_4 &amp; 3_3_5</t>
  </si>
  <si>
    <t>Tree 179</t>
  </si>
  <si>
    <t>Tree 180</t>
  </si>
  <si>
    <t>Filled with heat resilient: Tree 129: 1_3_1 &amp; 2_2_5</t>
  </si>
  <si>
    <t>Tree 181</t>
  </si>
  <si>
    <t>Filled with heat resilient: Tree NOCK 6: 2_1_1, 2_1_2, 2_1_5, 2_2_1, 2_2_2, 2_2_3, 2_2_4, 2_2_5 &amp; 2_3_1</t>
  </si>
  <si>
    <t>Tree 182</t>
  </si>
  <si>
    <t>Take out (~5 surviving frags for outplanting)</t>
  </si>
  <si>
    <t>Filled with heat resilient: Tree 189: 1_2_3, 1_3_1, 2_2_3 &amp; 3_1_5</t>
  </si>
  <si>
    <t>Filled with heat resilient: Likely mostly from Tree 223: 2_2_1, maybe also Tree 113</t>
  </si>
  <si>
    <t>Tree 183</t>
  </si>
  <si>
    <t>and outplant remainder (~5 frags)</t>
  </si>
  <si>
    <t>Tree 184</t>
  </si>
  <si>
    <t>Single genotype: submassive Porites from Firefly side (slightly westward on main reef)</t>
  </si>
  <si>
    <t>Keep tree &amp; restock by cutting parts of any big fragment</t>
  </si>
  <si>
    <t>Tree 185</t>
  </si>
  <si>
    <t>Filled with heat resilient: Tree 129: 3_1_3 &amp; 3_2_5</t>
  </si>
  <si>
    <t>Tree 186</t>
  </si>
  <si>
    <t>Filled with heat resilient: Tree 105: 2_2_3</t>
  </si>
  <si>
    <t>Tree 187</t>
  </si>
  <si>
    <t>Filled with heat resilient: Tree 187: 2_1_4 &amp; 2_1_5</t>
  </si>
  <si>
    <t>Tree 188</t>
  </si>
  <si>
    <t>Filled with heat resilient: Tree 129: 1_1_1 &amp; 1_1_5</t>
  </si>
  <si>
    <t>Tree 189</t>
  </si>
  <si>
    <t>Single genotype (from firefly: same colony as Tree 155 batch 1?: table coral near Big Dead Porites)</t>
  </si>
  <si>
    <t>and outplant remainder (~24 frags)</t>
  </si>
  <si>
    <t>Ayub</t>
  </si>
  <si>
    <t>Tree 190</t>
  </si>
  <si>
    <t>Tree 191</t>
  </si>
  <si>
    <t>Filled with heat resilient: Tree 024: 4_2_2, 4_2_3, 4_2_4 &amp; 4_2_5</t>
  </si>
  <si>
    <t>Tree 191x</t>
  </si>
  <si>
    <t>Filled with heat resilient: Tree 189: 3_1_5</t>
  </si>
  <si>
    <t>Double label: needs relabelling</t>
  </si>
  <si>
    <t>Tree 192</t>
  </si>
  <si>
    <t>No (no end pics)</t>
  </si>
  <si>
    <t>Tree 193</t>
  </si>
  <si>
    <t>Filled with heat resilient: Tree 183: 1_3_3 &amp; 4_1_3</t>
  </si>
  <si>
    <t>Tree 194</t>
  </si>
  <si>
    <t>Single genotype (from Kikuyu house); Start pictures incomplete</t>
  </si>
  <si>
    <t>Keep tree as is (all healthy Isopora, will fragment later) maybe add buoy &amp; check ropes</t>
  </si>
  <si>
    <t>Tree 195</t>
  </si>
  <si>
    <t>Status unknown</t>
  </si>
  <si>
    <t>Tree 196</t>
  </si>
  <si>
    <t>Tree 197</t>
  </si>
  <si>
    <t>Filled with heat resilient: Tree 116: 1_3_2, 1_3_4, 3_2_1, &amp; 3_2_3</t>
  </si>
  <si>
    <t>Tree 198</t>
  </si>
  <si>
    <t>SPECS: ID uncertain</t>
  </si>
  <si>
    <t>Restock (~30 frags) and outplant remainder (~12 frags): taken out before was being restocked..?</t>
  </si>
  <si>
    <t>Tree 199</t>
  </si>
  <si>
    <t>Take out (all dead or dying)</t>
  </si>
  <si>
    <t>Tree 200</t>
  </si>
  <si>
    <t>Single genotype (from Kikuyu house); Start pictures rather big</t>
  </si>
  <si>
    <t>Filled with heat resilient: Tree 140: 1_1_3, 1_3_1, 1_3_5, 2_2_4 &amp; 2_2_5 (fragments mixed with Tree 081 also)</t>
  </si>
  <si>
    <t>Tree 201</t>
  </si>
  <si>
    <t>Restock (5 frags) then take out (~3 frags remaining)</t>
  </si>
  <si>
    <t>Tree 202</t>
  </si>
  <si>
    <t>Single genotype (from Kikuyu house), didn't pale during 2022 heat stress</t>
  </si>
  <si>
    <t>Not done?: Restock (17 frags) then outplant (~15 frags)</t>
  </si>
  <si>
    <t>Tree 203</t>
  </si>
  <si>
    <t>Tree 204</t>
  </si>
  <si>
    <t>Acropora cf microphthalma</t>
  </si>
  <si>
    <t>then outplant (~22 frags)</t>
  </si>
  <si>
    <t>Tree 205</t>
  </si>
  <si>
    <t>Acropora sp</t>
  </si>
  <si>
    <t>Filled with heat resilient: Tree 024: 2_2_1, 3_3_1 &amp; 3_3_2</t>
  </si>
  <si>
    <t>Tree 206</t>
  </si>
  <si>
    <t>Single genotype (from Kikuyu house: giant table), didn't pale during 2022 heat stress</t>
  </si>
  <si>
    <t>Filled with heat resilient: Tree 204: 1_2_2, 1_3_4 &amp; 1_3_5</t>
  </si>
  <si>
    <t>Tree 207</t>
  </si>
  <si>
    <t>Tree 208</t>
  </si>
  <si>
    <t>Tree 209</t>
  </si>
  <si>
    <t>Tree 210</t>
  </si>
  <si>
    <t>Maybe having label 240?</t>
  </si>
  <si>
    <t>Tree 211</t>
  </si>
  <si>
    <t>Filled with heat resilient: Tree 053: 3_1_1 &amp; 3_2_1</t>
  </si>
  <si>
    <t>Tree 212</t>
  </si>
  <si>
    <t>Single genotype (from Galaxea?)</t>
  </si>
  <si>
    <t>Outplant whatever remains (have been used for filling)</t>
  </si>
  <si>
    <t>Filled with heat resilient: Tree 129: 3_2_5 &amp; 2_3_5</t>
  </si>
  <si>
    <t>Tree 213</t>
  </si>
  <si>
    <t>Single genotype (from Firefly?)</t>
  </si>
  <si>
    <t>then outplant remainder (~33 frags)</t>
  </si>
  <si>
    <t>Tree 214</t>
  </si>
  <si>
    <t>Outplant (~8 frags)</t>
  </si>
  <si>
    <t>Filled with heat resilient: Tree 176: 4_2_1, &amp; 4_3_5</t>
  </si>
  <si>
    <t>Tree 215</t>
  </si>
  <si>
    <t>Outplant remainder (~25 frags)</t>
  </si>
  <si>
    <t>Tree 216</t>
  </si>
  <si>
    <t>Tree 217</t>
  </si>
  <si>
    <t>Tree 219</t>
  </si>
  <si>
    <t>Outplant (~20 frags)</t>
  </si>
  <si>
    <t>Filled with heat resilient: Tree 176: 4_3_5 AND Tree 129: 1_5_3</t>
  </si>
  <si>
    <t>Tree 220</t>
  </si>
  <si>
    <t>Tree 221</t>
  </si>
  <si>
    <t>Filled with heat resilient: Tree 129: 1_2_2 &amp; 1_2_5</t>
  </si>
  <si>
    <t>Tree 222</t>
  </si>
  <si>
    <t>and outplant remainder (~12 frags)</t>
  </si>
  <si>
    <t>Tree 223</t>
  </si>
  <si>
    <t>then keep tree</t>
  </si>
  <si>
    <t>Tree 224</t>
  </si>
  <si>
    <t>Single genotype (from Galaxea)</t>
  </si>
  <si>
    <t>Tree 225</t>
  </si>
  <si>
    <t>Tree 226</t>
  </si>
  <si>
    <t>Tree 227</t>
  </si>
  <si>
    <t>Outplant (~18 frags)</t>
  </si>
  <si>
    <t>Tree 228</t>
  </si>
  <si>
    <t>Tree 229</t>
  </si>
  <si>
    <t>Tree 230</t>
  </si>
  <si>
    <t>Single genotype: Firefly main patch</t>
  </si>
  <si>
    <t>Filled with heat resilient: Tree 153: 3_3_4</t>
  </si>
  <si>
    <t>Tree 231</t>
  </si>
  <si>
    <t>Single genotype: Firefly intertidal</t>
  </si>
  <si>
    <t>Restock: any fragment that can be cut in healthy pieces (~7?), then throw away remainder/take out</t>
  </si>
  <si>
    <t>Tree 232</t>
  </si>
  <si>
    <t>Filled with heat resilient: Tree 204: 1_1_5</t>
  </si>
  <si>
    <t>Tree 233</t>
  </si>
  <si>
    <t>Filled with heat resilient: Tree 052: 4_3_1, 4_3_2, 4_3_3 &amp; 4_3_4</t>
  </si>
  <si>
    <t>2025-02: Needs proper sinker and rope</t>
  </si>
  <si>
    <t>Tree 234</t>
  </si>
  <si>
    <t>Thick tree</t>
  </si>
  <si>
    <t>Outplant (~3 frags)</t>
  </si>
  <si>
    <t>Tree 235</t>
  </si>
  <si>
    <t>Genotypes unknown</t>
  </si>
  <si>
    <t>Tree 236</t>
  </si>
  <si>
    <t>Tree 237</t>
  </si>
  <si>
    <t>Single genotpye: near MAT Control patch</t>
  </si>
  <si>
    <t>Tree 238</t>
  </si>
  <si>
    <t>Likely not done: Restock (~4 frags) and outplant remainder (~4 frags)</t>
  </si>
  <si>
    <t>Filled with heat resilient: Tree 204: 1_2_1</t>
  </si>
  <si>
    <t>Tree 239</t>
  </si>
  <si>
    <t>Outplant (~35 frags)</t>
  </si>
  <si>
    <t>Filled with heat resilient: Tree 010: 2_1_1 &amp; 2_1_2</t>
  </si>
  <si>
    <t>Tree 240</t>
  </si>
  <si>
    <t>Single genotype: Firefly</t>
  </si>
  <si>
    <t>Tree 241</t>
  </si>
  <si>
    <t>Restock (~4 frags) and outplant remainder (~40 frags)</t>
  </si>
  <si>
    <t>Tree 242</t>
  </si>
  <si>
    <t>Tree 243</t>
  </si>
  <si>
    <t>Single genotpye: just east of Acropora formosa patch Firefly</t>
  </si>
  <si>
    <t>Keep tree as is (maybe refill loops)</t>
  </si>
  <si>
    <t>Tree 244</t>
  </si>
  <si>
    <t>Single genotpye: single colony in seagrass just shallower of Acropora formosa patch Firefly</t>
  </si>
  <si>
    <t>Filled with heat resilient: Tree 033: 2_2_2, 2_2_3, 2_2_4 &amp; 2_2_5</t>
  </si>
  <si>
    <t>Tree 245</t>
  </si>
  <si>
    <t>Single genotype: Firefly main patch. Had deep yellow colour even during 2022 heat wave</t>
  </si>
  <si>
    <t>and outplant remainder (~33 frags)</t>
  </si>
  <si>
    <t>Tree 246</t>
  </si>
  <si>
    <t>Single genotpye: Firefly main patch. Was being consumed (slowly) by Drupella</t>
  </si>
  <si>
    <t>Tree 283</t>
  </si>
  <si>
    <t>Pin tree</t>
  </si>
  <si>
    <t>Filled with heat resilient: Tree 055: 3_3_1 &amp; 3_3_4 and Tree 051: 1_1_2, 1_1_3 &amp; 1_3_4</t>
  </si>
  <si>
    <t>Tree 284</t>
  </si>
  <si>
    <t>Tree 285</t>
  </si>
  <si>
    <t>Filled with heat resilient: Tree 041: 2_2_2, 2_2_3, 2_2_4, 2_2_5 &amp; 2_3_1</t>
  </si>
  <si>
    <t>Tree 286</t>
  </si>
  <si>
    <t>Normal tree</t>
  </si>
  <si>
    <t>Filled with heat resilient: Tree 006: 3_1_3 &amp; 3_1_4</t>
  </si>
  <si>
    <t>Tree 287</t>
  </si>
  <si>
    <t>Tree 288</t>
  </si>
  <si>
    <t>Filled with heat resilient: Tree 246: 3_2_4 &amp; 4_2_1</t>
  </si>
  <si>
    <t>Tree 289</t>
  </si>
  <si>
    <t>Tree 290</t>
  </si>
  <si>
    <t>Filled with heat resilient: Tree 215: 2_3_3 &amp; 3_1_1</t>
  </si>
  <si>
    <t>Tree 378</t>
  </si>
  <si>
    <t>Tree 379</t>
  </si>
  <si>
    <t>Tree 380</t>
  </si>
  <si>
    <t>Quite large start frags: monitoring not continued (label lost: previously tree 075)</t>
  </si>
  <si>
    <t>Restock (~2 frags:) and outplant remainder (~4 frags)</t>
  </si>
  <si>
    <t>Tree 381</t>
  </si>
  <si>
    <t>NO LABEL; and outplant remainder (~10 frags NO LABEL)</t>
  </si>
  <si>
    <t>Tree 382</t>
  </si>
  <si>
    <t>Tree 383</t>
  </si>
  <si>
    <t>Tree 384</t>
  </si>
  <si>
    <t>Tree 385</t>
  </si>
  <si>
    <t>Filled with heat resilient: Tree 204: 2_1_3 &amp; 2_2_2</t>
  </si>
  <si>
    <t>Tree 386</t>
  </si>
  <si>
    <t>Filled with heat resilient: Tree NOCK 02: 1_1_2, 1_1_3, 1_2_2, 1_2_3 &amp; 1_3_1</t>
  </si>
  <si>
    <t>Tree 387</t>
  </si>
  <si>
    <t>Taken out apparently: No label: Take out (~1 surviving frags for outplanting)</t>
  </si>
  <si>
    <t>Filled with heat resilient: Tree 153: 2_1_3 &amp; 2_2_1</t>
  </si>
  <si>
    <t>Tree 388</t>
  </si>
  <si>
    <t>Single genotype (from Firefly). Was tree 218 before (label lost)</t>
  </si>
  <si>
    <t>and outplant remainder (~30 frags)</t>
  </si>
  <si>
    <t>No (no end pic)</t>
  </si>
  <si>
    <t>Tree 390</t>
  </si>
  <si>
    <t>A mix of corals that maintained they colours</t>
  </si>
  <si>
    <t>Tree 391</t>
  </si>
  <si>
    <t>Tree 392</t>
  </si>
  <si>
    <t>Tree 393</t>
  </si>
  <si>
    <t>Tree 394</t>
  </si>
  <si>
    <t>Tree 395</t>
  </si>
  <si>
    <t>Needs new label</t>
  </si>
  <si>
    <t>Tree 396</t>
  </si>
  <si>
    <t>Tree 397</t>
  </si>
  <si>
    <t>Tree 398</t>
  </si>
  <si>
    <t>Tree 399</t>
  </si>
  <si>
    <t>Tree 400</t>
  </si>
  <si>
    <t>A mix of corals that somewhat maintained they colours</t>
  </si>
  <si>
    <t>2025-02: Needs buoy; Half of frags dead</t>
  </si>
  <si>
    <t>Tree 401</t>
  </si>
  <si>
    <t>Tree 402</t>
  </si>
  <si>
    <t>Tree 403</t>
  </si>
  <si>
    <t>Tree 404</t>
  </si>
  <si>
    <t>2025-02: Half of frags dead</t>
  </si>
  <si>
    <t>Tree 405</t>
  </si>
  <si>
    <t>Tree 406</t>
  </si>
  <si>
    <t>Tree 407</t>
  </si>
  <si>
    <t>Tree 408</t>
  </si>
  <si>
    <t>Tree 409</t>
  </si>
  <si>
    <t>Tree 410</t>
  </si>
  <si>
    <t>Tree 411</t>
  </si>
  <si>
    <t>Tree 412</t>
  </si>
  <si>
    <t>Tree 413</t>
  </si>
  <si>
    <t>Tree 414</t>
  </si>
  <si>
    <t>Tree 415</t>
  </si>
  <si>
    <t>Tree 416</t>
  </si>
  <si>
    <t>Tree 417</t>
  </si>
  <si>
    <t>Tree 418</t>
  </si>
  <si>
    <t>Tree 421</t>
  </si>
  <si>
    <t>Tree 422</t>
  </si>
  <si>
    <t>Tree 423</t>
  </si>
  <si>
    <t>Tree 425</t>
  </si>
  <si>
    <t>Filled with heat resilient: likely mix of Tree 052 &amp; Tree 132</t>
  </si>
  <si>
    <t>Tree 426</t>
  </si>
  <si>
    <t>Tree 427</t>
  </si>
  <si>
    <t>Tree 428</t>
  </si>
  <si>
    <t>Tree 429</t>
  </si>
  <si>
    <t>Tree 430</t>
  </si>
  <si>
    <t>Tree 431</t>
  </si>
  <si>
    <t>Tree 433</t>
  </si>
  <si>
    <t>Filled with unknown?</t>
  </si>
  <si>
    <t>Tree 434</t>
  </si>
  <si>
    <t>Still mostly empty</t>
  </si>
  <si>
    <t>Tree 435</t>
  </si>
  <si>
    <t>Big tree</t>
  </si>
  <si>
    <t>11 remaining frags for outplanting?</t>
  </si>
  <si>
    <t>Tree 436</t>
  </si>
  <si>
    <t>Filled with heat resilient: Tree NOCK 5: 2_2_1, 2_2_3, 2_2_4, 2_2_5 &amp; 2_3_2</t>
  </si>
  <si>
    <t>Tree 437</t>
  </si>
  <si>
    <t>Filled with heat resilient: Tree NOCK 5: 3_1_1 &amp; 3_1_3</t>
  </si>
  <si>
    <t>Tree 438</t>
  </si>
  <si>
    <t>Filled with heat resilient: Tree NOCK 5: 3_1_5, 3_3_3, 4_1_3, 4_1_4 &amp; 4_1_5</t>
  </si>
  <si>
    <t>Tree 439</t>
  </si>
  <si>
    <t>Tree 440</t>
  </si>
  <si>
    <t>Filled with heat resilient: Tree NOCK 184: 1_1_1, 1_1_2, 1_1_3, 1_1_4, 1_1_5, 1_2_1 &amp; 1_2_2</t>
  </si>
  <si>
    <t>Tree 441</t>
  </si>
  <si>
    <t>Filled with heat resilient: Tree NOCK 3: 4_1_2 &amp; 4_1_3</t>
  </si>
  <si>
    <t>Tree 442</t>
  </si>
  <si>
    <t>Filled with heat resilient: Tree NOCK 3: 4_2_3 &amp; 4_1_4</t>
  </si>
  <si>
    <t>Tree 443</t>
  </si>
  <si>
    <t>Filled with heat resilient: Tree 204: 1_2_2 &amp; 1_2_4</t>
  </si>
  <si>
    <t>Tree 444</t>
  </si>
  <si>
    <t>Filled with heat resilient: Tree 204: 1_3_2</t>
  </si>
  <si>
    <t>Tree 445</t>
  </si>
  <si>
    <t>Filled with heat resilient: Tree 204: 1_3_2 &amp; 1_3_3</t>
  </si>
  <si>
    <t>Tree 446</t>
  </si>
  <si>
    <t>Filled with heat resilient: Tree 184: 1_2_2, 1_2_3, 1_3_1, 1_3_2, 1_3_3, 1_3_4, 2_3_5, 2_2_1 &amp; 2_1_3</t>
  </si>
  <si>
    <t>Tree 447</t>
  </si>
  <si>
    <t>Filled with heat resilient: Tree 184: 2_1_4, 2_1_5, 2_2_2, 2_2_3, 2_2_4, 2_2_5, 2_3_1 &amp; 2_3_2</t>
  </si>
  <si>
    <t>Tree 448</t>
  </si>
  <si>
    <t>Filled with heat resilient: Tree 184: 2_3_3, 2_3_4, 2_3_5, 3_1_1, 3_1_2, 3_1_3 &amp; 3_1_4</t>
  </si>
  <si>
    <t>Tree 452</t>
  </si>
  <si>
    <t>Filled with heat resilient: Tree 015: 3_2_5</t>
  </si>
  <si>
    <t>Tree 453</t>
  </si>
  <si>
    <t>Filled with heat resilient: Tree 204: 2_2_5 &amp; 2_3_1</t>
  </si>
  <si>
    <t>Tree 454</t>
  </si>
  <si>
    <t>Filled with heat resilient: Tree 204: 3_1_2 and Tree 015: 4_3_4</t>
  </si>
  <si>
    <t>Tree 456</t>
  </si>
  <si>
    <t>Filled with heat resilient: Tree NOCK 10: 1_1_1, 1_2_1 &amp; 1_2_2</t>
  </si>
  <si>
    <t>Tree 457</t>
  </si>
  <si>
    <t>Filled with heat resilient: Tree NOCK 10: 1_2_2, 1_2_3, 1_2_4 &amp; 1_2_5</t>
  </si>
  <si>
    <t>Tree 458</t>
  </si>
  <si>
    <t>Filled with heat resilient: Tree NOCK 10: 1_2_5, 1_3_1, 4_1_1 &amp; 4_1_2</t>
  </si>
  <si>
    <t>Tree 459</t>
  </si>
  <si>
    <t>Filled with heat resilient: Tree NOCK 8: 3_1_1 &amp; 3_1_2</t>
  </si>
  <si>
    <t>Tree 460</t>
  </si>
  <si>
    <t>Filled with heat resilient: Tree NOCK 12: 3_3_2, 4_1_3, 4_3_3 &amp; 4_3_5</t>
  </si>
  <si>
    <t>Tree 461</t>
  </si>
  <si>
    <t>Filled with heat resilient: Tree NOCK 12: 3_1_2, 3_1_4 &amp; 3_1_5</t>
  </si>
  <si>
    <t>Tree 462</t>
  </si>
  <si>
    <t>Filled with heat resilient: Tree NOCK 8: 3_1_2 &amp; 3_1_3 and NOCK 12: 1_1_2, 1_1_3, 2_1_5 &amp; 2_2_3</t>
  </si>
  <si>
    <t>Tree 463</t>
  </si>
  <si>
    <t>Filled with heat resilient: Tree 381: 3_1_5</t>
  </si>
  <si>
    <t>Tree 464</t>
  </si>
  <si>
    <t>Filled with heat resilient: Tree NOCK 11: 3_1_5, 3_2_3 &amp; 4_1_1</t>
  </si>
  <si>
    <t>Tree 465</t>
  </si>
  <si>
    <t>Filled with heat resilient: Tree NOCK 11: 1_2_5, 1_3_4 &amp; 3_1_5</t>
  </si>
  <si>
    <t>Tree 466</t>
  </si>
  <si>
    <t>Filled with heat resilient: Tree NOCK 13: 1_3_1, 1_3_4, 2_1_2, 2_1_3, 2_3_1, 2_3_5, 3_1_3, 3_1_4, 3_3_1, 3_2_2, 3_2_3, 3_2_5, 4_1_1 &amp; 4_2_1</t>
  </si>
  <si>
    <t>Tree 467</t>
  </si>
  <si>
    <t>Filled with heat resilient: Tree NOCK 11: 4_1_1, 4_1_3 &amp; 4_1_5</t>
  </si>
  <si>
    <t>Tree 468</t>
  </si>
  <si>
    <t>Filled with heat resilient: Tree NOCK 11: 4_1_5, 4_2_4, 4_2_5 &amp; 4_3_4</t>
  </si>
  <si>
    <t>Tree 469</t>
  </si>
  <si>
    <t>Filled with heat resilient: Tree 096: 4_2_5 &amp; 4_3_5</t>
  </si>
  <si>
    <t>Tree 470</t>
  </si>
  <si>
    <t>Filled with heat resilient: Tree 381: 3_3_5 &amp; 4_2_1</t>
  </si>
  <si>
    <t>Tree 472</t>
  </si>
  <si>
    <t>Tree 473</t>
  </si>
  <si>
    <t>Tree Aspp</t>
  </si>
  <si>
    <t>Outplant (~16 frags)</t>
  </si>
  <si>
    <t>Tree XAf</t>
  </si>
  <si>
    <t>Tree XAf0</t>
  </si>
  <si>
    <t>Outplant (~9 frags)</t>
  </si>
  <si>
    <t>Tree XAv</t>
  </si>
  <si>
    <t>February</t>
  </si>
  <si>
    <t>March</t>
  </si>
  <si>
    <t>April</t>
  </si>
  <si>
    <t>June</t>
  </si>
  <si>
    <t>July</t>
  </si>
  <si>
    <t>August</t>
  </si>
  <si>
    <t>September</t>
  </si>
  <si>
    <t>Measurements</t>
  </si>
  <si>
    <t>Week 1</t>
  </si>
  <si>
    <t>Week 2</t>
  </si>
  <si>
    <t>Week 3</t>
  </si>
  <si>
    <t>Week 4</t>
  </si>
  <si>
    <t>MAT Daisy</t>
  </si>
  <si>
    <t>Growth measurements</t>
  </si>
  <si>
    <t>Bleaching measurements T1 &amp; T2 (Tuesdays)</t>
  </si>
  <si>
    <t>Richard (sc: Ewout)</t>
  </si>
  <si>
    <t>Intertidal 2020 (natural bleaching)</t>
  </si>
  <si>
    <t>Bleaching measurements (Thursdays)</t>
  </si>
  <si>
    <t>Kyra (no sc: not used)</t>
  </si>
  <si>
    <t>Kyra (sc: Ewout)</t>
  </si>
  <si>
    <t>Intertidal 2020 (acute bleaching)</t>
  </si>
  <si>
    <t>Bleaching measurements</t>
  </si>
  <si>
    <t>Depth Gradient 2020 (mini trees)</t>
  </si>
  <si>
    <t>Bleaching measurements (Wednesdays)</t>
  </si>
  <si>
    <t>Not yet: A. formosa</t>
  </si>
  <si>
    <t>Kristina</t>
  </si>
  <si>
    <t>Depth Gradient 2024 - 2025 (mini trees)</t>
  </si>
  <si>
    <t>Depth Gradient 2024 Translocation</t>
  </si>
  <si>
    <t>Sara</t>
  </si>
  <si>
    <t>Intertidal 2023 continued</t>
  </si>
  <si>
    <t>Marloes (sc: Ewout)</t>
  </si>
  <si>
    <t>Priscah</t>
  </si>
  <si>
    <t>XXX (incomplete)</t>
  </si>
  <si>
    <t>Mwanaisha (sc: Ewout)</t>
  </si>
  <si>
    <t>Priscah (sc: Ewout)</t>
  </si>
  <si>
    <t>Intertidal 2022 continued</t>
  </si>
  <si>
    <t>XXX (survival only)</t>
  </si>
  <si>
    <t>(survival only)</t>
  </si>
  <si>
    <t>Baseline only</t>
  </si>
  <si>
    <t>Depth_m</t>
  </si>
  <si>
    <t>Temperature</t>
  </si>
  <si>
    <t>Placed at 1 &amp; 10 meters</t>
  </si>
  <si>
    <t>(5 min): only 10m depth</t>
  </si>
  <si>
    <t>Light</t>
  </si>
  <si>
    <t>Placed at 1 &amp; 10 meters; Lux NOT regularly cleaned, so lux data not very useful</t>
  </si>
  <si>
    <t>Refuges</t>
  </si>
  <si>
    <t>Dolphin Point</t>
  </si>
  <si>
    <t>Nyuli</t>
  </si>
  <si>
    <t xml:space="preserve">Placed at 30 m (lost?) and 40 m </t>
  </si>
  <si>
    <t>Failed logger</t>
  </si>
  <si>
    <t>Placed at 0 &amp; 2 meters;  Lux NOT regularly cleaned, so lux data not very useful</t>
  </si>
  <si>
    <t>Placed at 0 &amp; 2 meters</t>
  </si>
  <si>
    <t>(10 min): only intertidal (most likely?)</t>
  </si>
  <si>
    <t>(5 min): only intertidal</t>
  </si>
  <si>
    <t>Mineral accretion</t>
  </si>
  <si>
    <t>Placed at MAT and Control</t>
  </si>
  <si>
    <t>Waga</t>
  </si>
  <si>
    <t>Four replicate pools</t>
  </si>
  <si>
    <t>(5 min) (1-4)</t>
  </si>
  <si>
    <t>(5 min) (1 &amp; 3)</t>
  </si>
  <si>
    <t>(5 min) (3)</t>
  </si>
  <si>
    <t>NR vs AR</t>
  </si>
  <si>
    <t>CMA</t>
  </si>
  <si>
    <t>Date</t>
  </si>
  <si>
    <t>Trees</t>
  </si>
  <si>
    <t>Tables</t>
  </si>
  <si>
    <t>Snorkel table</t>
  </si>
  <si>
    <t>SUM</t>
  </si>
  <si>
    <t>Paper</t>
  </si>
  <si>
    <t>Locations</t>
  </si>
  <si>
    <t>Timeline</t>
  </si>
  <si>
    <t>Students</t>
  </si>
  <si>
    <t>Replicas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</si>
  <si>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</si>
  <si>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</si>
  <si>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</si>
  <si>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</si>
  <si>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</si>
  <si>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</si>
  <si>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</si>
  <si>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</si>
  <si>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</si>
  <si>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</si>
  <si>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</si>
  <si>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</si>
  <si>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</si>
  <si>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</si>
  <si>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Date 15</t>
  </si>
  <si>
    <t>Paper 1 (algae assay)</t>
  </si>
  <si>
    <t>Macrophyte assay (+ RUV)</t>
  </si>
  <si>
    <t>Dec 17 - Feb 19</t>
  </si>
  <si>
    <t>Veerle</t>
  </si>
  <si>
    <t>Lower Mpunguti</t>
  </si>
  <si>
    <t>Turf assay (+ RUV)</t>
  </si>
  <si>
    <t>Oct 18 - Feb 19</t>
  </si>
  <si>
    <t>Substrate assay (+ RUV)</t>
  </si>
  <si>
    <t>Algal assay day (+ RUV)</t>
  </si>
  <si>
    <t>Angie</t>
  </si>
  <si>
    <t>Algal assay night (+ RUV)</t>
  </si>
  <si>
    <t>Functional redundancy (survey + RUV)</t>
  </si>
  <si>
    <t>Jan 18 - Mar 18</t>
  </si>
  <si>
    <t>Paper 2 (coral assay)</t>
  </si>
  <si>
    <t>Corallivores (survey)</t>
  </si>
  <si>
    <t>Dec 17 - Dec 18</t>
  </si>
  <si>
    <t>Nienke</t>
  </si>
  <si>
    <t>Predation CoTS (survey + RUV)</t>
  </si>
  <si>
    <t>Predation Coralliophila (survey + RUV)</t>
  </si>
  <si>
    <t>Predation Drupella (survey + RUV)</t>
  </si>
  <si>
    <t>Predation Echinometra (survey + RUV)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</si>
</sst>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mmm&quot;-&quot;yyyy"/>
    <numFmt numFmtId="166" formatCode="mmm yyyy"/>
    <numFmt numFmtId="167" formatCode="dd-mmm-yy"/>
    <numFmt numFmtId="168" formatCode="d-mmm-yy"/>
    <numFmt numFmtId="169" formatCode="d-m-yyyy"/>
    <numFmt numFmtId="170" formatCode="d&quot;-&quot;mmm&quot;-&quot;yyyy"/>
  </numFmts>
  <fonts count="11">
    <font>
      <sz val="11.0"/>
      <color rgb="FF000000"/>
      <name val="Calibri"/>
    </font>
    <font/>
    <font>
      <b/>
      <sz val="11.0"/>
      <color rgb="FF000000"/>
      <name val="Calibri"/>
    </font>
    <font>
      <b/>
      <i/>
      <sz val="11.0"/>
      <color rgb="FF000000"/>
      <name val="Calibri"/>
    </font>
    <font>
      <b/>
    </font>
    <font>
      <b/>
      <i/>
    </font>
    <font>
      <sz val="11.0"/>
      <name val="Calibri"/>
    </font>
    <font>
      <sz val="11.0"/>
    </font>
    <font>
      <b/>
      <sz val="11.0"/>
      <name val="Calibri"/>
    </font>
    <font>
      <color rgb="FFF7CAAC"/>
    </font>
    <font>
      <i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73FC70"/>
        <bgColor rgb="FF73FC70"/>
      </patternFill>
    </fill>
  </fills>
  <borders count="5">
    <border/>
    <border>
      <left/>
      <top/>
      <bottom style="double">
        <color rgb="FF000000"/>
      </bottom>
    </border>
    <border>
      <left/>
      <right/>
      <top/>
      <bottom/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 shrinkToFit="0" wrapText="0"/>
    </xf>
    <xf borderId="0" fillId="2" fontId="0" numFmtId="0" xfId="0" applyAlignment="1" applyFont="1">
      <alignment shrinkToFit="0" wrapText="0"/>
    </xf>
    <xf borderId="0" fillId="2" fontId="1" numFmtId="0" xfId="0" applyFont="1"/>
    <xf borderId="1" fillId="3" fontId="0" numFmtId="0" xfId="0" applyAlignment="1" applyBorder="1" applyFill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2" fillId="4" fontId="0" numFmtId="0" xfId="0" applyAlignment="1" applyBorder="1" applyFill="1" applyFont="1">
      <alignment shrinkToFit="0" wrapText="0"/>
    </xf>
    <xf borderId="2" fillId="5" fontId="0" numFmtId="0" xfId="0" applyAlignment="1" applyBorder="1" applyFill="1" applyFont="1">
      <alignment shrinkToFit="0" wrapText="0"/>
    </xf>
    <xf borderId="0" fillId="0" fontId="2" numFmtId="0" xfId="0" applyAlignment="1" applyFont="1">
      <alignment shrinkToFit="0" wrapText="0"/>
    </xf>
    <xf borderId="2" fillId="6" fontId="0" numFmtId="0" xfId="0" applyAlignment="1" applyBorder="1" applyFill="1" applyFont="1">
      <alignment readingOrder="0" shrinkToFit="0" wrapText="0"/>
    </xf>
    <xf borderId="2" fillId="6" fontId="2" numFmtId="0" xfId="0" applyAlignment="1" applyBorder="1" applyFont="1">
      <alignment readingOrder="0" shrinkToFit="0" wrapText="0"/>
    </xf>
    <xf borderId="2" fillId="6" fontId="3" numFmtId="0" xfId="0" applyAlignment="1" applyBorder="1" applyFont="1">
      <alignment readingOrder="0" shrinkToFit="0" wrapText="0"/>
    </xf>
    <xf borderId="2" fillId="7" fontId="0" numFmtId="0" xfId="0" applyAlignment="1" applyBorder="1" applyFill="1" applyFont="1">
      <alignment shrinkToFit="0" wrapText="0"/>
    </xf>
    <xf borderId="0" fillId="8" fontId="1" numFmtId="0" xfId="0" applyFill="1" applyFont="1"/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13" fontId="4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3" fillId="0" fontId="4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13" fontId="1" numFmtId="0" xfId="0" applyAlignment="1" applyFont="1">
      <alignment readingOrder="0"/>
    </xf>
    <xf borderId="0" fillId="14" fontId="1" numFmtId="0" xfId="0" applyFont="1"/>
    <xf borderId="3" fillId="0" fontId="1" numFmtId="164" xfId="0" applyBorder="1" applyFont="1" applyNumberFormat="1"/>
    <xf borderId="0" fillId="0" fontId="1" numFmtId="165" xfId="0" applyFont="1" applyNumberFormat="1"/>
    <xf borderId="3" fillId="0" fontId="1" numFmtId="0" xfId="0" applyBorder="1" applyFont="1"/>
    <xf borderId="0" fillId="9" fontId="1" numFmtId="0" xfId="0" applyAlignment="1" applyFont="1">
      <alignment readingOrder="0"/>
    </xf>
    <xf borderId="0" fillId="14" fontId="1" numFmtId="0" xfId="0" applyAlignment="1" applyFont="1">
      <alignment readingOrder="0"/>
    </xf>
    <xf borderId="3" fillId="10" fontId="1" numFmtId="0" xfId="0" applyAlignment="1" applyBorder="1" applyFont="1">
      <alignment readingOrder="0"/>
    </xf>
    <xf borderId="0" fillId="11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8" fontId="1" numFmtId="0" xfId="0" applyAlignment="1" applyFont="1">
      <alignment readingOrder="0"/>
    </xf>
    <xf borderId="3" fillId="0" fontId="1" numFmtId="164" xfId="0" applyAlignment="1" applyBorder="1" applyFont="1" applyNumberFormat="1">
      <alignment readingOrder="0"/>
    </xf>
    <xf borderId="0" fillId="0" fontId="1" numFmtId="1" xfId="0" applyFont="1" applyNumberFormat="1"/>
    <xf borderId="0" fillId="14" fontId="1" numFmtId="1" xfId="0" applyFont="1" applyNumberFormat="1"/>
    <xf borderId="3" fillId="9" fontId="1" numFmtId="0" xfId="0" applyAlignment="1" applyBorder="1" applyFont="1">
      <alignment readingOrder="0"/>
    </xf>
    <xf borderId="3" fillId="11" fontId="1" numFmtId="0" xfId="0" applyAlignment="1" applyBorder="1" applyFont="1">
      <alignment readingOrder="0"/>
    </xf>
    <xf borderId="0" fillId="0" fontId="1" numFmtId="1" xfId="0" applyAlignment="1" applyFont="1" applyNumberFormat="1">
      <alignment readingOrder="0"/>
    </xf>
    <xf borderId="0" fillId="13" fontId="1" numFmtId="0" xfId="0" applyFont="1"/>
    <xf borderId="0" fillId="2" fontId="0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6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9" fontId="2" numFmtId="0" xfId="0" applyAlignment="1" applyFont="1">
      <alignment horizontal="left" shrinkToFit="0" wrapText="1"/>
    </xf>
    <xf borderId="0" fillId="15" fontId="2" numFmtId="0" xfId="0" applyAlignment="1" applyFill="1" applyFont="1">
      <alignment horizontal="left" shrinkToFit="0" wrapText="1"/>
    </xf>
    <xf borderId="0" fillId="16" fontId="2" numFmtId="0" xfId="0" applyAlignment="1" applyFill="1" applyFont="1">
      <alignment horizontal="left" shrinkToFit="0" wrapText="1"/>
    </xf>
    <xf borderId="0" fillId="2" fontId="2" numFmtId="0" xfId="0" applyAlignment="1" applyFont="1">
      <alignment readingOrder="0" shrinkToFit="0" wrapText="0"/>
    </xf>
    <xf borderId="0" fillId="0" fontId="4" numFmtId="0" xfId="0" applyFont="1"/>
    <xf borderId="0" fillId="6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6" fontId="2" numFmtId="0" xfId="0" applyAlignment="1" applyFont="1">
      <alignment readingOrder="0" shrinkToFit="0" wrapText="0"/>
    </xf>
    <xf borderId="0" fillId="7" fontId="2" numFmtId="0" xfId="0" applyAlignment="1" applyFont="1">
      <alignment readingOrder="0" shrinkToFit="0" wrapText="0"/>
    </xf>
    <xf borderId="0" fillId="2" fontId="2" numFmtId="0" xfId="0" applyAlignment="1" applyFont="1">
      <alignment shrinkToFit="0" wrapText="0"/>
    </xf>
    <xf borderId="0" fillId="6" fontId="0" numFmtId="0" xfId="0" applyAlignment="1" applyFont="1">
      <alignment readingOrder="0" shrinkToFit="0" wrapText="0"/>
    </xf>
    <xf borderId="0" fillId="7" fontId="3" numFmtId="0" xfId="0" applyAlignment="1" applyFont="1">
      <alignment readingOrder="0" shrinkToFit="0" wrapText="0"/>
    </xf>
    <xf borderId="0" fillId="7" fontId="5" numFmtId="0" xfId="0" applyAlignment="1" applyFont="1">
      <alignment readingOrder="0"/>
    </xf>
    <xf borderId="0" fillId="12" fontId="1" numFmtId="0" xfId="0" applyAlignment="1" applyFont="1">
      <alignment readingOrder="0"/>
    </xf>
    <xf borderId="0" fillId="17" fontId="1" numFmtId="0" xfId="0" applyAlignment="1" applyFill="1" applyFont="1">
      <alignment readingOrder="0"/>
    </xf>
    <xf borderId="0" fillId="16" fontId="1" numFmtId="0" xfId="0" applyAlignment="1" applyFont="1">
      <alignment readingOrder="0"/>
    </xf>
    <xf borderId="0" fillId="6" fontId="2" numFmtId="0" xfId="0" applyAlignment="1" applyFont="1">
      <alignment shrinkToFit="0" wrapText="0"/>
    </xf>
    <xf borderId="0" fillId="14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2" fontId="0" numFmtId="0" xfId="0" applyAlignment="1" applyFont="1">
      <alignment readingOrder="0" shrinkToFit="0" wrapText="0"/>
    </xf>
    <xf borderId="0" fillId="15" fontId="0" numFmtId="0" xfId="0" applyAlignment="1" applyFont="1">
      <alignment readingOrder="0" shrinkToFit="0" wrapText="0"/>
    </xf>
    <xf borderId="0" fillId="18" fontId="2" numFmtId="0" xfId="0" applyAlignment="1" applyFill="1" applyFont="1">
      <alignment readingOrder="0" shrinkToFit="0" wrapText="0"/>
    </xf>
    <xf borderId="0" fillId="15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19" fontId="6" numFmtId="0" xfId="0" applyAlignment="1" applyFill="1" applyFont="1">
      <alignment vertical="bottom"/>
    </xf>
    <xf borderId="0" fillId="6" fontId="1" numFmtId="0" xfId="0" applyAlignment="1" applyFont="1">
      <alignment readingOrder="0"/>
    </xf>
    <xf borderId="2" fillId="0" fontId="1" numFmtId="0" xfId="0" applyBorder="1" applyFont="1"/>
    <xf borderId="0" fillId="8" fontId="7" numFmtId="0" xfId="0" applyAlignment="1" applyFont="1">
      <alignment readingOrder="0"/>
    </xf>
    <xf borderId="0" fillId="2" fontId="0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19" fontId="6" numFmtId="0" xfId="0" applyAlignment="1" applyFont="1">
      <alignment vertical="bottom"/>
    </xf>
    <xf borderId="0" fillId="6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2" fontId="0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0" fillId="2" fontId="0" numFmtId="0" xfId="0" applyAlignment="1" applyFont="1">
      <alignment vertical="bottom"/>
    </xf>
    <xf borderId="0" fillId="19" fontId="1" numFmtId="0" xfId="0" applyAlignment="1" applyFont="1">
      <alignment readingOrder="0"/>
    </xf>
    <xf borderId="0" fillId="0" fontId="8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18" fontId="9" numFmtId="0" xfId="0" applyFont="1"/>
    <xf borderId="0" fillId="18" fontId="1" numFmtId="0" xfId="0" applyAlignment="1" applyFont="1">
      <alignment readingOrder="0"/>
    </xf>
    <xf borderId="0" fillId="0" fontId="6" numFmtId="0" xfId="0" applyFont="1"/>
    <xf borderId="0" fillId="6" fontId="3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7" fontId="0" numFmtId="0" xfId="0" applyAlignment="1" applyFont="1">
      <alignment readingOrder="0" shrinkToFit="0" wrapText="0"/>
    </xf>
    <xf borderId="0" fillId="18" fontId="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20" fontId="2" numFmtId="167" xfId="0" applyAlignment="1" applyFill="1" applyFont="1" applyNumberFormat="1">
      <alignment horizontal="right" readingOrder="0" shrinkToFit="0" vertical="bottom" wrapText="0"/>
    </xf>
    <xf borderId="0" fillId="20" fontId="0" numFmtId="167" xfId="0" applyAlignment="1" applyFont="1" applyNumberFormat="1">
      <alignment horizontal="right" readingOrder="0" shrinkToFit="0" vertical="bottom" wrapText="0"/>
    </xf>
    <xf borderId="0" fillId="20" fontId="0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20" fontId="0" numFmtId="168" xfId="0" applyAlignment="1" applyFont="1" applyNumberFormat="1">
      <alignment horizontal="right" readingOrder="0" shrinkToFit="0" vertical="bottom" wrapText="0"/>
    </xf>
    <xf borderId="0" fillId="20" fontId="2" numFmtId="168" xfId="0" applyAlignment="1" applyFont="1" applyNumberFormat="1">
      <alignment horizontal="right" readingOrder="0" shrinkToFit="0" vertical="bottom" wrapText="0"/>
    </xf>
    <xf borderId="0" fillId="20" fontId="0" numFmtId="169" xfId="0" applyAlignment="1" applyFont="1" applyNumberFormat="1">
      <alignment readingOrder="0" shrinkToFit="0" vertical="bottom" wrapText="0"/>
    </xf>
    <xf borderId="0" fillId="20" fontId="10" numFmtId="169" xfId="0" applyAlignment="1" applyFont="1" applyNumberFormat="1">
      <alignment readingOrder="0" shrinkToFit="0" vertical="bottom" wrapText="0"/>
    </xf>
    <xf borderId="0" fillId="21" fontId="0" numFmtId="0" xfId="0" applyAlignment="1" applyFill="1" applyFont="1">
      <alignment readingOrder="0" shrinkToFit="0" vertical="bottom" wrapText="0"/>
    </xf>
    <xf borderId="0" fillId="21" fontId="0" numFmtId="0" xfId="0" applyAlignment="1" applyFont="1">
      <alignment horizontal="right" readingOrder="0" shrinkToFit="0" vertical="bottom" wrapText="0"/>
    </xf>
    <xf borderId="0" fillId="21" fontId="2" numFmtId="167" xfId="0" applyAlignment="1" applyFont="1" applyNumberFormat="1">
      <alignment horizontal="right" readingOrder="0" shrinkToFit="0" vertical="bottom" wrapText="0"/>
    </xf>
    <xf borderId="0" fillId="21" fontId="2" numFmtId="168" xfId="0" applyAlignment="1" applyFont="1" applyNumberFormat="1">
      <alignment horizontal="right" readingOrder="0" shrinkToFit="0" vertical="bottom" wrapText="0"/>
    </xf>
    <xf borderId="0" fillId="21" fontId="0" numFmtId="168" xfId="0" applyAlignment="1" applyFont="1" applyNumberFormat="1">
      <alignment horizontal="right" readingOrder="0" shrinkToFit="0" vertical="bottom" wrapText="0"/>
    </xf>
    <xf borderId="0" fillId="21" fontId="0" numFmtId="0" xfId="0" applyAlignment="1" applyFont="1">
      <alignment shrinkToFit="0" vertical="bottom" wrapText="0"/>
    </xf>
    <xf borderId="0" fillId="20" fontId="0" numFmtId="170" xfId="0" applyAlignment="1" applyFont="1" applyNumberFormat="1">
      <alignment horizontal="right" readingOrder="0" shrinkToFit="0" vertical="bottom" wrapText="0"/>
    </xf>
    <xf borderId="0" fillId="20" fontId="10" numFmtId="170" xfId="0" applyAlignment="1" applyFont="1" applyNumberFormat="1">
      <alignment horizontal="right" readingOrder="0" shrinkToFit="0" vertical="bottom" wrapText="0"/>
    </xf>
    <xf borderId="0" fillId="20" fontId="0" numFmtId="170" xfId="0" applyAlignment="1" applyFont="1" applyNumberFormat="1">
      <alignment shrinkToFit="0" vertical="bottom" wrapText="0"/>
    </xf>
    <xf borderId="0" fillId="20" fontId="2" numFmtId="170" xfId="0" applyAlignment="1" applyFont="1" applyNumberFormat="1">
      <alignment shrinkToFit="0" vertical="bottom" wrapText="0"/>
    </xf>
    <xf borderId="0" fillId="20" fontId="10" numFmtId="170" xfId="0" applyAlignment="1" applyFont="1" applyNumberFormat="1">
      <alignment readingOrder="0" shrinkToFit="0" vertical="bottom" wrapText="0"/>
    </xf>
    <xf borderId="0" fillId="20" fontId="0" numFmtId="170" xfId="0" applyAlignment="1" applyFont="1" applyNumberFormat="1">
      <alignment readingOrder="0" shrinkToFit="0" vertical="bottom" wrapText="0"/>
    </xf>
    <xf borderId="0" fillId="20" fontId="2" numFmtId="170" xfId="0" applyAlignment="1" applyFont="1" applyNumberFormat="1">
      <alignment horizontal="right" readingOrder="0" shrinkToFit="0" vertical="bottom" wrapText="0"/>
    </xf>
    <xf borderId="0" fillId="20" fontId="2" numFmtId="170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" width="57.86"/>
    <col customWidth="1" min="3" max="3" width="9.57"/>
    <col customWidth="1" min="4" max="4" width="9.14"/>
    <col customWidth="1" min="5" max="26" width="8.71"/>
  </cols>
  <sheetData>
    <row r="1" ht="15.75" customHeight="1">
      <c r="A1" s="1" t="s">
        <v>0</v>
      </c>
      <c r="B1" s="1" t="s">
        <v>1</v>
      </c>
      <c r="C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</v>
      </c>
      <c r="B2" s="5" t="s">
        <v>3</v>
      </c>
      <c r="C2" s="6"/>
    </row>
    <row r="3" ht="15.75" customHeight="1">
      <c r="A3" s="7" t="s">
        <v>2</v>
      </c>
      <c r="B3" s="5" t="s">
        <v>4</v>
      </c>
    </row>
    <row r="4">
      <c r="A4" s="8" t="s">
        <v>2</v>
      </c>
      <c r="B4" s="5" t="s">
        <v>5</v>
      </c>
    </row>
    <row r="5">
      <c r="A5" s="9" t="s">
        <v>2</v>
      </c>
      <c r="B5" s="5" t="s">
        <v>6</v>
      </c>
    </row>
    <row r="6">
      <c r="D6" s="10"/>
    </row>
    <row r="7">
      <c r="A7" s="11" t="s">
        <v>7</v>
      </c>
      <c r="B7" s="5" t="s">
        <v>8</v>
      </c>
    </row>
    <row r="8">
      <c r="A8" s="12" t="s">
        <v>7</v>
      </c>
      <c r="B8" s="5" t="s">
        <v>9</v>
      </c>
    </row>
    <row r="9">
      <c r="A9" s="13" t="s">
        <v>7</v>
      </c>
      <c r="B9" s="5" t="s">
        <v>10</v>
      </c>
    </row>
    <row r="10">
      <c r="A10" s="12" t="s">
        <v>11</v>
      </c>
      <c r="B10" s="5" t="s">
        <v>12</v>
      </c>
    </row>
    <row r="11">
      <c r="A11" s="14" t="s">
        <v>7</v>
      </c>
      <c r="B11" s="10" t="s">
        <v>13</v>
      </c>
    </row>
    <row r="12">
      <c r="A12" s="15"/>
      <c r="B12" s="10" t="s">
        <v>14</v>
      </c>
    </row>
    <row r="13">
      <c r="A13" s="16" t="s">
        <v>15</v>
      </c>
      <c r="B13" s="17" t="s">
        <v>16</v>
      </c>
      <c r="D13" s="10"/>
      <c r="F13" s="17"/>
    </row>
    <row r="14">
      <c r="A14" s="7"/>
      <c r="D14" s="10"/>
      <c r="F14" s="17" t="s">
        <v>0</v>
      </c>
    </row>
    <row r="15">
      <c r="A15" s="16" t="s">
        <v>17</v>
      </c>
      <c r="D15" s="10"/>
      <c r="F15" s="17"/>
    </row>
    <row r="16">
      <c r="A16" s="16" t="s">
        <v>18</v>
      </c>
      <c r="B16" s="17" t="s">
        <v>19</v>
      </c>
      <c r="D16" s="10"/>
      <c r="F16" s="17"/>
    </row>
    <row r="17">
      <c r="A17" s="16" t="s">
        <v>20</v>
      </c>
      <c r="B17" s="17" t="s">
        <v>21</v>
      </c>
      <c r="D17" s="10"/>
      <c r="F17" s="17"/>
    </row>
    <row r="18">
      <c r="A18" s="16" t="s">
        <v>22</v>
      </c>
      <c r="B18" s="17" t="s">
        <v>23</v>
      </c>
      <c r="D18" s="10"/>
      <c r="F18" s="17"/>
    </row>
    <row r="19">
      <c r="A19" s="16" t="s">
        <v>24</v>
      </c>
      <c r="B19" s="17" t="s">
        <v>25</v>
      </c>
      <c r="D19" s="10"/>
      <c r="F19" s="17"/>
    </row>
    <row r="20">
      <c r="A20" s="16" t="s">
        <v>26</v>
      </c>
      <c r="B20" s="17" t="s">
        <v>27</v>
      </c>
      <c r="D20" s="10"/>
      <c r="F20" s="17"/>
    </row>
    <row r="21">
      <c r="A21" s="16" t="s">
        <v>28</v>
      </c>
      <c r="B21" s="17" t="s">
        <v>29</v>
      </c>
      <c r="D21" s="10"/>
      <c r="F21" s="17"/>
    </row>
    <row r="22">
      <c r="A22" s="7"/>
      <c r="D22" s="10"/>
      <c r="F22" s="17"/>
    </row>
    <row r="23">
      <c r="A23" s="16" t="s">
        <v>30</v>
      </c>
      <c r="B23" s="18"/>
    </row>
    <row r="24">
      <c r="A24" s="7" t="s">
        <v>31</v>
      </c>
      <c r="B24" s="19" t="s">
        <v>32</v>
      </c>
    </row>
    <row r="25">
      <c r="A25" s="7" t="s">
        <v>33</v>
      </c>
      <c r="B25" s="19" t="s">
        <v>34</v>
      </c>
    </row>
    <row r="26">
      <c r="A26" s="7" t="s">
        <v>35</v>
      </c>
      <c r="B26" s="19" t="s">
        <v>36</v>
      </c>
    </row>
    <row r="27">
      <c r="A27" s="7" t="s">
        <v>37</v>
      </c>
      <c r="B27" s="19" t="s">
        <v>38</v>
      </c>
    </row>
    <row r="28">
      <c r="A28" s="7" t="s">
        <v>39</v>
      </c>
      <c r="B28" s="19" t="s">
        <v>40</v>
      </c>
    </row>
    <row r="29">
      <c r="A29" s="7" t="s">
        <v>41</v>
      </c>
      <c r="B29" s="19" t="s">
        <v>42</v>
      </c>
    </row>
    <row r="30">
      <c r="D30" s="10"/>
    </row>
    <row r="31">
      <c r="A31" s="17" t="s">
        <v>43</v>
      </c>
      <c r="D31" s="10"/>
    </row>
    <row r="32">
      <c r="A32" s="17" t="s">
        <v>44</v>
      </c>
      <c r="B32" s="17" t="s">
        <v>45</v>
      </c>
      <c r="D32" s="10"/>
    </row>
    <row r="33">
      <c r="A33" s="17" t="s">
        <v>46</v>
      </c>
      <c r="B33" s="17" t="s">
        <v>47</v>
      </c>
      <c r="D33" s="10"/>
    </row>
    <row r="34">
      <c r="A34" s="17" t="s">
        <v>48</v>
      </c>
      <c r="B34" s="17" t="s">
        <v>49</v>
      </c>
      <c r="D34" s="10"/>
    </row>
    <row r="35">
      <c r="A35" s="17" t="s">
        <v>50</v>
      </c>
      <c r="B35" s="17" t="s">
        <v>51</v>
      </c>
      <c r="D35" s="10"/>
    </row>
    <row r="36">
      <c r="A36" s="17" t="s">
        <v>52</v>
      </c>
      <c r="B36" s="17" t="s">
        <v>53</v>
      </c>
      <c r="D36" s="10"/>
    </row>
    <row r="37">
      <c r="A37" s="17" t="s">
        <v>54</v>
      </c>
      <c r="B37" s="17" t="s">
        <v>55</v>
      </c>
      <c r="D37" s="10"/>
    </row>
    <row r="38">
      <c r="A38" s="17" t="s">
        <v>56</v>
      </c>
      <c r="B38" s="17" t="s">
        <v>57</v>
      </c>
      <c r="D38" s="10"/>
    </row>
    <row r="39">
      <c r="A39" s="17" t="s">
        <v>58</v>
      </c>
      <c r="B39" s="17" t="s">
        <v>59</v>
      </c>
      <c r="D39" s="10"/>
    </row>
    <row r="40">
      <c r="A40" s="17" t="s">
        <v>60</v>
      </c>
      <c r="B40" s="17" t="s">
        <v>61</v>
      </c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A49" s="17" t="s">
        <v>62</v>
      </c>
      <c r="D49" s="10"/>
    </row>
    <row r="50">
      <c r="A50" s="20"/>
      <c r="B50" s="17" t="s">
        <v>63</v>
      </c>
      <c r="D50" s="10"/>
    </row>
    <row r="51">
      <c r="A51" s="21"/>
      <c r="B51" s="17" t="s">
        <v>64</v>
      </c>
      <c r="D51" s="10"/>
    </row>
    <row r="52">
      <c r="A52" s="22"/>
      <c r="B52" s="17" t="s">
        <v>65</v>
      </c>
      <c r="D52" s="10"/>
    </row>
    <row r="53">
      <c r="A53" s="23"/>
      <c r="B53" s="17" t="s">
        <v>66</v>
      </c>
      <c r="D53" s="10"/>
    </row>
    <row r="54">
      <c r="A54" s="15"/>
      <c r="B54" s="17" t="s">
        <v>67</v>
      </c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  <row r="1001">
      <c r="D1001" s="10"/>
    </row>
    <row r="1002">
      <c r="D1002" s="10"/>
    </row>
    <row r="1003">
      <c r="D1003" s="10"/>
    </row>
    <row r="1004">
      <c r="D1004" s="10"/>
    </row>
    <row r="1005">
      <c r="D1005" s="10"/>
    </row>
    <row r="1006">
      <c r="D1006" s="10"/>
    </row>
    <row r="1007">
      <c r="D1007" s="10"/>
    </row>
    <row r="1008">
      <c r="D1008" s="10"/>
    </row>
    <row r="1009">
      <c r="D1009" s="10"/>
    </row>
    <row r="1010">
      <c r="D1010" s="10"/>
    </row>
    <row r="1011">
      <c r="D1011" s="10"/>
    </row>
    <row r="1012">
      <c r="D1012" s="10"/>
    </row>
    <row r="1013">
      <c r="D1013" s="10"/>
    </row>
    <row r="1014">
      <c r="D1014" s="10"/>
    </row>
    <row r="1015">
      <c r="D1015" s="10"/>
    </row>
    <row r="1016">
      <c r="D1016" s="10"/>
    </row>
    <row r="1017">
      <c r="D1017" s="10"/>
    </row>
    <row r="1018">
      <c r="D1018" s="10"/>
    </row>
    <row r="1019">
      <c r="D1019" s="10"/>
    </row>
    <row r="1020">
      <c r="D1020" s="10"/>
    </row>
    <row r="1021">
      <c r="D1021" s="10"/>
    </row>
    <row r="1022">
      <c r="D1022" s="10"/>
    </row>
    <row r="1023">
      <c r="D1023" s="10"/>
    </row>
    <row r="1024">
      <c r="D1024" s="10"/>
    </row>
    <row r="1025">
      <c r="D1025" s="10"/>
    </row>
    <row r="1026">
      <c r="D1026" s="10"/>
    </row>
    <row r="1027">
      <c r="D1027" s="10"/>
    </row>
    <row r="1028">
      <c r="D1028" s="10"/>
    </row>
    <row r="1029">
      <c r="D1029" s="10"/>
    </row>
    <row r="1030">
      <c r="D1030" s="10"/>
    </row>
    <row r="1031">
      <c r="D103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0"/>
  <cols>
    <col customWidth="1" min="1" max="1" width="14.0"/>
    <col customWidth="1" min="2" max="2" width="7.71"/>
    <col customWidth="1" min="3" max="4" width="9.57"/>
    <col customWidth="1" min="5" max="5" width="10.43"/>
    <col customWidth="1" min="6" max="6" width="11.57"/>
    <col customWidth="1" min="7" max="7" width="10.86"/>
    <col customWidth="1" min="8" max="8" width="10.57"/>
    <col customWidth="1" min="9" max="9" width="9.0"/>
    <col customWidth="1" min="10" max="11" width="7.57"/>
    <col customWidth="1" min="12" max="12" width="8.86"/>
    <col customWidth="1" min="13" max="13" width="9.86"/>
    <col customWidth="1" min="14" max="14" width="8.29"/>
    <col customWidth="1" min="15" max="15" width="9.29"/>
    <col customWidth="1" min="16" max="16" width="8.29"/>
    <col customWidth="1" min="17" max="17" width="11.57"/>
    <col customWidth="1" min="18" max="18" width="15.57"/>
    <col customWidth="1" min="19" max="19" width="11.57"/>
    <col customWidth="1" min="20" max="20" width="16.43"/>
    <col customWidth="1" min="21" max="21" width="12.57"/>
    <col customWidth="1" min="22" max="22" width="16.29"/>
    <col customWidth="1" min="23" max="23" width="16.57"/>
    <col customWidth="1" min="24" max="24" width="14.14"/>
    <col customWidth="1" min="25" max="25" width="12.71"/>
    <col customWidth="1" min="26" max="26" width="20.43"/>
    <col customWidth="1" min="27" max="27" width="12.71"/>
    <col customWidth="1" min="28" max="28" width="14.86"/>
    <col customWidth="1" min="29" max="31" width="8.0"/>
    <col customWidth="1" min="32" max="32" width="8.29"/>
    <col customWidth="1" min="33" max="33" width="8.0"/>
    <col customWidth="1" min="34" max="34" width="8.29"/>
    <col customWidth="1" min="35" max="35" width="7.86"/>
    <col customWidth="1" min="36" max="37" width="8.29"/>
  </cols>
  <sheetData>
    <row r="1">
      <c r="A1" s="24" t="s">
        <v>68</v>
      </c>
      <c r="B1" s="24" t="s">
        <v>69</v>
      </c>
      <c r="C1" s="24" t="s">
        <v>70</v>
      </c>
      <c r="D1" s="24" t="s">
        <v>71</v>
      </c>
      <c r="E1" s="24" t="s">
        <v>72</v>
      </c>
      <c r="F1" s="24" t="s">
        <v>73</v>
      </c>
      <c r="G1" s="24" t="s">
        <v>74</v>
      </c>
      <c r="H1" s="24" t="s">
        <v>75</v>
      </c>
      <c r="I1" s="25" t="s">
        <v>76</v>
      </c>
      <c r="J1" s="26" t="s">
        <v>77</v>
      </c>
      <c r="K1" s="26" t="s">
        <v>78</v>
      </c>
      <c r="L1" s="26" t="s">
        <v>79</v>
      </c>
      <c r="M1" s="24" t="s">
        <v>80</v>
      </c>
      <c r="N1" s="24" t="s">
        <v>81</v>
      </c>
      <c r="O1" s="27" t="s">
        <v>82</v>
      </c>
      <c r="P1" s="24" t="s">
        <v>83</v>
      </c>
      <c r="Q1" s="28" t="s">
        <v>84</v>
      </c>
      <c r="R1" s="24" t="s">
        <v>85</v>
      </c>
      <c r="S1" s="24" t="s">
        <v>86</v>
      </c>
      <c r="T1" s="24" t="s">
        <v>87</v>
      </c>
      <c r="U1" s="29" t="s">
        <v>88</v>
      </c>
      <c r="V1" s="24" t="s">
        <v>89</v>
      </c>
      <c r="W1" s="24" t="s">
        <v>90</v>
      </c>
      <c r="X1" s="24" t="s">
        <v>91</v>
      </c>
      <c r="Y1" s="30" t="s">
        <v>92</v>
      </c>
      <c r="Z1" s="27" t="s">
        <v>93</v>
      </c>
      <c r="AA1" s="26" t="s">
        <v>94</v>
      </c>
      <c r="AB1" s="27" t="s">
        <v>95</v>
      </c>
      <c r="AC1" s="25">
        <v>2017.0</v>
      </c>
      <c r="AD1" s="24">
        <v>2018.0</v>
      </c>
      <c r="AE1" s="24">
        <v>2019.0</v>
      </c>
      <c r="AF1" s="24">
        <v>2020.0</v>
      </c>
      <c r="AG1" s="24">
        <v>2021.0</v>
      </c>
      <c r="AH1" s="24">
        <v>2022.0</v>
      </c>
      <c r="AI1" s="24">
        <v>2023.0</v>
      </c>
      <c r="AJ1" s="24">
        <v>2024.0</v>
      </c>
      <c r="AK1" s="24">
        <v>2025.0</v>
      </c>
    </row>
    <row r="2">
      <c r="A2" s="17" t="s">
        <v>96</v>
      </c>
      <c r="B2" s="17" t="s">
        <v>97</v>
      </c>
      <c r="I2" s="31" t="s">
        <v>98</v>
      </c>
      <c r="J2" s="32" t="s">
        <v>99</v>
      </c>
      <c r="K2" s="32">
        <v>164.3</v>
      </c>
      <c r="L2" s="33"/>
      <c r="M2" s="34"/>
      <c r="N2" s="34"/>
      <c r="O2" s="35" t="s">
        <v>100</v>
      </c>
      <c r="Q2" s="36" t="s">
        <v>100</v>
      </c>
      <c r="U2" s="37"/>
      <c r="Y2" s="38"/>
      <c r="Z2" s="39"/>
      <c r="AA2" s="33"/>
      <c r="AB2" s="39"/>
      <c r="AC2" s="40"/>
    </row>
    <row r="3">
      <c r="A3" s="17" t="s">
        <v>101</v>
      </c>
      <c r="B3" s="17" t="s">
        <v>97</v>
      </c>
      <c r="I3" s="31" t="s">
        <v>98</v>
      </c>
      <c r="J3" s="32" t="s">
        <v>102</v>
      </c>
      <c r="K3" s="32">
        <v>162.7</v>
      </c>
      <c r="L3" s="33"/>
      <c r="M3" s="34"/>
      <c r="N3" s="34"/>
      <c r="O3" s="35" t="s">
        <v>100</v>
      </c>
      <c r="Q3" s="36" t="s">
        <v>100</v>
      </c>
      <c r="U3" s="37"/>
      <c r="Y3" s="38"/>
      <c r="Z3" s="39"/>
      <c r="AA3" s="33"/>
      <c r="AB3" s="39"/>
      <c r="AC3" s="40"/>
    </row>
    <row r="4">
      <c r="A4" s="17" t="s">
        <v>103</v>
      </c>
      <c r="B4" s="17" t="s">
        <v>97</v>
      </c>
      <c r="I4" s="31" t="s">
        <v>98</v>
      </c>
      <c r="J4" s="32" t="s">
        <v>104</v>
      </c>
      <c r="K4" s="32">
        <v>160.5</v>
      </c>
      <c r="L4" s="33"/>
      <c r="M4" s="34"/>
      <c r="N4" s="34"/>
      <c r="O4" s="35" t="s">
        <v>100</v>
      </c>
      <c r="Q4" s="36" t="s">
        <v>100</v>
      </c>
      <c r="U4" s="37"/>
      <c r="Y4" s="38"/>
      <c r="Z4" s="39"/>
      <c r="AA4" s="33"/>
      <c r="AB4" s="39"/>
      <c r="AC4" s="40"/>
    </row>
    <row r="5">
      <c r="A5" s="17" t="s">
        <v>105</v>
      </c>
      <c r="B5" s="17" t="s">
        <v>97</v>
      </c>
      <c r="I5" s="31" t="s">
        <v>98</v>
      </c>
      <c r="J5" s="32" t="s">
        <v>106</v>
      </c>
      <c r="K5" s="32">
        <v>158.6</v>
      </c>
      <c r="L5" s="33"/>
      <c r="M5" s="34"/>
      <c r="N5" s="34"/>
      <c r="O5" s="35" t="s">
        <v>100</v>
      </c>
      <c r="Q5" s="36" t="s">
        <v>100</v>
      </c>
      <c r="U5" s="37"/>
      <c r="Y5" s="38"/>
      <c r="Z5" s="39"/>
      <c r="AA5" s="33"/>
      <c r="AB5" s="39"/>
      <c r="AC5" s="40"/>
      <c r="AD5" s="41" t="s">
        <v>107</v>
      </c>
    </row>
    <row r="6">
      <c r="A6" s="17" t="s">
        <v>108</v>
      </c>
      <c r="B6" s="17" t="s">
        <v>97</v>
      </c>
      <c r="I6" s="31" t="s">
        <v>98</v>
      </c>
      <c r="J6" s="32" t="s">
        <v>109</v>
      </c>
      <c r="K6" s="32">
        <v>156.6</v>
      </c>
      <c r="L6" s="33"/>
      <c r="M6" s="34"/>
      <c r="N6" s="34"/>
      <c r="O6" s="35" t="s">
        <v>100</v>
      </c>
      <c r="Q6" s="36" t="s">
        <v>100</v>
      </c>
      <c r="U6" s="37"/>
      <c r="Y6" s="38"/>
      <c r="Z6" s="39"/>
      <c r="AA6" s="33"/>
      <c r="AB6" s="39"/>
      <c r="AC6" s="40"/>
    </row>
    <row r="7">
      <c r="A7" s="17" t="s">
        <v>110</v>
      </c>
      <c r="B7" s="17" t="s">
        <v>97</v>
      </c>
      <c r="I7" s="31" t="s">
        <v>98</v>
      </c>
      <c r="J7" s="32" t="s">
        <v>111</v>
      </c>
      <c r="K7" s="32">
        <v>176.4</v>
      </c>
      <c r="L7" s="33"/>
      <c r="M7" s="34"/>
      <c r="N7" s="34"/>
      <c r="O7" s="35" t="s">
        <v>100</v>
      </c>
      <c r="Q7" s="36" t="s">
        <v>100</v>
      </c>
      <c r="U7" s="37"/>
      <c r="Y7" s="38"/>
      <c r="Z7" s="39"/>
      <c r="AA7" s="33"/>
      <c r="AB7" s="39"/>
      <c r="AC7" s="40"/>
      <c r="AE7" s="41" t="s">
        <v>107</v>
      </c>
    </row>
    <row r="8">
      <c r="A8" s="17" t="s">
        <v>112</v>
      </c>
      <c r="B8" s="17"/>
      <c r="I8" s="31" t="s">
        <v>98</v>
      </c>
      <c r="J8" s="32"/>
      <c r="K8" s="32"/>
      <c r="L8" s="33"/>
      <c r="M8" s="34"/>
      <c r="N8" s="34"/>
      <c r="O8" s="35" t="s">
        <v>100</v>
      </c>
      <c r="Q8" s="36" t="s">
        <v>100</v>
      </c>
      <c r="U8" s="37"/>
      <c r="Y8" s="38"/>
      <c r="Z8" s="39"/>
      <c r="AA8" s="33"/>
      <c r="AB8" s="39"/>
      <c r="AC8" s="40"/>
      <c r="AD8" s="41" t="s">
        <v>107</v>
      </c>
    </row>
    <row r="9">
      <c r="A9" s="17" t="s">
        <v>113</v>
      </c>
      <c r="B9" s="17" t="s">
        <v>97</v>
      </c>
      <c r="I9" s="31" t="s">
        <v>98</v>
      </c>
      <c r="J9" s="32" t="s">
        <v>114</v>
      </c>
      <c r="K9" s="32">
        <v>174.7</v>
      </c>
      <c r="L9" s="33"/>
      <c r="M9" s="34"/>
      <c r="N9" s="34"/>
      <c r="O9" s="35" t="s">
        <v>100</v>
      </c>
      <c r="Q9" s="36" t="s">
        <v>100</v>
      </c>
      <c r="U9" s="37"/>
      <c r="Y9" s="38"/>
      <c r="Z9" s="39"/>
      <c r="AA9" s="33"/>
      <c r="AB9" s="39"/>
      <c r="AC9" s="40"/>
      <c r="AD9" s="41" t="s">
        <v>107</v>
      </c>
    </row>
    <row r="10">
      <c r="A10" s="17" t="s">
        <v>115</v>
      </c>
      <c r="B10" s="17" t="s">
        <v>97</v>
      </c>
      <c r="I10" s="31" t="s">
        <v>98</v>
      </c>
      <c r="J10" s="32" t="s">
        <v>116</v>
      </c>
      <c r="K10" s="32">
        <v>166.1</v>
      </c>
      <c r="L10" s="33"/>
      <c r="M10" s="34"/>
      <c r="N10" s="34"/>
      <c r="O10" s="35" t="s">
        <v>100</v>
      </c>
      <c r="Q10" s="36" t="s">
        <v>100</v>
      </c>
      <c r="U10" s="37"/>
      <c r="Y10" s="38"/>
      <c r="Z10" s="39"/>
      <c r="AA10" s="33"/>
      <c r="AB10" s="39"/>
      <c r="AC10" s="40"/>
    </row>
    <row r="11">
      <c r="A11" s="17" t="s">
        <v>117</v>
      </c>
      <c r="B11" s="17" t="s">
        <v>97</v>
      </c>
      <c r="I11" s="31" t="s">
        <v>98</v>
      </c>
      <c r="J11" s="32" t="s">
        <v>118</v>
      </c>
      <c r="K11" s="32">
        <v>172.7</v>
      </c>
      <c r="L11" s="33"/>
      <c r="M11" s="34"/>
      <c r="N11" s="34"/>
      <c r="O11" s="35" t="s">
        <v>100</v>
      </c>
      <c r="Q11" s="36" t="s">
        <v>100</v>
      </c>
      <c r="U11" s="37"/>
      <c r="Y11" s="38"/>
      <c r="Z11" s="39"/>
      <c r="AA11" s="33"/>
      <c r="AB11" s="39"/>
      <c r="AC11" s="40"/>
      <c r="AD11" s="41" t="s">
        <v>107</v>
      </c>
    </row>
    <row r="12">
      <c r="A12" s="17" t="s">
        <v>119</v>
      </c>
      <c r="B12" s="17" t="s">
        <v>97</v>
      </c>
      <c r="I12" s="31" t="s">
        <v>98</v>
      </c>
      <c r="J12" s="32" t="s">
        <v>120</v>
      </c>
      <c r="K12" s="32">
        <v>170.5</v>
      </c>
      <c r="L12" s="33"/>
      <c r="M12" s="34"/>
      <c r="N12" s="34"/>
      <c r="O12" s="35" t="s">
        <v>100</v>
      </c>
      <c r="Q12" s="36" t="s">
        <v>100</v>
      </c>
      <c r="U12" s="37"/>
      <c r="Y12" s="38"/>
      <c r="Z12" s="39"/>
      <c r="AA12" s="33"/>
      <c r="AB12" s="39"/>
      <c r="AC12" s="40"/>
    </row>
    <row r="13">
      <c r="A13" s="17" t="s">
        <v>121</v>
      </c>
      <c r="B13" s="17" t="s">
        <v>97</v>
      </c>
      <c r="I13" s="31" t="s">
        <v>98</v>
      </c>
      <c r="J13" s="32" t="s">
        <v>122</v>
      </c>
      <c r="K13" s="32">
        <v>168.2</v>
      </c>
      <c r="L13" s="33"/>
      <c r="M13" s="34"/>
      <c r="N13" s="34"/>
      <c r="O13" s="35" t="s">
        <v>100</v>
      </c>
      <c r="Q13" s="36" t="s">
        <v>100</v>
      </c>
      <c r="U13" s="37"/>
      <c r="Y13" s="38"/>
      <c r="Z13" s="39"/>
      <c r="AA13" s="33"/>
      <c r="AB13" s="39"/>
      <c r="AC13" s="40"/>
    </row>
    <row r="14">
      <c r="A14" s="17" t="s">
        <v>123</v>
      </c>
      <c r="B14" s="17" t="s">
        <v>97</v>
      </c>
      <c r="C14" s="17" t="s">
        <v>124</v>
      </c>
      <c r="G14" s="17" t="s">
        <v>97</v>
      </c>
      <c r="H14" s="17" t="s">
        <v>97</v>
      </c>
      <c r="I14" s="31" t="s">
        <v>125</v>
      </c>
      <c r="J14" s="32" t="s">
        <v>126</v>
      </c>
      <c r="K14" s="32">
        <v>100.5</v>
      </c>
      <c r="L14" s="33"/>
      <c r="M14" s="34"/>
      <c r="N14" s="34"/>
      <c r="O14" s="35" t="s">
        <v>100</v>
      </c>
      <c r="Q14" s="36" t="s">
        <v>100</v>
      </c>
      <c r="R14" s="17"/>
      <c r="S14" s="17"/>
      <c r="T14" s="17"/>
      <c r="U14" s="42"/>
      <c r="V14" s="17"/>
      <c r="W14" s="17"/>
      <c r="X14" s="17" t="s">
        <v>127</v>
      </c>
      <c r="Y14" s="38"/>
      <c r="Z14" s="39"/>
      <c r="AA14" s="33"/>
      <c r="AB14" s="39"/>
      <c r="AC14" s="43" t="s">
        <v>107</v>
      </c>
      <c r="AD14" s="44" t="s">
        <v>107</v>
      </c>
      <c r="AE14" s="44" t="s">
        <v>107</v>
      </c>
      <c r="AF14" s="45" t="s">
        <v>107</v>
      </c>
    </row>
    <row r="15">
      <c r="A15" s="17" t="s">
        <v>128</v>
      </c>
      <c r="B15" s="17" t="s">
        <v>97</v>
      </c>
      <c r="C15" s="17" t="s">
        <v>129</v>
      </c>
      <c r="G15" s="17" t="s">
        <v>97</v>
      </c>
      <c r="I15" s="31" t="s">
        <v>125</v>
      </c>
      <c r="J15" s="32" t="s">
        <v>130</v>
      </c>
      <c r="K15" s="32">
        <v>97.6</v>
      </c>
      <c r="L15" s="33"/>
      <c r="M15" s="34"/>
      <c r="N15" s="34"/>
      <c r="O15" s="35" t="s">
        <v>100</v>
      </c>
      <c r="Q15" s="36" t="s">
        <v>100</v>
      </c>
      <c r="U15" s="37"/>
      <c r="Y15" s="38"/>
      <c r="Z15" s="39"/>
      <c r="AA15" s="33"/>
      <c r="AB15" s="39"/>
      <c r="AC15" s="40"/>
      <c r="AD15" s="45" t="s">
        <v>107</v>
      </c>
    </row>
    <row r="16">
      <c r="A16" s="17" t="s">
        <v>131</v>
      </c>
      <c r="B16" s="17" t="s">
        <v>97</v>
      </c>
      <c r="C16" s="17" t="s">
        <v>129</v>
      </c>
      <c r="G16" s="17" t="s">
        <v>97</v>
      </c>
      <c r="I16" s="31" t="s">
        <v>125</v>
      </c>
      <c r="J16" s="32" t="s">
        <v>132</v>
      </c>
      <c r="K16" s="32">
        <v>99.0</v>
      </c>
      <c r="L16" s="33"/>
      <c r="M16" s="34"/>
      <c r="N16" s="34"/>
      <c r="O16" s="35" t="s">
        <v>100</v>
      </c>
      <c r="Q16" s="36" t="s">
        <v>100</v>
      </c>
      <c r="U16" s="37"/>
      <c r="Y16" s="38"/>
      <c r="Z16" s="39"/>
      <c r="AA16" s="33"/>
      <c r="AB16" s="39"/>
      <c r="AC16" s="40"/>
      <c r="AD16" s="44" t="s">
        <v>107</v>
      </c>
    </row>
    <row r="17">
      <c r="A17" s="17" t="s">
        <v>133</v>
      </c>
      <c r="B17" s="17" t="s">
        <v>97</v>
      </c>
      <c r="G17" s="17" t="s">
        <v>97</v>
      </c>
      <c r="I17" s="31" t="s">
        <v>125</v>
      </c>
      <c r="J17" s="32" t="s">
        <v>134</v>
      </c>
      <c r="K17" s="32">
        <v>94.9</v>
      </c>
      <c r="L17" s="33"/>
      <c r="M17" s="34"/>
      <c r="N17" s="34"/>
      <c r="O17" s="35" t="s">
        <v>100</v>
      </c>
      <c r="Q17" s="36" t="s">
        <v>100</v>
      </c>
      <c r="U17" s="37"/>
      <c r="Y17" s="38"/>
      <c r="Z17" s="39"/>
      <c r="AA17" s="33"/>
      <c r="AB17" s="39"/>
      <c r="AC17" s="40"/>
      <c r="AD17" s="45" t="s">
        <v>107</v>
      </c>
    </row>
    <row r="18">
      <c r="A18" s="17" t="s">
        <v>135</v>
      </c>
      <c r="B18" s="17" t="s">
        <v>97</v>
      </c>
      <c r="C18" s="17" t="s">
        <v>129</v>
      </c>
      <c r="I18" s="31" t="s">
        <v>125</v>
      </c>
      <c r="J18" s="32" t="s">
        <v>136</v>
      </c>
      <c r="K18" s="32">
        <v>92.7</v>
      </c>
      <c r="L18" s="32">
        <v>3.9</v>
      </c>
      <c r="M18" s="34"/>
      <c r="N18" s="34"/>
      <c r="O18" s="35" t="s">
        <v>100</v>
      </c>
      <c r="Q18" s="36" t="s">
        <v>100</v>
      </c>
      <c r="R18" s="17"/>
      <c r="S18" s="17"/>
      <c r="T18" s="17"/>
      <c r="U18" s="42"/>
      <c r="V18" s="17"/>
      <c r="W18" s="17"/>
      <c r="X18" s="17" t="s">
        <v>137</v>
      </c>
      <c r="Y18" s="38"/>
      <c r="Z18" s="39"/>
      <c r="AA18" s="33"/>
      <c r="AB18" s="39"/>
      <c r="AC18" s="40"/>
    </row>
    <row r="19">
      <c r="A19" s="17" t="s">
        <v>138</v>
      </c>
      <c r="B19" s="17" t="s">
        <v>97</v>
      </c>
      <c r="C19" s="17" t="s">
        <v>124</v>
      </c>
      <c r="G19" s="17" t="s">
        <v>124</v>
      </c>
      <c r="I19" s="31" t="s">
        <v>125</v>
      </c>
      <c r="J19" s="32" t="s">
        <v>139</v>
      </c>
      <c r="K19" s="32">
        <v>80.7</v>
      </c>
      <c r="L19" s="32">
        <v>3.0</v>
      </c>
      <c r="M19" s="17" t="s">
        <v>100</v>
      </c>
      <c r="N19" s="17" t="s">
        <v>100</v>
      </c>
      <c r="O19" s="35" t="s">
        <v>100</v>
      </c>
      <c r="Q19" s="36" t="s">
        <v>100</v>
      </c>
      <c r="R19" s="17"/>
      <c r="S19" s="17"/>
      <c r="T19" s="17"/>
      <c r="U19" s="42"/>
      <c r="V19" s="17"/>
      <c r="W19" s="17"/>
      <c r="X19" s="17" t="s">
        <v>140</v>
      </c>
      <c r="Y19" s="38"/>
      <c r="Z19" s="39"/>
      <c r="AA19" s="33"/>
      <c r="AB19" s="39"/>
      <c r="AC19" s="40"/>
      <c r="AD19" s="44" t="s">
        <v>107</v>
      </c>
      <c r="AE19" s="44" t="s">
        <v>107</v>
      </c>
      <c r="AF19" s="44" t="s">
        <v>107</v>
      </c>
      <c r="AG19" s="44" t="s">
        <v>107</v>
      </c>
      <c r="AI19" s="44" t="s">
        <v>107</v>
      </c>
      <c r="AJ19" s="46"/>
    </row>
    <row r="20">
      <c r="A20" s="17" t="s">
        <v>141</v>
      </c>
      <c r="B20" s="17" t="s">
        <v>97</v>
      </c>
      <c r="C20" s="17" t="s">
        <v>124</v>
      </c>
      <c r="G20" s="17" t="s">
        <v>124</v>
      </c>
      <c r="I20" s="31" t="s">
        <v>125</v>
      </c>
      <c r="J20" s="32" t="s">
        <v>142</v>
      </c>
      <c r="K20" s="32">
        <v>79.1</v>
      </c>
      <c r="L20" s="32">
        <v>1.7</v>
      </c>
      <c r="M20" s="17" t="s">
        <v>100</v>
      </c>
      <c r="N20" s="17" t="s">
        <v>100</v>
      </c>
      <c r="O20" s="35" t="s">
        <v>100</v>
      </c>
      <c r="Q20" s="36" t="s">
        <v>100</v>
      </c>
      <c r="R20" s="17"/>
      <c r="S20" s="17"/>
      <c r="T20" s="17"/>
      <c r="U20" s="42"/>
      <c r="V20" s="17"/>
      <c r="W20" s="17"/>
      <c r="X20" s="17" t="s">
        <v>143</v>
      </c>
      <c r="Y20" s="38"/>
      <c r="Z20" s="39"/>
      <c r="AA20" s="33"/>
      <c r="AB20" s="39"/>
      <c r="AC20" s="40"/>
      <c r="AD20" s="41" t="s">
        <v>107</v>
      </c>
      <c r="AE20" s="44" t="s">
        <v>107</v>
      </c>
      <c r="AF20" s="44" t="s">
        <v>107</v>
      </c>
      <c r="AG20" s="44" t="s">
        <v>107</v>
      </c>
      <c r="AI20" s="44" t="s">
        <v>107</v>
      </c>
      <c r="AJ20" s="46"/>
    </row>
    <row r="21">
      <c r="A21" s="17" t="s">
        <v>144</v>
      </c>
      <c r="B21" s="17" t="s">
        <v>97</v>
      </c>
      <c r="C21" s="17" t="s">
        <v>124</v>
      </c>
      <c r="G21" s="17" t="s">
        <v>124</v>
      </c>
      <c r="I21" s="31" t="s">
        <v>125</v>
      </c>
      <c r="J21" s="32" t="s">
        <v>145</v>
      </c>
      <c r="K21" s="32">
        <v>77.7</v>
      </c>
      <c r="L21" s="32">
        <v>3.3</v>
      </c>
      <c r="M21" s="17" t="s">
        <v>100</v>
      </c>
      <c r="N21" s="17" t="s">
        <v>100</v>
      </c>
      <c r="O21" s="35" t="s">
        <v>100</v>
      </c>
      <c r="Q21" s="36" t="s">
        <v>100</v>
      </c>
      <c r="R21" s="17"/>
      <c r="S21" s="17"/>
      <c r="T21" s="17"/>
      <c r="U21" s="42"/>
      <c r="V21" s="17"/>
      <c r="W21" s="17"/>
      <c r="X21" s="17" t="s">
        <v>140</v>
      </c>
      <c r="Y21" s="38"/>
      <c r="Z21" s="39"/>
      <c r="AA21" s="33"/>
      <c r="AB21" s="39"/>
      <c r="AC21" s="40"/>
      <c r="AD21" s="44" t="s">
        <v>107</v>
      </c>
      <c r="AE21" s="44" t="s">
        <v>107</v>
      </c>
      <c r="AF21" s="44" t="s">
        <v>107</v>
      </c>
      <c r="AG21" s="44" t="s">
        <v>107</v>
      </c>
      <c r="AI21" s="44" t="s">
        <v>107</v>
      </c>
      <c r="AJ21" s="46"/>
    </row>
    <row r="22">
      <c r="A22" s="17" t="s">
        <v>146</v>
      </c>
      <c r="B22" s="17" t="s">
        <v>97</v>
      </c>
      <c r="C22" s="17" t="s">
        <v>124</v>
      </c>
      <c r="G22" s="17" t="s">
        <v>124</v>
      </c>
      <c r="I22" s="31" t="s">
        <v>125</v>
      </c>
      <c r="J22" s="32" t="s">
        <v>147</v>
      </c>
      <c r="K22" s="32">
        <v>75.8</v>
      </c>
      <c r="L22" s="32">
        <v>2.3</v>
      </c>
      <c r="M22" s="17" t="s">
        <v>100</v>
      </c>
      <c r="N22" s="17" t="s">
        <v>100</v>
      </c>
      <c r="O22" s="35" t="s">
        <v>100</v>
      </c>
      <c r="Q22" s="36" t="s">
        <v>100</v>
      </c>
      <c r="R22" s="17"/>
      <c r="S22" s="17"/>
      <c r="T22" s="17"/>
      <c r="U22" s="42"/>
      <c r="V22" s="17"/>
      <c r="W22" s="17"/>
      <c r="X22" s="17" t="s">
        <v>148</v>
      </c>
      <c r="Y22" s="38"/>
      <c r="Z22" s="39"/>
      <c r="AA22" s="33"/>
      <c r="AB22" s="39"/>
      <c r="AC22" s="40"/>
      <c r="AD22" s="44" t="s">
        <v>107</v>
      </c>
      <c r="AE22" s="44" t="s">
        <v>107</v>
      </c>
      <c r="AF22" s="44" t="s">
        <v>107</v>
      </c>
      <c r="AG22" s="44" t="s">
        <v>107</v>
      </c>
      <c r="AI22" s="44" t="s">
        <v>107</v>
      </c>
      <c r="AJ22" s="46"/>
    </row>
    <row r="23">
      <c r="A23" s="17" t="s">
        <v>149</v>
      </c>
      <c r="B23" s="17" t="s">
        <v>97</v>
      </c>
      <c r="C23" s="17" t="s">
        <v>124</v>
      </c>
      <c r="G23" s="17" t="s">
        <v>124</v>
      </c>
      <c r="I23" s="31" t="s">
        <v>125</v>
      </c>
      <c r="J23" s="32" t="s">
        <v>150</v>
      </c>
      <c r="K23" s="32">
        <v>74.7</v>
      </c>
      <c r="L23" s="32">
        <v>0.9</v>
      </c>
      <c r="M23" s="17" t="s">
        <v>100</v>
      </c>
      <c r="N23" s="17" t="s">
        <v>100</v>
      </c>
      <c r="O23" s="35" t="s">
        <v>100</v>
      </c>
      <c r="Q23" s="36" t="s">
        <v>100</v>
      </c>
      <c r="R23" s="17"/>
      <c r="S23" s="17"/>
      <c r="T23" s="17"/>
      <c r="U23" s="42"/>
      <c r="V23" s="17"/>
      <c r="W23" s="17"/>
      <c r="X23" s="17" t="s">
        <v>148</v>
      </c>
      <c r="Y23" s="47"/>
      <c r="AA23" s="33"/>
      <c r="AB23" s="39"/>
      <c r="AC23" s="40"/>
      <c r="AD23" s="44" t="s">
        <v>107</v>
      </c>
      <c r="AE23" s="41" t="s">
        <v>107</v>
      </c>
      <c r="AF23" s="44" t="s">
        <v>107</v>
      </c>
      <c r="AG23" s="44" t="s">
        <v>107</v>
      </c>
      <c r="AI23" s="44" t="s">
        <v>107</v>
      </c>
      <c r="AJ23" s="46"/>
    </row>
    <row r="24">
      <c r="A24" s="17" t="s">
        <v>151</v>
      </c>
      <c r="B24" s="17" t="s">
        <v>97</v>
      </c>
      <c r="C24" s="17" t="s">
        <v>129</v>
      </c>
      <c r="G24" s="17" t="s">
        <v>97</v>
      </c>
      <c r="I24" s="31" t="s">
        <v>125</v>
      </c>
      <c r="J24" s="32" t="s">
        <v>152</v>
      </c>
      <c r="K24" s="32">
        <v>90.8</v>
      </c>
      <c r="L24" s="32">
        <v>3.8</v>
      </c>
      <c r="M24" s="34"/>
      <c r="N24" s="34"/>
      <c r="O24" s="35" t="s">
        <v>100</v>
      </c>
      <c r="Q24" s="36" t="s">
        <v>100</v>
      </c>
      <c r="R24" s="17"/>
      <c r="S24" s="17"/>
      <c r="T24" s="17"/>
      <c r="U24" s="42"/>
      <c r="V24" s="17"/>
      <c r="W24" s="17"/>
      <c r="X24" s="17" t="s">
        <v>137</v>
      </c>
      <c r="Y24" s="38"/>
      <c r="Z24" s="39"/>
      <c r="AA24" s="33"/>
      <c r="AB24" s="39"/>
      <c r="AC24" s="40"/>
      <c r="AD24" s="44" t="s">
        <v>107</v>
      </c>
    </row>
    <row r="25">
      <c r="A25" s="17" t="s">
        <v>153</v>
      </c>
      <c r="B25" s="17" t="s">
        <v>97</v>
      </c>
      <c r="C25" s="17" t="s">
        <v>129</v>
      </c>
      <c r="G25" s="17" t="s">
        <v>97</v>
      </c>
      <c r="I25" s="31" t="s">
        <v>125</v>
      </c>
      <c r="J25" s="32" t="s">
        <v>154</v>
      </c>
      <c r="K25" s="32">
        <v>85.6</v>
      </c>
      <c r="L25" s="32">
        <v>3.2</v>
      </c>
      <c r="M25" s="34"/>
      <c r="N25" s="34"/>
      <c r="O25" s="35" t="s">
        <v>100</v>
      </c>
      <c r="Q25" s="36" t="s">
        <v>100</v>
      </c>
      <c r="R25" s="17"/>
      <c r="S25" s="17"/>
      <c r="T25" s="17"/>
      <c r="U25" s="42"/>
      <c r="V25" s="17"/>
      <c r="W25" s="17"/>
      <c r="X25" s="17" t="s">
        <v>137</v>
      </c>
      <c r="Y25" s="38"/>
      <c r="Z25" s="39"/>
      <c r="AA25" s="33"/>
      <c r="AB25" s="39"/>
      <c r="AC25" s="40"/>
      <c r="AD25" s="44" t="s">
        <v>107</v>
      </c>
      <c r="AE25" s="44" t="s">
        <v>107</v>
      </c>
      <c r="AF25" s="45" t="s">
        <v>107</v>
      </c>
    </row>
    <row r="26">
      <c r="A26" s="17" t="s">
        <v>155</v>
      </c>
      <c r="B26" s="17" t="s">
        <v>97</v>
      </c>
      <c r="I26" s="31" t="s">
        <v>125</v>
      </c>
      <c r="J26" s="32" t="s">
        <v>156</v>
      </c>
      <c r="K26" s="32">
        <v>87.2</v>
      </c>
      <c r="L26" s="33"/>
      <c r="M26" s="34"/>
      <c r="N26" s="34"/>
      <c r="O26" s="35" t="s">
        <v>100</v>
      </c>
      <c r="Q26" s="36" t="s">
        <v>100</v>
      </c>
      <c r="R26" s="17"/>
      <c r="S26" s="17"/>
      <c r="T26" s="17"/>
      <c r="U26" s="42"/>
      <c r="V26" s="17"/>
      <c r="W26" s="17"/>
      <c r="X26" s="17" t="s">
        <v>157</v>
      </c>
      <c r="Y26" s="38"/>
      <c r="Z26" s="39"/>
      <c r="AA26" s="33"/>
      <c r="AB26" s="39"/>
      <c r="AC26" s="40"/>
      <c r="AD26" s="41" t="s">
        <v>107</v>
      </c>
    </row>
    <row r="27">
      <c r="A27" s="17" t="s">
        <v>158</v>
      </c>
      <c r="B27" s="17" t="s">
        <v>97</v>
      </c>
      <c r="C27" s="17" t="s">
        <v>129</v>
      </c>
      <c r="G27" s="17" t="s">
        <v>97</v>
      </c>
      <c r="I27" s="31" t="s">
        <v>125</v>
      </c>
      <c r="J27" s="32" t="s">
        <v>159</v>
      </c>
      <c r="K27" s="32">
        <v>84.0</v>
      </c>
      <c r="L27" s="32">
        <v>4.8</v>
      </c>
      <c r="M27" s="34"/>
      <c r="N27" s="34"/>
      <c r="O27" s="35" t="s">
        <v>100</v>
      </c>
      <c r="Q27" s="36" t="s">
        <v>100</v>
      </c>
      <c r="R27" s="17"/>
      <c r="S27" s="17"/>
      <c r="T27" s="17"/>
      <c r="U27" s="42"/>
      <c r="V27" s="17"/>
      <c r="W27" s="17"/>
      <c r="X27" s="17" t="s">
        <v>137</v>
      </c>
      <c r="Y27" s="38"/>
      <c r="Z27" s="39"/>
      <c r="AA27" s="33"/>
      <c r="AB27" s="39"/>
      <c r="AC27" s="40"/>
      <c r="AD27" s="44" t="s">
        <v>107</v>
      </c>
    </row>
    <row r="28">
      <c r="A28" s="17" t="s">
        <v>160</v>
      </c>
      <c r="B28" s="17" t="s">
        <v>97</v>
      </c>
      <c r="C28" s="17" t="s">
        <v>97</v>
      </c>
      <c r="G28" s="17" t="s">
        <v>97</v>
      </c>
      <c r="I28" s="31" t="s">
        <v>161</v>
      </c>
      <c r="J28" s="32" t="s">
        <v>162</v>
      </c>
      <c r="K28" s="32">
        <v>124.4</v>
      </c>
      <c r="L28" s="33"/>
      <c r="M28" s="34"/>
      <c r="N28" s="34"/>
      <c r="O28" s="35" t="s">
        <v>100</v>
      </c>
      <c r="Q28" s="36" t="s">
        <v>100</v>
      </c>
      <c r="U28" s="37"/>
      <c r="Y28" s="38"/>
      <c r="Z28" s="39"/>
      <c r="AA28" s="33"/>
      <c r="AB28" s="39"/>
      <c r="AC28" s="40"/>
      <c r="AD28" s="44" t="s">
        <v>107</v>
      </c>
    </row>
    <row r="29">
      <c r="A29" s="17" t="s">
        <v>163</v>
      </c>
      <c r="B29" s="17" t="s">
        <v>97</v>
      </c>
      <c r="G29" s="17" t="s">
        <v>97</v>
      </c>
      <c r="I29" s="31" t="s">
        <v>161</v>
      </c>
      <c r="J29" s="32" t="s">
        <v>164</v>
      </c>
      <c r="K29" s="32">
        <v>129.3</v>
      </c>
      <c r="L29" s="33"/>
      <c r="M29" s="34"/>
      <c r="N29" s="34"/>
      <c r="O29" s="35" t="s">
        <v>100</v>
      </c>
      <c r="Q29" s="36" t="s">
        <v>100</v>
      </c>
      <c r="U29" s="37"/>
      <c r="Y29" s="38"/>
      <c r="Z29" s="39"/>
      <c r="AA29" s="33"/>
      <c r="AB29" s="39"/>
      <c r="AC29" s="40"/>
      <c r="AD29" s="44" t="s">
        <v>107</v>
      </c>
    </row>
    <row r="30">
      <c r="A30" s="17" t="s">
        <v>165</v>
      </c>
      <c r="B30" s="17" t="s">
        <v>97</v>
      </c>
      <c r="C30" s="17" t="s">
        <v>124</v>
      </c>
      <c r="G30" s="17" t="s">
        <v>124</v>
      </c>
      <c r="I30" s="31" t="s">
        <v>161</v>
      </c>
      <c r="J30" s="32" t="s">
        <v>166</v>
      </c>
      <c r="K30" s="32">
        <v>121.6</v>
      </c>
      <c r="L30" s="33"/>
      <c r="M30" s="34"/>
      <c r="N30" s="34"/>
      <c r="O30" s="35" t="s">
        <v>100</v>
      </c>
      <c r="Q30" s="36" t="s">
        <v>100</v>
      </c>
      <c r="R30" s="17"/>
      <c r="S30" s="17"/>
      <c r="T30" s="17"/>
      <c r="U30" s="42"/>
      <c r="V30" s="17"/>
      <c r="W30" s="17"/>
      <c r="X30" s="17" t="s">
        <v>167</v>
      </c>
      <c r="Y30" s="38"/>
      <c r="Z30" s="39"/>
      <c r="AA30" s="33"/>
      <c r="AB30" s="39"/>
      <c r="AC30" s="43" t="s">
        <v>107</v>
      </c>
      <c r="AD30" s="44" t="s">
        <v>107</v>
      </c>
      <c r="AE30" s="44" t="s">
        <v>107</v>
      </c>
      <c r="AF30" s="44" t="s">
        <v>107</v>
      </c>
    </row>
    <row r="31">
      <c r="A31" s="17" t="s">
        <v>168</v>
      </c>
      <c r="B31" s="17" t="s">
        <v>97</v>
      </c>
      <c r="C31" s="17" t="s">
        <v>97</v>
      </c>
      <c r="G31" s="17" t="s">
        <v>97</v>
      </c>
      <c r="I31" s="31" t="s">
        <v>161</v>
      </c>
      <c r="J31" s="32" t="s">
        <v>169</v>
      </c>
      <c r="K31" s="32">
        <v>127.3</v>
      </c>
      <c r="L31" s="33"/>
      <c r="M31" s="34"/>
      <c r="N31" s="34"/>
      <c r="O31" s="35" t="s">
        <v>100</v>
      </c>
      <c r="Q31" s="36" t="s">
        <v>100</v>
      </c>
      <c r="U31" s="37"/>
      <c r="Y31" s="38"/>
      <c r="Z31" s="39"/>
      <c r="AA31" s="33"/>
      <c r="AB31" s="39"/>
      <c r="AC31" s="40"/>
      <c r="AD31" s="44" t="s">
        <v>107</v>
      </c>
      <c r="AE31" s="44" t="s">
        <v>107</v>
      </c>
      <c r="AF31" s="45" t="s">
        <v>107</v>
      </c>
    </row>
    <row r="32">
      <c r="A32" s="17" t="s">
        <v>170</v>
      </c>
      <c r="B32" s="17" t="s">
        <v>97</v>
      </c>
      <c r="C32" s="17" t="s">
        <v>97</v>
      </c>
      <c r="G32" s="17" t="s">
        <v>97</v>
      </c>
      <c r="I32" s="31" t="s">
        <v>161</v>
      </c>
      <c r="J32" s="32" t="s">
        <v>171</v>
      </c>
      <c r="K32" s="32">
        <v>127.4</v>
      </c>
      <c r="L32" s="33"/>
      <c r="M32" s="34"/>
      <c r="N32" s="34"/>
      <c r="O32" s="35" t="s">
        <v>100</v>
      </c>
      <c r="Q32" s="36" t="s">
        <v>100</v>
      </c>
      <c r="R32" s="17"/>
      <c r="S32" s="17"/>
      <c r="T32" s="17"/>
      <c r="U32" s="42"/>
      <c r="V32" s="17"/>
      <c r="W32" s="17"/>
      <c r="X32" s="17" t="s">
        <v>172</v>
      </c>
      <c r="Y32" s="38"/>
      <c r="Z32" s="39"/>
      <c r="AA32" s="33"/>
      <c r="AB32" s="39"/>
      <c r="AC32" s="40"/>
      <c r="AD32" s="44" t="s">
        <v>107</v>
      </c>
      <c r="AE32" s="44" t="s">
        <v>107</v>
      </c>
      <c r="AF32" s="44" t="s">
        <v>107</v>
      </c>
    </row>
    <row r="33">
      <c r="A33" s="17" t="s">
        <v>173</v>
      </c>
      <c r="B33" s="17" t="s">
        <v>97</v>
      </c>
      <c r="C33" s="17" t="s">
        <v>124</v>
      </c>
      <c r="G33" s="17" t="s">
        <v>124</v>
      </c>
      <c r="I33" s="31" t="s">
        <v>161</v>
      </c>
      <c r="J33" s="32" t="s">
        <v>174</v>
      </c>
      <c r="K33" s="32">
        <v>151.4</v>
      </c>
      <c r="L33" s="32">
        <v>2.2</v>
      </c>
      <c r="M33" s="17" t="s">
        <v>100</v>
      </c>
      <c r="N33" s="17" t="s">
        <v>100</v>
      </c>
      <c r="O33" s="35" t="s">
        <v>100</v>
      </c>
      <c r="Q33" s="36" t="s">
        <v>100</v>
      </c>
      <c r="U33" s="37"/>
      <c r="Y33" s="38"/>
      <c r="Z33" s="39"/>
      <c r="AA33" s="33"/>
      <c r="AB33" s="39"/>
      <c r="AC33" s="40"/>
      <c r="AD33" s="44" t="s">
        <v>107</v>
      </c>
      <c r="AE33" s="41" t="s">
        <v>107</v>
      </c>
      <c r="AF33" s="44" t="s">
        <v>107</v>
      </c>
      <c r="AG33" s="44" t="s">
        <v>107</v>
      </c>
      <c r="AI33" s="44" t="s">
        <v>107</v>
      </c>
      <c r="AJ33" s="46"/>
    </row>
    <row r="34">
      <c r="A34" s="17" t="s">
        <v>175</v>
      </c>
      <c r="B34" s="17" t="s">
        <v>97</v>
      </c>
      <c r="C34" s="17" t="s">
        <v>124</v>
      </c>
      <c r="G34" s="17" t="s">
        <v>124</v>
      </c>
      <c r="I34" s="31" t="s">
        <v>161</v>
      </c>
      <c r="J34" s="32" t="s">
        <v>176</v>
      </c>
      <c r="K34" s="32">
        <v>149.6</v>
      </c>
      <c r="L34" s="32">
        <v>2.0</v>
      </c>
      <c r="M34" s="17" t="s">
        <v>100</v>
      </c>
      <c r="N34" s="17" t="s">
        <v>100</v>
      </c>
      <c r="O34" s="35" t="s">
        <v>100</v>
      </c>
      <c r="Q34" s="36" t="s">
        <v>100</v>
      </c>
      <c r="U34" s="37"/>
      <c r="Y34" s="38"/>
      <c r="Z34" s="39"/>
      <c r="AA34" s="33"/>
      <c r="AB34" s="39"/>
      <c r="AC34" s="40"/>
      <c r="AD34" s="45" t="s">
        <v>107</v>
      </c>
      <c r="AF34" s="45" t="s">
        <v>107</v>
      </c>
      <c r="AG34" s="44" t="s">
        <v>107</v>
      </c>
      <c r="AI34" s="44" t="s">
        <v>107</v>
      </c>
      <c r="AJ34" s="46"/>
    </row>
    <row r="35">
      <c r="A35" s="17" t="s">
        <v>177</v>
      </c>
      <c r="B35" s="17" t="s">
        <v>97</v>
      </c>
      <c r="C35" s="17" t="s">
        <v>124</v>
      </c>
      <c r="G35" s="17" t="s">
        <v>124</v>
      </c>
      <c r="I35" s="31" t="s">
        <v>161</v>
      </c>
      <c r="J35" s="32" t="s">
        <v>178</v>
      </c>
      <c r="K35" s="32">
        <v>147.3</v>
      </c>
      <c r="L35" s="32">
        <v>2.9</v>
      </c>
      <c r="M35" s="17" t="s">
        <v>100</v>
      </c>
      <c r="N35" s="17" t="s">
        <v>100</v>
      </c>
      <c r="O35" s="35" t="s">
        <v>100</v>
      </c>
      <c r="Q35" s="36" t="s">
        <v>100</v>
      </c>
      <c r="U35" s="37"/>
      <c r="Y35" s="38"/>
      <c r="Z35" s="39"/>
      <c r="AA35" s="33"/>
      <c r="AB35" s="39"/>
      <c r="AC35" s="40"/>
      <c r="AD35" s="44" t="s">
        <v>107</v>
      </c>
      <c r="AF35" s="44" t="s">
        <v>107</v>
      </c>
      <c r="AG35" s="44" t="s">
        <v>107</v>
      </c>
      <c r="AI35" s="44" t="s">
        <v>107</v>
      </c>
      <c r="AJ35" s="46"/>
    </row>
    <row r="36">
      <c r="A36" s="17" t="s">
        <v>179</v>
      </c>
      <c r="B36" s="17" t="s">
        <v>97</v>
      </c>
      <c r="C36" s="17" t="s">
        <v>124</v>
      </c>
      <c r="G36" s="17" t="s">
        <v>124</v>
      </c>
      <c r="I36" s="31" t="s">
        <v>161</v>
      </c>
      <c r="J36" s="32" t="s">
        <v>180</v>
      </c>
      <c r="K36" s="32">
        <v>144.7</v>
      </c>
      <c r="L36" s="32">
        <v>2.9</v>
      </c>
      <c r="M36" s="17" t="s">
        <v>100</v>
      </c>
      <c r="N36" s="17" t="s">
        <v>100</v>
      </c>
      <c r="O36" s="35" t="s">
        <v>100</v>
      </c>
      <c r="Q36" s="36" t="s">
        <v>100</v>
      </c>
      <c r="U36" s="37"/>
      <c r="Y36" s="38"/>
      <c r="Z36" s="39"/>
      <c r="AA36" s="33"/>
      <c r="AB36" s="39"/>
      <c r="AC36" s="40"/>
      <c r="AD36" s="44" t="s">
        <v>107</v>
      </c>
      <c r="AE36" s="44" t="s">
        <v>107</v>
      </c>
      <c r="AF36" s="44" t="s">
        <v>107</v>
      </c>
      <c r="AG36" s="44" t="s">
        <v>107</v>
      </c>
      <c r="AI36" s="44" t="s">
        <v>107</v>
      </c>
      <c r="AJ36" s="46"/>
    </row>
    <row r="37">
      <c r="A37" s="17" t="s">
        <v>181</v>
      </c>
      <c r="B37" s="17" t="s">
        <v>97</v>
      </c>
      <c r="C37" s="17" t="s">
        <v>124</v>
      </c>
      <c r="G37" s="17" t="s">
        <v>124</v>
      </c>
      <c r="I37" s="31" t="s">
        <v>161</v>
      </c>
      <c r="J37" s="32" t="s">
        <v>182</v>
      </c>
      <c r="K37" s="32">
        <v>142.5</v>
      </c>
      <c r="L37" s="32">
        <v>2.6</v>
      </c>
      <c r="M37" s="17" t="s">
        <v>100</v>
      </c>
      <c r="N37" s="17" t="s">
        <v>100</v>
      </c>
      <c r="O37" s="35" t="s">
        <v>100</v>
      </c>
      <c r="Q37" s="36" t="s">
        <v>100</v>
      </c>
      <c r="U37" s="37"/>
      <c r="Y37" s="38"/>
      <c r="Z37" s="39"/>
      <c r="AA37" s="33"/>
      <c r="AB37" s="39"/>
      <c r="AC37" s="40"/>
      <c r="AD37" s="44" t="s">
        <v>107</v>
      </c>
      <c r="AE37" s="44" t="s">
        <v>107</v>
      </c>
      <c r="AF37" s="44" t="s">
        <v>107</v>
      </c>
      <c r="AG37" s="44" t="s">
        <v>107</v>
      </c>
      <c r="AI37" s="44" t="s">
        <v>107</v>
      </c>
      <c r="AJ37" s="46"/>
    </row>
    <row r="38">
      <c r="A38" s="17" t="s">
        <v>183</v>
      </c>
      <c r="B38" s="17" t="s">
        <v>97</v>
      </c>
      <c r="C38" s="17" t="s">
        <v>97</v>
      </c>
      <c r="G38" s="17" t="s">
        <v>97</v>
      </c>
      <c r="I38" s="31" t="s">
        <v>161</v>
      </c>
      <c r="J38" s="32" t="s">
        <v>184</v>
      </c>
      <c r="K38" s="32">
        <v>135.3</v>
      </c>
      <c r="L38" s="33"/>
      <c r="M38" s="34"/>
      <c r="N38" s="34"/>
      <c r="O38" s="35" t="s">
        <v>100</v>
      </c>
      <c r="Q38" s="36" t="s">
        <v>100</v>
      </c>
      <c r="U38" s="37"/>
      <c r="Y38" s="38"/>
      <c r="Z38" s="39"/>
      <c r="AA38" s="33"/>
      <c r="AB38" s="39"/>
      <c r="AC38" s="40"/>
      <c r="AD38" s="44" t="s">
        <v>107</v>
      </c>
    </row>
    <row r="39">
      <c r="A39" s="17" t="s">
        <v>185</v>
      </c>
      <c r="B39" s="17" t="s">
        <v>97</v>
      </c>
      <c r="C39" s="17" t="s">
        <v>97</v>
      </c>
      <c r="G39" s="17" t="s">
        <v>97</v>
      </c>
      <c r="I39" s="31" t="s">
        <v>161</v>
      </c>
      <c r="J39" s="32" t="s">
        <v>186</v>
      </c>
      <c r="K39" s="32">
        <v>139.6</v>
      </c>
      <c r="L39" s="33"/>
      <c r="M39" s="34"/>
      <c r="N39" s="34"/>
      <c r="O39" s="35" t="s">
        <v>100</v>
      </c>
      <c r="Q39" s="36" t="s">
        <v>100</v>
      </c>
      <c r="U39" s="37"/>
      <c r="Y39" s="38"/>
      <c r="Z39" s="39"/>
      <c r="AA39" s="33"/>
      <c r="AB39" s="39"/>
      <c r="AC39" s="40"/>
      <c r="AD39" s="44" t="s">
        <v>107</v>
      </c>
    </row>
    <row r="40">
      <c r="A40" s="17" t="s">
        <v>187</v>
      </c>
      <c r="B40" s="17" t="s">
        <v>97</v>
      </c>
      <c r="C40" s="17" t="s">
        <v>97</v>
      </c>
      <c r="G40" s="17" t="s">
        <v>97</v>
      </c>
      <c r="I40" s="31" t="s">
        <v>161</v>
      </c>
      <c r="J40" s="32" t="s">
        <v>188</v>
      </c>
      <c r="K40" s="32">
        <v>133.4</v>
      </c>
      <c r="L40" s="33"/>
      <c r="M40" s="34"/>
      <c r="N40" s="34"/>
      <c r="O40" s="35" t="s">
        <v>100</v>
      </c>
      <c r="Q40" s="36" t="s">
        <v>100</v>
      </c>
      <c r="U40" s="37"/>
      <c r="Y40" s="38"/>
      <c r="Z40" s="39"/>
      <c r="AA40" s="33"/>
      <c r="AB40" s="39"/>
      <c r="AC40" s="40"/>
      <c r="AD40" s="44" t="s">
        <v>107</v>
      </c>
    </row>
    <row r="41">
      <c r="A41" s="17" t="s">
        <v>189</v>
      </c>
      <c r="B41" s="17" t="s">
        <v>97</v>
      </c>
      <c r="C41" s="17" t="s">
        <v>97</v>
      </c>
      <c r="G41" s="17" t="s">
        <v>97</v>
      </c>
      <c r="I41" s="31" t="s">
        <v>161</v>
      </c>
      <c r="J41" s="32" t="s">
        <v>190</v>
      </c>
      <c r="K41" s="32">
        <v>131.1</v>
      </c>
      <c r="L41" s="33"/>
      <c r="M41" s="34"/>
      <c r="N41" s="34"/>
      <c r="O41" s="35" t="s">
        <v>100</v>
      </c>
      <c r="Q41" s="36" t="s">
        <v>100</v>
      </c>
      <c r="U41" s="37"/>
      <c r="Y41" s="38"/>
      <c r="Z41" s="39"/>
      <c r="AA41" s="33"/>
      <c r="AB41" s="39"/>
      <c r="AC41" s="40"/>
      <c r="AD41" s="44" t="s">
        <v>107</v>
      </c>
    </row>
    <row r="42">
      <c r="A42" s="17" t="s">
        <v>191</v>
      </c>
      <c r="B42" s="17" t="s">
        <v>97</v>
      </c>
      <c r="C42" s="17" t="s">
        <v>97</v>
      </c>
      <c r="G42" s="17" t="s">
        <v>97</v>
      </c>
      <c r="I42" s="31" t="s">
        <v>161</v>
      </c>
      <c r="J42" s="32" t="s">
        <v>192</v>
      </c>
      <c r="K42" s="32">
        <v>137.2</v>
      </c>
      <c r="L42" s="33"/>
      <c r="M42" s="34"/>
      <c r="N42" s="34"/>
      <c r="O42" s="35" t="s">
        <v>100</v>
      </c>
      <c r="Q42" s="36" t="s">
        <v>100</v>
      </c>
      <c r="U42" s="37"/>
      <c r="Y42" s="38"/>
      <c r="Z42" s="39"/>
      <c r="AA42" s="33"/>
      <c r="AB42" s="39"/>
      <c r="AC42" s="40"/>
      <c r="AD42" s="44" t="s">
        <v>107</v>
      </c>
    </row>
    <row r="43">
      <c r="A43" s="17" t="s">
        <v>193</v>
      </c>
      <c r="B43" s="17" t="s">
        <v>97</v>
      </c>
      <c r="I43" s="31" t="s">
        <v>125</v>
      </c>
      <c r="J43" s="33"/>
      <c r="K43" s="33"/>
      <c r="L43" s="33"/>
      <c r="M43" s="34"/>
      <c r="N43" s="34"/>
      <c r="O43" s="35" t="s">
        <v>100</v>
      </c>
      <c r="Q43" s="36" t="s">
        <v>100</v>
      </c>
      <c r="R43" s="17"/>
      <c r="S43" s="17"/>
      <c r="T43" s="17"/>
      <c r="U43" s="42"/>
      <c r="V43" s="17"/>
      <c r="W43" s="17"/>
      <c r="X43" s="17"/>
      <c r="Y43" s="38"/>
      <c r="Z43" s="39"/>
      <c r="AA43" s="33"/>
      <c r="AB43" s="39"/>
      <c r="AC43" s="40"/>
      <c r="AI43" s="45" t="s">
        <v>107</v>
      </c>
    </row>
    <row r="44">
      <c r="A44" s="17" t="s">
        <v>194</v>
      </c>
      <c r="B44" s="17" t="s">
        <v>195</v>
      </c>
      <c r="I44" s="31" t="s">
        <v>125</v>
      </c>
      <c r="J44" s="33"/>
      <c r="K44" s="32">
        <v>103.7</v>
      </c>
      <c r="L44" s="33"/>
      <c r="M44" s="34"/>
      <c r="N44" s="34"/>
      <c r="O44" s="35" t="s">
        <v>100</v>
      </c>
      <c r="P44" s="17" t="s">
        <v>100</v>
      </c>
      <c r="Q44" s="36" t="s">
        <v>100</v>
      </c>
      <c r="U44" s="37"/>
      <c r="Y44" s="38"/>
      <c r="Z44" s="39"/>
      <c r="AA44" s="33"/>
      <c r="AB44" s="39"/>
      <c r="AC44" s="40"/>
    </row>
    <row r="45">
      <c r="A45" s="17" t="s">
        <v>196</v>
      </c>
      <c r="B45" s="17" t="s">
        <v>197</v>
      </c>
      <c r="I45" s="31" t="s">
        <v>125</v>
      </c>
      <c r="J45" s="33"/>
      <c r="K45" s="32">
        <v>110.0</v>
      </c>
      <c r="L45" s="33"/>
      <c r="M45" s="34"/>
      <c r="N45" s="34"/>
      <c r="O45" s="35" t="s">
        <v>100</v>
      </c>
      <c r="P45" s="17" t="s">
        <v>100</v>
      </c>
      <c r="Q45" s="36" t="s">
        <v>100</v>
      </c>
      <c r="R45" s="17"/>
      <c r="S45" s="17"/>
      <c r="T45" s="17"/>
      <c r="U45" s="42"/>
      <c r="V45" s="17"/>
      <c r="W45" s="17"/>
      <c r="X45" s="17" t="s">
        <v>198</v>
      </c>
      <c r="Y45" s="38"/>
      <c r="Z45" s="39"/>
      <c r="AA45" s="33"/>
      <c r="AB45" s="39"/>
      <c r="AC45" s="40"/>
    </row>
    <row r="46">
      <c r="A46" s="17" t="s">
        <v>199</v>
      </c>
      <c r="B46" s="17" t="s">
        <v>197</v>
      </c>
      <c r="I46" s="31" t="s">
        <v>98</v>
      </c>
      <c r="J46" s="33"/>
      <c r="K46" s="33"/>
      <c r="L46" s="33"/>
      <c r="M46" s="34"/>
      <c r="N46" s="34"/>
      <c r="O46" s="35" t="s">
        <v>100</v>
      </c>
      <c r="Q46" s="36" t="s">
        <v>100</v>
      </c>
      <c r="R46" s="17"/>
      <c r="S46" s="17"/>
      <c r="T46" s="17"/>
      <c r="U46" s="42"/>
      <c r="V46" s="17"/>
      <c r="W46" s="17"/>
      <c r="X46" s="17" t="s">
        <v>200</v>
      </c>
      <c r="Y46" s="38"/>
      <c r="Z46" s="39"/>
      <c r="AA46" s="33"/>
      <c r="AB46" s="39"/>
      <c r="AC46" s="40"/>
    </row>
    <row r="47">
      <c r="A47" s="17" t="s">
        <v>201</v>
      </c>
      <c r="B47" s="17" t="s">
        <v>197</v>
      </c>
      <c r="I47" s="31" t="s">
        <v>98</v>
      </c>
      <c r="J47" s="33"/>
      <c r="K47" s="33"/>
      <c r="L47" s="33"/>
      <c r="M47" s="34"/>
      <c r="N47" s="34"/>
      <c r="O47" s="35" t="s">
        <v>100</v>
      </c>
      <c r="Q47" s="36" t="s">
        <v>100</v>
      </c>
      <c r="R47" s="17"/>
      <c r="S47" s="17"/>
      <c r="T47" s="17"/>
      <c r="U47" s="42"/>
      <c r="V47" s="17"/>
      <c r="W47" s="17"/>
      <c r="X47" s="17" t="s">
        <v>200</v>
      </c>
      <c r="Y47" s="38"/>
      <c r="Z47" s="39"/>
      <c r="AA47" s="33"/>
      <c r="AB47" s="39"/>
      <c r="AC47" s="40"/>
    </row>
    <row r="48">
      <c r="A48" s="17" t="s">
        <v>202</v>
      </c>
      <c r="B48" s="17" t="s">
        <v>197</v>
      </c>
      <c r="I48" s="31" t="s">
        <v>98</v>
      </c>
      <c r="J48" s="33"/>
      <c r="K48" s="33"/>
      <c r="L48" s="33"/>
      <c r="M48" s="34"/>
      <c r="N48" s="34"/>
      <c r="O48" s="35" t="s">
        <v>100</v>
      </c>
      <c r="Q48" s="36" t="s">
        <v>100</v>
      </c>
      <c r="R48" s="17"/>
      <c r="S48" s="17"/>
      <c r="T48" s="17"/>
      <c r="U48" s="42"/>
      <c r="V48" s="17"/>
      <c r="W48" s="17"/>
      <c r="X48" s="17" t="s">
        <v>200</v>
      </c>
      <c r="Y48" s="38"/>
      <c r="Z48" s="39"/>
      <c r="AA48" s="33"/>
      <c r="AB48" s="39"/>
      <c r="AC48" s="40"/>
    </row>
    <row r="49">
      <c r="A49" s="17" t="s">
        <v>203</v>
      </c>
      <c r="B49" s="17" t="s">
        <v>197</v>
      </c>
      <c r="I49" s="31" t="s">
        <v>98</v>
      </c>
      <c r="J49" s="33"/>
      <c r="K49" s="33"/>
      <c r="L49" s="33"/>
      <c r="M49" s="34"/>
      <c r="N49" s="34"/>
      <c r="O49" s="35" t="s">
        <v>100</v>
      </c>
      <c r="Q49" s="36" t="s">
        <v>100</v>
      </c>
      <c r="R49" s="17"/>
      <c r="S49" s="17"/>
      <c r="T49" s="17"/>
      <c r="U49" s="42"/>
      <c r="V49" s="17"/>
      <c r="W49" s="17"/>
      <c r="X49" s="17" t="s">
        <v>200</v>
      </c>
      <c r="Y49" s="38"/>
      <c r="Z49" s="39"/>
      <c r="AA49" s="33"/>
      <c r="AB49" s="39"/>
      <c r="AC49" s="40"/>
    </row>
    <row r="50">
      <c r="A50" s="17" t="s">
        <v>204</v>
      </c>
      <c r="B50" s="17" t="s">
        <v>197</v>
      </c>
      <c r="I50" s="31" t="s">
        <v>98</v>
      </c>
      <c r="J50" s="33"/>
      <c r="K50" s="33"/>
      <c r="L50" s="33"/>
      <c r="M50" s="34"/>
      <c r="N50" s="34"/>
      <c r="O50" s="35" t="s">
        <v>100</v>
      </c>
      <c r="Q50" s="36" t="s">
        <v>100</v>
      </c>
      <c r="R50" s="17"/>
      <c r="S50" s="17"/>
      <c r="T50" s="17"/>
      <c r="U50" s="42"/>
      <c r="V50" s="17"/>
      <c r="W50" s="17"/>
      <c r="X50" s="17" t="s">
        <v>200</v>
      </c>
      <c r="Y50" s="38"/>
      <c r="Z50" s="39"/>
      <c r="AA50" s="33"/>
      <c r="AB50" s="39"/>
      <c r="AC50" s="40"/>
    </row>
    <row r="51">
      <c r="A51" s="17" t="s">
        <v>205</v>
      </c>
      <c r="B51" s="17" t="s">
        <v>206</v>
      </c>
      <c r="I51" s="31" t="s">
        <v>98</v>
      </c>
      <c r="J51" s="32" t="s">
        <v>207</v>
      </c>
      <c r="K51" s="32">
        <v>173.1</v>
      </c>
      <c r="L51" s="33"/>
      <c r="M51" s="34"/>
      <c r="N51" s="34"/>
      <c r="O51" s="35">
        <v>44621.0</v>
      </c>
      <c r="P51" s="17">
        <v>16.0</v>
      </c>
      <c r="Q51" s="36">
        <v>128.0</v>
      </c>
      <c r="R51" s="17" t="s">
        <v>22</v>
      </c>
      <c r="U51" s="37">
        <f t="shared" ref="U51:U62" si="1">Q51*0.25</f>
        <v>32</v>
      </c>
      <c r="V51" s="17">
        <v>2025.0</v>
      </c>
      <c r="Y51" s="47">
        <v>12.0</v>
      </c>
      <c r="Z51" s="35">
        <v>44621.0</v>
      </c>
      <c r="AA51" s="32">
        <v>19.9</v>
      </c>
      <c r="AB51" s="39">
        <v>44986.0</v>
      </c>
      <c r="AC51" s="40"/>
    </row>
    <row r="52">
      <c r="A52" s="17" t="s">
        <v>208</v>
      </c>
      <c r="B52" s="17" t="s">
        <v>206</v>
      </c>
      <c r="I52" s="31" t="s">
        <v>98</v>
      </c>
      <c r="J52" s="32" t="s">
        <v>209</v>
      </c>
      <c r="K52" s="32">
        <v>170.7</v>
      </c>
      <c r="L52" s="33"/>
      <c r="M52" s="34"/>
      <c r="N52" s="34"/>
      <c r="O52" s="35">
        <v>44621.0</v>
      </c>
      <c r="P52" s="17">
        <v>16.0</v>
      </c>
      <c r="Q52" s="36">
        <v>128.0</v>
      </c>
      <c r="R52" s="17" t="s">
        <v>22</v>
      </c>
      <c r="U52" s="37">
        <f t="shared" si="1"/>
        <v>32</v>
      </c>
      <c r="V52" s="17">
        <v>2025.0</v>
      </c>
      <c r="Y52" s="47">
        <v>12.0</v>
      </c>
      <c r="Z52" s="35">
        <v>44621.0</v>
      </c>
      <c r="AA52" s="32">
        <v>19.5</v>
      </c>
      <c r="AB52" s="39">
        <v>44986.0</v>
      </c>
      <c r="AC52" s="40"/>
    </row>
    <row r="53">
      <c r="A53" s="17" t="s">
        <v>210</v>
      </c>
      <c r="B53" s="17" t="s">
        <v>206</v>
      </c>
      <c r="I53" s="31" t="s">
        <v>98</v>
      </c>
      <c r="J53" s="32" t="s">
        <v>211</v>
      </c>
      <c r="K53" s="32">
        <v>159.7</v>
      </c>
      <c r="L53" s="33"/>
      <c r="M53" s="34"/>
      <c r="N53" s="34"/>
      <c r="O53" s="35">
        <v>44409.0</v>
      </c>
      <c r="P53" s="17">
        <v>16.0</v>
      </c>
      <c r="Q53" s="36">
        <v>128.0</v>
      </c>
      <c r="R53" s="17" t="s">
        <v>22</v>
      </c>
      <c r="U53" s="37">
        <f t="shared" si="1"/>
        <v>32</v>
      </c>
      <c r="V53" s="17">
        <v>2025.0</v>
      </c>
      <c r="Y53" s="47">
        <v>12.2</v>
      </c>
      <c r="Z53" s="35">
        <v>44409.0</v>
      </c>
      <c r="AA53" s="32">
        <v>13.5</v>
      </c>
      <c r="AB53" s="39">
        <v>44927.0</v>
      </c>
      <c r="AC53" s="40"/>
    </row>
    <row r="54">
      <c r="A54" s="17" t="s">
        <v>212</v>
      </c>
      <c r="B54" s="17" t="s">
        <v>206</v>
      </c>
      <c r="I54" s="31" t="s">
        <v>98</v>
      </c>
      <c r="J54" s="32" t="s">
        <v>213</v>
      </c>
      <c r="K54" s="32">
        <v>156.6</v>
      </c>
      <c r="L54" s="33"/>
      <c r="M54" s="34"/>
      <c r="N54" s="34"/>
      <c r="O54" s="35">
        <v>44409.0</v>
      </c>
      <c r="P54" s="17">
        <v>16.0</v>
      </c>
      <c r="Q54" s="36">
        <v>128.0</v>
      </c>
      <c r="R54" s="17" t="s">
        <v>22</v>
      </c>
      <c r="U54" s="37">
        <f t="shared" si="1"/>
        <v>32</v>
      </c>
      <c r="V54" s="17">
        <v>2025.0</v>
      </c>
      <c r="Y54" s="47">
        <v>12.6</v>
      </c>
      <c r="Z54" s="35">
        <v>44409.0</v>
      </c>
      <c r="AA54" s="32">
        <v>15.9</v>
      </c>
      <c r="AB54" s="39">
        <v>44927.0</v>
      </c>
      <c r="AC54" s="40"/>
    </row>
    <row r="55">
      <c r="A55" s="24" t="s">
        <v>214</v>
      </c>
      <c r="B55" s="17" t="s">
        <v>206</v>
      </c>
      <c r="D55" s="17" t="s">
        <v>215</v>
      </c>
      <c r="G55" s="17" t="s">
        <v>216</v>
      </c>
      <c r="I55" s="31" t="s">
        <v>98</v>
      </c>
      <c r="J55" s="32" t="s">
        <v>217</v>
      </c>
      <c r="K55" s="32">
        <v>176.7</v>
      </c>
      <c r="L55" s="32">
        <v>5.9</v>
      </c>
      <c r="M55" s="34"/>
      <c r="N55" s="34"/>
      <c r="O55" s="35">
        <v>44621.0</v>
      </c>
      <c r="P55" s="17">
        <v>64.0</v>
      </c>
      <c r="Q55" s="36">
        <v>512.0</v>
      </c>
      <c r="R55" s="17" t="s">
        <v>22</v>
      </c>
      <c r="S55" s="17"/>
      <c r="T55" s="17"/>
      <c r="U55" s="37">
        <f t="shared" si="1"/>
        <v>128</v>
      </c>
      <c r="V55" s="17">
        <v>2025.0</v>
      </c>
      <c r="W55" s="17"/>
      <c r="X55" s="17" t="s">
        <v>201</v>
      </c>
      <c r="Y55" s="38"/>
      <c r="Z55" s="39"/>
      <c r="AA55" s="33"/>
      <c r="AB55" s="39"/>
      <c r="AC55" s="40"/>
      <c r="AD55" s="44" t="s">
        <v>107</v>
      </c>
      <c r="AI55" s="44" t="s">
        <v>107</v>
      </c>
      <c r="AJ55" s="41" t="s">
        <v>107</v>
      </c>
    </row>
    <row r="56">
      <c r="A56" s="24" t="s">
        <v>218</v>
      </c>
      <c r="B56" s="17" t="s">
        <v>206</v>
      </c>
      <c r="D56" s="17" t="s">
        <v>215</v>
      </c>
      <c r="G56" s="17" t="s">
        <v>216</v>
      </c>
      <c r="I56" s="31" t="s">
        <v>98</v>
      </c>
      <c r="J56" s="32" t="s">
        <v>219</v>
      </c>
      <c r="K56" s="32">
        <v>174.1</v>
      </c>
      <c r="L56" s="32">
        <v>6.5</v>
      </c>
      <c r="M56" s="34"/>
      <c r="N56" s="34"/>
      <c r="O56" s="35">
        <v>44621.0</v>
      </c>
      <c r="P56" s="17">
        <v>64.0</v>
      </c>
      <c r="Q56" s="36">
        <v>512.0</v>
      </c>
      <c r="R56" s="17" t="s">
        <v>22</v>
      </c>
      <c r="S56" s="17"/>
      <c r="T56" s="17"/>
      <c r="U56" s="37">
        <f t="shared" si="1"/>
        <v>128</v>
      </c>
      <c r="V56" s="17">
        <v>2025.0</v>
      </c>
      <c r="W56" s="17"/>
      <c r="X56" s="17" t="s">
        <v>220</v>
      </c>
      <c r="Y56" s="38"/>
      <c r="Z56" s="39"/>
      <c r="AA56" s="33"/>
      <c r="AB56" s="39"/>
      <c r="AC56" s="40"/>
      <c r="AD56" s="44" t="s">
        <v>107</v>
      </c>
      <c r="AI56" s="44" t="s">
        <v>107</v>
      </c>
      <c r="AJ56" s="41" t="s">
        <v>107</v>
      </c>
    </row>
    <row r="57">
      <c r="A57" s="24" t="s">
        <v>221</v>
      </c>
      <c r="B57" s="17" t="s">
        <v>206</v>
      </c>
      <c r="D57" s="17" t="s">
        <v>215</v>
      </c>
      <c r="I57" s="31" t="s">
        <v>98</v>
      </c>
      <c r="J57" s="32" t="s">
        <v>222</v>
      </c>
      <c r="K57" s="32">
        <v>168.7</v>
      </c>
      <c r="L57" s="32">
        <v>6.2</v>
      </c>
      <c r="M57" s="34"/>
      <c r="N57" s="34"/>
      <c r="O57" s="35">
        <v>44621.0</v>
      </c>
      <c r="P57" s="17">
        <v>64.0</v>
      </c>
      <c r="Q57" s="36">
        <v>512.0</v>
      </c>
      <c r="R57" s="17" t="s">
        <v>22</v>
      </c>
      <c r="U57" s="37">
        <f t="shared" si="1"/>
        <v>128</v>
      </c>
      <c r="V57" s="17">
        <v>2025.0</v>
      </c>
      <c r="Y57" s="47">
        <v>32.8</v>
      </c>
      <c r="Z57" s="35">
        <v>44621.0</v>
      </c>
      <c r="AA57" s="32">
        <v>44.7</v>
      </c>
      <c r="AB57" s="39">
        <v>44986.0</v>
      </c>
      <c r="AC57" s="40"/>
      <c r="AI57" s="44" t="s">
        <v>107</v>
      </c>
      <c r="AJ57" s="41" t="s">
        <v>107</v>
      </c>
    </row>
    <row r="58">
      <c r="A58" s="24" t="s">
        <v>223</v>
      </c>
      <c r="B58" s="17" t="s">
        <v>206</v>
      </c>
      <c r="D58" s="17" t="s">
        <v>215</v>
      </c>
      <c r="I58" s="31" t="s">
        <v>98</v>
      </c>
      <c r="J58" s="32" t="s">
        <v>224</v>
      </c>
      <c r="K58" s="32">
        <v>167.3</v>
      </c>
      <c r="L58" s="32">
        <v>5.2</v>
      </c>
      <c r="M58" s="34"/>
      <c r="N58" s="34"/>
      <c r="O58" s="35">
        <v>44470.0</v>
      </c>
      <c r="P58" s="17">
        <v>64.0</v>
      </c>
      <c r="Q58" s="36">
        <v>512.0</v>
      </c>
      <c r="R58" s="17" t="s">
        <v>22</v>
      </c>
      <c r="U58" s="37">
        <f t="shared" si="1"/>
        <v>128</v>
      </c>
      <c r="V58" s="17">
        <v>2025.0</v>
      </c>
      <c r="Y58" s="47">
        <v>24.3</v>
      </c>
      <c r="Z58" s="35">
        <v>44470.0</v>
      </c>
      <c r="AA58" s="32">
        <v>24.3</v>
      </c>
      <c r="AB58" s="35">
        <v>44986.0</v>
      </c>
      <c r="AC58" s="40"/>
      <c r="AI58" s="44" t="s">
        <v>107</v>
      </c>
      <c r="AJ58" s="41" t="s">
        <v>107</v>
      </c>
    </row>
    <row r="59">
      <c r="A59" s="24" t="s">
        <v>225</v>
      </c>
      <c r="B59" s="17" t="s">
        <v>206</v>
      </c>
      <c r="D59" s="17" t="s">
        <v>215</v>
      </c>
      <c r="I59" s="31" t="s">
        <v>98</v>
      </c>
      <c r="J59" s="32" t="s">
        <v>226</v>
      </c>
      <c r="K59" s="32">
        <v>158.5</v>
      </c>
      <c r="L59" s="32">
        <v>5.9</v>
      </c>
      <c r="M59" s="34"/>
      <c r="N59" s="34"/>
      <c r="O59" s="35">
        <v>44409.0</v>
      </c>
      <c r="P59" s="17">
        <v>64.0</v>
      </c>
      <c r="Q59" s="36">
        <v>512.0</v>
      </c>
      <c r="R59" s="17" t="s">
        <v>22</v>
      </c>
      <c r="U59" s="37">
        <f t="shared" si="1"/>
        <v>128</v>
      </c>
      <c r="V59" s="17">
        <v>2025.0</v>
      </c>
      <c r="Y59" s="47">
        <v>34.1</v>
      </c>
      <c r="Z59" s="35">
        <v>44409.0</v>
      </c>
      <c r="AA59" s="32">
        <v>41.3</v>
      </c>
      <c r="AB59" s="35">
        <v>44927.0</v>
      </c>
      <c r="AC59" s="40"/>
      <c r="AI59" s="44" t="s">
        <v>107</v>
      </c>
      <c r="AJ59" s="41" t="s">
        <v>107</v>
      </c>
    </row>
    <row r="60">
      <c r="A60" s="24" t="s">
        <v>227</v>
      </c>
      <c r="B60" s="17" t="s">
        <v>206</v>
      </c>
      <c r="D60" s="17" t="s">
        <v>215</v>
      </c>
      <c r="G60" s="17" t="s">
        <v>216</v>
      </c>
      <c r="I60" s="31" t="s">
        <v>98</v>
      </c>
      <c r="J60" s="32" t="s">
        <v>228</v>
      </c>
      <c r="K60" s="32">
        <v>172.1</v>
      </c>
      <c r="L60" s="32">
        <v>6.2</v>
      </c>
      <c r="M60" s="34"/>
      <c r="N60" s="34"/>
      <c r="O60" s="35">
        <v>44621.0</v>
      </c>
      <c r="P60" s="17">
        <v>64.0</v>
      </c>
      <c r="Q60" s="36">
        <v>512.0</v>
      </c>
      <c r="R60" s="17" t="s">
        <v>22</v>
      </c>
      <c r="U60" s="37">
        <f t="shared" si="1"/>
        <v>128</v>
      </c>
      <c r="V60" s="17">
        <v>2025.0</v>
      </c>
      <c r="Y60" s="38"/>
      <c r="Z60" s="39"/>
      <c r="AA60" s="33"/>
      <c r="AB60" s="39"/>
      <c r="AC60" s="40"/>
      <c r="AD60" s="44" t="s">
        <v>107</v>
      </c>
      <c r="AI60" s="44" t="s">
        <v>107</v>
      </c>
      <c r="AJ60" s="41" t="s">
        <v>107</v>
      </c>
    </row>
    <row r="61">
      <c r="A61" s="24" t="s">
        <v>229</v>
      </c>
      <c r="B61" s="17" t="s">
        <v>206</v>
      </c>
      <c r="D61" s="17" t="s">
        <v>215</v>
      </c>
      <c r="I61" s="31" t="s">
        <v>98</v>
      </c>
      <c r="J61" s="32" t="s">
        <v>230</v>
      </c>
      <c r="K61" s="32">
        <v>163.2</v>
      </c>
      <c r="L61" s="32">
        <v>5.7</v>
      </c>
      <c r="M61" s="34"/>
      <c r="N61" s="34"/>
      <c r="O61" s="35">
        <v>44713.0</v>
      </c>
      <c r="P61" s="17">
        <v>64.0</v>
      </c>
      <c r="Q61" s="36">
        <v>512.0</v>
      </c>
      <c r="R61" s="17" t="s">
        <v>22</v>
      </c>
      <c r="S61" s="17"/>
      <c r="T61" s="17"/>
      <c r="U61" s="37">
        <f t="shared" si="1"/>
        <v>128</v>
      </c>
      <c r="V61" s="17">
        <v>2025.0</v>
      </c>
      <c r="W61" s="17"/>
      <c r="X61" s="17" t="s">
        <v>231</v>
      </c>
      <c r="Y61" s="47">
        <v>32.2</v>
      </c>
      <c r="Z61" s="35">
        <v>44713.0</v>
      </c>
      <c r="AA61" s="32">
        <v>37.8</v>
      </c>
      <c r="AB61" s="35">
        <v>44958.0</v>
      </c>
      <c r="AC61" s="40"/>
      <c r="AD61" s="41" t="s">
        <v>107</v>
      </c>
      <c r="AI61" s="44" t="s">
        <v>107</v>
      </c>
      <c r="AJ61" s="41" t="s">
        <v>107</v>
      </c>
    </row>
    <row r="62">
      <c r="A62" s="17" t="s">
        <v>232</v>
      </c>
      <c r="B62" s="17" t="s">
        <v>206</v>
      </c>
      <c r="D62" s="17" t="s">
        <v>215</v>
      </c>
      <c r="I62" s="31" t="s">
        <v>98</v>
      </c>
      <c r="J62" s="32" t="s">
        <v>233</v>
      </c>
      <c r="K62" s="32">
        <v>153.3</v>
      </c>
      <c r="L62" s="32">
        <v>6.6</v>
      </c>
      <c r="M62" s="34"/>
      <c r="N62" s="34"/>
      <c r="O62" s="35">
        <v>45047.0</v>
      </c>
      <c r="P62" s="17">
        <v>64.0</v>
      </c>
      <c r="Q62" s="36">
        <v>512.0</v>
      </c>
      <c r="R62" s="17" t="s">
        <v>22</v>
      </c>
      <c r="U62" s="37">
        <f t="shared" si="1"/>
        <v>128</v>
      </c>
      <c r="V62" s="17">
        <v>2025.0</v>
      </c>
      <c r="Y62" s="47">
        <v>30.8</v>
      </c>
      <c r="Z62" s="35">
        <v>45047.0</v>
      </c>
      <c r="AA62" s="33"/>
      <c r="AB62" s="39"/>
      <c r="AC62" s="40"/>
      <c r="AI62" s="44" t="s">
        <v>107</v>
      </c>
      <c r="AJ62" s="41" t="s">
        <v>107</v>
      </c>
    </row>
    <row r="63">
      <c r="A63" s="17" t="s">
        <v>234</v>
      </c>
      <c r="B63" s="17" t="s">
        <v>195</v>
      </c>
      <c r="I63" s="31" t="s">
        <v>98</v>
      </c>
      <c r="J63" s="33"/>
      <c r="K63" s="33"/>
      <c r="L63" s="33"/>
      <c r="M63" s="34"/>
      <c r="N63" s="34"/>
      <c r="O63" s="35" t="s">
        <v>100</v>
      </c>
      <c r="Q63" s="36" t="s">
        <v>100</v>
      </c>
      <c r="R63" s="17"/>
      <c r="S63" s="17"/>
      <c r="T63" s="17"/>
      <c r="U63" s="42"/>
      <c r="V63" s="17"/>
      <c r="W63" s="17"/>
      <c r="X63" s="17" t="s">
        <v>235</v>
      </c>
      <c r="Y63" s="38"/>
      <c r="Z63" s="39"/>
      <c r="AA63" s="33"/>
      <c r="AB63" s="39"/>
      <c r="AC63" s="40"/>
      <c r="AD63" s="45" t="s">
        <v>107</v>
      </c>
    </row>
    <row r="64">
      <c r="A64" s="17" t="s">
        <v>236</v>
      </c>
      <c r="B64" s="17" t="s">
        <v>195</v>
      </c>
      <c r="I64" s="31" t="s">
        <v>98</v>
      </c>
      <c r="J64" s="33"/>
      <c r="K64" s="33"/>
      <c r="L64" s="33"/>
      <c r="M64" s="34"/>
      <c r="N64" s="34"/>
      <c r="O64" s="35" t="s">
        <v>100</v>
      </c>
      <c r="Q64" s="36" t="s">
        <v>100</v>
      </c>
      <c r="R64" s="17"/>
      <c r="S64" s="17"/>
      <c r="T64" s="17"/>
      <c r="U64" s="42"/>
      <c r="V64" s="17"/>
      <c r="W64" s="17"/>
      <c r="X64" s="17" t="s">
        <v>235</v>
      </c>
      <c r="Y64" s="38"/>
      <c r="Z64" s="39"/>
      <c r="AA64" s="33"/>
      <c r="AB64" s="39"/>
      <c r="AC64" s="40"/>
      <c r="AD64" s="45" t="s">
        <v>107</v>
      </c>
    </row>
    <row r="65">
      <c r="A65" s="17" t="s">
        <v>237</v>
      </c>
      <c r="B65" s="17" t="s">
        <v>195</v>
      </c>
      <c r="I65" s="31" t="s">
        <v>98</v>
      </c>
      <c r="J65" s="33"/>
      <c r="K65" s="33"/>
      <c r="L65" s="33"/>
      <c r="M65" s="34"/>
      <c r="N65" s="34"/>
      <c r="O65" s="35" t="s">
        <v>100</v>
      </c>
      <c r="Q65" s="36" t="s">
        <v>100</v>
      </c>
      <c r="R65" s="17"/>
      <c r="S65" s="17"/>
      <c r="T65" s="17"/>
      <c r="U65" s="42"/>
      <c r="V65" s="17"/>
      <c r="W65" s="17"/>
      <c r="X65" s="17" t="s">
        <v>235</v>
      </c>
      <c r="Y65" s="38"/>
      <c r="Z65" s="39"/>
      <c r="AA65" s="33"/>
      <c r="AB65" s="39"/>
      <c r="AC65" s="40"/>
      <c r="AD65" s="45" t="s">
        <v>107</v>
      </c>
    </row>
    <row r="66">
      <c r="A66" s="17" t="s">
        <v>238</v>
      </c>
      <c r="B66" s="17" t="s">
        <v>195</v>
      </c>
      <c r="I66" s="31" t="s">
        <v>98</v>
      </c>
      <c r="J66" s="33"/>
      <c r="K66" s="33"/>
      <c r="L66" s="33"/>
      <c r="M66" s="34"/>
      <c r="N66" s="34"/>
      <c r="O66" s="35" t="s">
        <v>100</v>
      </c>
      <c r="Q66" s="36" t="s">
        <v>100</v>
      </c>
      <c r="R66" s="17"/>
      <c r="S66" s="17"/>
      <c r="T66" s="17"/>
      <c r="U66" s="42"/>
      <c r="V66" s="17"/>
      <c r="W66" s="17"/>
      <c r="X66" s="17" t="s">
        <v>235</v>
      </c>
      <c r="Y66" s="38"/>
      <c r="Z66" s="39"/>
      <c r="AA66" s="33"/>
      <c r="AB66" s="39"/>
      <c r="AC66" s="40"/>
      <c r="AD66" s="45" t="s">
        <v>107</v>
      </c>
    </row>
    <row r="67">
      <c r="A67" s="17" t="s">
        <v>239</v>
      </c>
      <c r="B67" s="17" t="s">
        <v>195</v>
      </c>
      <c r="I67" s="31" t="s">
        <v>98</v>
      </c>
      <c r="J67" s="33"/>
      <c r="K67" s="33"/>
      <c r="L67" s="33"/>
      <c r="M67" s="34"/>
      <c r="N67" s="34"/>
      <c r="O67" s="35" t="s">
        <v>100</v>
      </c>
      <c r="Q67" s="36" t="s">
        <v>100</v>
      </c>
      <c r="R67" s="17"/>
      <c r="S67" s="17"/>
      <c r="T67" s="17"/>
      <c r="U67" s="42"/>
      <c r="V67" s="17"/>
      <c r="W67" s="17"/>
      <c r="X67" s="17" t="s">
        <v>235</v>
      </c>
      <c r="Y67" s="38"/>
      <c r="Z67" s="39"/>
      <c r="AA67" s="33"/>
      <c r="AB67" s="39"/>
      <c r="AC67" s="40"/>
      <c r="AD67" s="45" t="s">
        <v>107</v>
      </c>
    </row>
    <row r="68">
      <c r="A68" s="24" t="s">
        <v>240</v>
      </c>
      <c r="B68" s="17" t="s">
        <v>206</v>
      </c>
      <c r="D68" s="17" t="s">
        <v>241</v>
      </c>
      <c r="G68" s="17" t="s">
        <v>216</v>
      </c>
      <c r="I68" s="31" t="s">
        <v>98</v>
      </c>
      <c r="J68" s="32" t="s">
        <v>242</v>
      </c>
      <c r="K68" s="32">
        <v>168.9</v>
      </c>
      <c r="L68" s="32">
        <v>8.0</v>
      </c>
      <c r="M68" s="34"/>
      <c r="N68" s="34"/>
      <c r="O68" s="35">
        <v>44348.0</v>
      </c>
      <c r="P68" s="17">
        <v>256.0</v>
      </c>
      <c r="Q68" s="36">
        <v>2048.0</v>
      </c>
      <c r="R68" s="17" t="s">
        <v>22</v>
      </c>
      <c r="U68" s="37">
        <f t="shared" ref="U68:U87" si="2">Q68*0.25</f>
        <v>512</v>
      </c>
      <c r="V68" s="17">
        <v>2025.0</v>
      </c>
      <c r="Y68" s="47">
        <v>50.1</v>
      </c>
      <c r="Z68" s="35">
        <v>44348.0</v>
      </c>
      <c r="AA68" s="32">
        <v>60.9</v>
      </c>
      <c r="AB68" s="35">
        <v>44986.0</v>
      </c>
      <c r="AC68" s="40"/>
      <c r="AD68" s="41" t="s">
        <v>107</v>
      </c>
      <c r="AI68" s="44" t="s">
        <v>107</v>
      </c>
      <c r="AJ68" s="41" t="s">
        <v>107</v>
      </c>
    </row>
    <row r="69">
      <c r="A69" s="24" t="s">
        <v>243</v>
      </c>
      <c r="B69" s="17" t="s">
        <v>206</v>
      </c>
      <c r="D69" s="17"/>
      <c r="I69" s="31" t="s">
        <v>98</v>
      </c>
      <c r="J69" s="32"/>
      <c r="K69" s="32"/>
      <c r="L69" s="32"/>
      <c r="M69" s="34"/>
      <c r="N69" s="34"/>
      <c r="O69" s="35">
        <v>45231.0</v>
      </c>
      <c r="P69" s="17">
        <v>256.0</v>
      </c>
      <c r="Q69" s="36">
        <v>2048.0</v>
      </c>
      <c r="R69" s="17" t="s">
        <v>22</v>
      </c>
      <c r="U69" s="37">
        <f t="shared" si="2"/>
        <v>512</v>
      </c>
      <c r="V69" s="17">
        <v>2025.0</v>
      </c>
      <c r="Y69" s="47"/>
      <c r="Z69" s="35"/>
      <c r="AA69" s="32"/>
      <c r="AB69" s="35"/>
      <c r="AC69" s="40"/>
      <c r="AI69" s="44"/>
    </row>
    <row r="70">
      <c r="A70" s="24" t="s">
        <v>244</v>
      </c>
      <c r="B70" s="17" t="s">
        <v>206</v>
      </c>
      <c r="D70" s="17"/>
      <c r="I70" s="31" t="s">
        <v>98</v>
      </c>
      <c r="J70" s="32"/>
      <c r="K70" s="32"/>
      <c r="L70" s="32"/>
      <c r="M70" s="34"/>
      <c r="N70" s="34"/>
      <c r="O70" s="35">
        <v>45108.0</v>
      </c>
      <c r="P70" s="17">
        <v>256.0</v>
      </c>
      <c r="Q70" s="36">
        <v>2048.0</v>
      </c>
      <c r="R70" s="17" t="s">
        <v>22</v>
      </c>
      <c r="U70" s="37">
        <f t="shared" si="2"/>
        <v>512</v>
      </c>
      <c r="V70" s="17">
        <v>2025.0</v>
      </c>
      <c r="Y70" s="47"/>
      <c r="Z70" s="35"/>
      <c r="AA70" s="32"/>
      <c r="AB70" s="35"/>
      <c r="AC70" s="40"/>
      <c r="AI70" s="44"/>
    </row>
    <row r="71">
      <c r="A71" s="24" t="s">
        <v>245</v>
      </c>
      <c r="B71" s="17" t="s">
        <v>206</v>
      </c>
      <c r="D71" s="17" t="s">
        <v>241</v>
      </c>
      <c r="G71" s="17" t="s">
        <v>216</v>
      </c>
      <c r="I71" s="31" t="s">
        <v>98</v>
      </c>
      <c r="J71" s="32" t="s">
        <v>246</v>
      </c>
      <c r="K71" s="32">
        <v>166.1</v>
      </c>
      <c r="L71" s="32">
        <v>7.0</v>
      </c>
      <c r="M71" s="34"/>
      <c r="N71" s="34"/>
      <c r="O71" s="35">
        <v>44348.0</v>
      </c>
      <c r="P71" s="17">
        <v>256.0</v>
      </c>
      <c r="Q71" s="36">
        <v>2048.0</v>
      </c>
      <c r="R71" s="17" t="s">
        <v>22</v>
      </c>
      <c r="U71" s="37">
        <f t="shared" si="2"/>
        <v>512</v>
      </c>
      <c r="V71" s="17">
        <v>2025.0</v>
      </c>
      <c r="W71" s="17"/>
      <c r="X71" s="17" t="s">
        <v>247</v>
      </c>
      <c r="Y71" s="47">
        <v>50.2</v>
      </c>
      <c r="Z71" s="35">
        <v>44348.0</v>
      </c>
      <c r="AA71" s="32">
        <v>58.9</v>
      </c>
      <c r="AB71" s="35">
        <v>44958.0</v>
      </c>
      <c r="AC71" s="40"/>
      <c r="AD71" s="44" t="s">
        <v>107</v>
      </c>
      <c r="AI71" s="44" t="s">
        <v>107</v>
      </c>
      <c r="AJ71" s="41" t="s">
        <v>107</v>
      </c>
    </row>
    <row r="72">
      <c r="A72" s="24" t="s">
        <v>248</v>
      </c>
      <c r="B72" s="17" t="s">
        <v>206</v>
      </c>
      <c r="D72" s="17" t="s">
        <v>241</v>
      </c>
      <c r="I72" s="31" t="s">
        <v>98</v>
      </c>
      <c r="J72" s="32" t="s">
        <v>249</v>
      </c>
      <c r="K72" s="32">
        <v>162.1</v>
      </c>
      <c r="L72" s="32">
        <v>5.2</v>
      </c>
      <c r="M72" s="34"/>
      <c r="N72" s="34"/>
      <c r="O72" s="35">
        <v>44348.0</v>
      </c>
      <c r="P72" s="17">
        <v>256.0</v>
      </c>
      <c r="Q72" s="36">
        <v>2048.0</v>
      </c>
      <c r="R72" s="17" t="s">
        <v>22</v>
      </c>
      <c r="U72" s="37">
        <f t="shared" si="2"/>
        <v>512</v>
      </c>
      <c r="V72" s="17">
        <v>2025.0</v>
      </c>
      <c r="W72" s="17"/>
      <c r="X72" s="17" t="s">
        <v>250</v>
      </c>
      <c r="Y72" s="47">
        <v>54.6</v>
      </c>
      <c r="Z72" s="35">
        <v>44348.0</v>
      </c>
      <c r="AA72" s="32">
        <v>75.1</v>
      </c>
      <c r="AB72" s="35">
        <v>44958.0</v>
      </c>
      <c r="AC72" s="40"/>
      <c r="AD72" s="41" t="s">
        <v>107</v>
      </c>
      <c r="AI72" s="44" t="s">
        <v>107</v>
      </c>
      <c r="AJ72" s="41" t="s">
        <v>107</v>
      </c>
    </row>
    <row r="73">
      <c r="A73" s="24" t="s">
        <v>251</v>
      </c>
      <c r="B73" s="17" t="s">
        <v>206</v>
      </c>
      <c r="D73" s="17" t="s">
        <v>241</v>
      </c>
      <c r="I73" s="31" t="s">
        <v>98</v>
      </c>
      <c r="J73" s="32" t="s">
        <v>252</v>
      </c>
      <c r="K73" s="32">
        <v>159.9</v>
      </c>
      <c r="L73" s="32">
        <v>6.0</v>
      </c>
      <c r="M73" s="34"/>
      <c r="N73" s="34"/>
      <c r="O73" s="35">
        <v>44378.0</v>
      </c>
      <c r="P73" s="17">
        <v>256.0</v>
      </c>
      <c r="Q73" s="36">
        <v>2048.0</v>
      </c>
      <c r="R73" s="17" t="s">
        <v>22</v>
      </c>
      <c r="U73" s="37">
        <f t="shared" si="2"/>
        <v>512</v>
      </c>
      <c r="V73" s="17">
        <v>2025.0</v>
      </c>
      <c r="W73" s="17"/>
      <c r="X73" s="17" t="s">
        <v>253</v>
      </c>
      <c r="Y73" s="47">
        <v>54.2</v>
      </c>
      <c r="Z73" s="35">
        <v>44348.0</v>
      </c>
      <c r="AA73" s="32">
        <v>66.1</v>
      </c>
      <c r="AB73" s="35">
        <v>44927.0</v>
      </c>
      <c r="AC73" s="40"/>
      <c r="AD73" s="41" t="s">
        <v>107</v>
      </c>
      <c r="AI73" s="44" t="s">
        <v>107</v>
      </c>
      <c r="AJ73" s="41" t="s">
        <v>107</v>
      </c>
    </row>
    <row r="74">
      <c r="A74" s="24" t="s">
        <v>254</v>
      </c>
      <c r="B74" s="17" t="s">
        <v>206</v>
      </c>
      <c r="D74" s="17" t="s">
        <v>241</v>
      </c>
      <c r="I74" s="31" t="s">
        <v>98</v>
      </c>
      <c r="J74" s="32" t="s">
        <v>255</v>
      </c>
      <c r="K74" s="32">
        <v>157.9</v>
      </c>
      <c r="L74" s="32">
        <v>6.2</v>
      </c>
      <c r="M74" s="34"/>
      <c r="N74" s="34"/>
      <c r="O74" s="35">
        <v>44409.0</v>
      </c>
      <c r="P74" s="17">
        <v>256.0</v>
      </c>
      <c r="Q74" s="36">
        <v>2048.0</v>
      </c>
      <c r="R74" s="17" t="s">
        <v>22</v>
      </c>
      <c r="U74" s="37">
        <f t="shared" si="2"/>
        <v>512</v>
      </c>
      <c r="V74" s="17">
        <v>2025.0</v>
      </c>
      <c r="W74" s="17"/>
      <c r="X74" s="17" t="s">
        <v>256</v>
      </c>
      <c r="Y74" s="47">
        <v>49.9</v>
      </c>
      <c r="Z74" s="35">
        <v>44409.0</v>
      </c>
      <c r="AA74" s="32">
        <v>61.5</v>
      </c>
      <c r="AB74" s="35">
        <v>44927.0</v>
      </c>
      <c r="AC74" s="40"/>
      <c r="AD74" s="41" t="s">
        <v>107</v>
      </c>
      <c r="AI74" s="44" t="s">
        <v>107</v>
      </c>
      <c r="AJ74" s="41" t="s">
        <v>107</v>
      </c>
    </row>
    <row r="75">
      <c r="A75" s="24" t="s">
        <v>257</v>
      </c>
      <c r="B75" s="17" t="s">
        <v>206</v>
      </c>
      <c r="D75" s="17" t="s">
        <v>241</v>
      </c>
      <c r="I75" s="31" t="s">
        <v>98</v>
      </c>
      <c r="J75" s="32" t="s">
        <v>258</v>
      </c>
      <c r="K75" s="32">
        <v>164.6</v>
      </c>
      <c r="L75" s="32">
        <v>7.0</v>
      </c>
      <c r="M75" s="34"/>
      <c r="N75" s="34"/>
      <c r="O75" s="35">
        <v>44743.0</v>
      </c>
      <c r="P75" s="17">
        <v>256.0</v>
      </c>
      <c r="Q75" s="36">
        <v>2048.0</v>
      </c>
      <c r="R75" s="17" t="s">
        <v>22</v>
      </c>
      <c r="U75" s="37">
        <f t="shared" si="2"/>
        <v>512</v>
      </c>
      <c r="V75" s="17">
        <v>2025.0</v>
      </c>
      <c r="Y75" s="47">
        <v>60.0</v>
      </c>
      <c r="Z75" s="35">
        <v>44743.0</v>
      </c>
      <c r="AA75" s="32">
        <v>70.4</v>
      </c>
      <c r="AB75" s="35">
        <v>44958.0</v>
      </c>
      <c r="AC75" s="40"/>
      <c r="AI75" s="44" t="s">
        <v>107</v>
      </c>
      <c r="AJ75" s="41" t="s">
        <v>107</v>
      </c>
    </row>
    <row r="76">
      <c r="A76" s="24" t="s">
        <v>259</v>
      </c>
      <c r="B76" s="17" t="s">
        <v>206</v>
      </c>
      <c r="D76" s="17" t="s">
        <v>241</v>
      </c>
      <c r="G76" s="17" t="s">
        <v>216</v>
      </c>
      <c r="I76" s="31" t="s">
        <v>98</v>
      </c>
      <c r="J76" s="32" t="s">
        <v>260</v>
      </c>
      <c r="K76" s="32">
        <v>167.7</v>
      </c>
      <c r="L76" s="32">
        <v>6.4</v>
      </c>
      <c r="M76" s="34"/>
      <c r="N76" s="34"/>
      <c r="O76" s="35">
        <v>44835.0</v>
      </c>
      <c r="P76" s="17">
        <v>256.0</v>
      </c>
      <c r="Q76" s="36">
        <v>2048.0</v>
      </c>
      <c r="R76" s="17" t="s">
        <v>22</v>
      </c>
      <c r="U76" s="37">
        <f t="shared" si="2"/>
        <v>512</v>
      </c>
      <c r="V76" s="17">
        <v>2025.0</v>
      </c>
      <c r="W76" s="17"/>
      <c r="X76" s="17" t="s">
        <v>261</v>
      </c>
      <c r="Y76" s="47">
        <v>53.9</v>
      </c>
      <c r="Z76" s="35">
        <v>44835.0</v>
      </c>
      <c r="AA76" s="32">
        <v>59.8</v>
      </c>
      <c r="AB76" s="35">
        <v>44958.0</v>
      </c>
      <c r="AC76" s="40"/>
      <c r="AD76" s="44" t="s">
        <v>107</v>
      </c>
      <c r="AI76" s="44" t="s">
        <v>107</v>
      </c>
      <c r="AJ76" s="41" t="s">
        <v>107</v>
      </c>
    </row>
    <row r="77">
      <c r="A77" s="24" t="s">
        <v>262</v>
      </c>
      <c r="B77" s="17" t="s">
        <v>206</v>
      </c>
      <c r="D77" s="17" t="s">
        <v>241</v>
      </c>
      <c r="I77" s="31" t="s">
        <v>98</v>
      </c>
      <c r="J77" s="32" t="s">
        <v>263</v>
      </c>
      <c r="K77" s="32">
        <v>154.7</v>
      </c>
      <c r="L77" s="32">
        <v>7.1</v>
      </c>
      <c r="M77" s="34"/>
      <c r="N77" s="34"/>
      <c r="O77" s="35">
        <v>44986.0</v>
      </c>
      <c r="P77" s="17">
        <v>256.0</v>
      </c>
      <c r="Q77" s="36">
        <v>2048.0</v>
      </c>
      <c r="R77" s="17" t="s">
        <v>22</v>
      </c>
      <c r="U77" s="37">
        <f t="shared" si="2"/>
        <v>512</v>
      </c>
      <c r="V77" s="17">
        <v>2025.0</v>
      </c>
      <c r="Y77" s="47">
        <v>57.4</v>
      </c>
      <c r="Z77" s="35">
        <v>45047.0</v>
      </c>
      <c r="AA77" s="33"/>
      <c r="AB77" s="39"/>
      <c r="AC77" s="40"/>
      <c r="AI77" s="44" t="s">
        <v>107</v>
      </c>
      <c r="AJ77" s="41" t="s">
        <v>107</v>
      </c>
    </row>
    <row r="78">
      <c r="A78" s="24" t="s">
        <v>264</v>
      </c>
      <c r="B78" s="17" t="s">
        <v>206</v>
      </c>
      <c r="D78" s="17"/>
      <c r="I78" s="31" t="s">
        <v>98</v>
      </c>
      <c r="J78" s="32"/>
      <c r="K78" s="32"/>
      <c r="L78" s="32"/>
      <c r="M78" s="34"/>
      <c r="N78" s="34"/>
      <c r="O78" s="35">
        <v>45108.0</v>
      </c>
      <c r="P78" s="17">
        <v>256.0</v>
      </c>
      <c r="Q78" s="36">
        <v>2048.0</v>
      </c>
      <c r="R78" s="17" t="s">
        <v>22</v>
      </c>
      <c r="U78" s="37">
        <f t="shared" si="2"/>
        <v>512</v>
      </c>
      <c r="V78" s="17">
        <v>2025.0</v>
      </c>
      <c r="Y78" s="47"/>
      <c r="Z78" s="35"/>
      <c r="AA78" s="32"/>
      <c r="AB78" s="35"/>
      <c r="AC78" s="40"/>
      <c r="AI78" s="44"/>
    </row>
    <row r="79">
      <c r="A79" s="17" t="s">
        <v>265</v>
      </c>
      <c r="B79" s="17" t="s">
        <v>206</v>
      </c>
      <c r="D79" s="17" t="s">
        <v>266</v>
      </c>
      <c r="I79" s="31" t="s">
        <v>98</v>
      </c>
      <c r="J79" s="32" t="s">
        <v>267</v>
      </c>
      <c r="K79" s="32">
        <v>166.4</v>
      </c>
      <c r="L79" s="32">
        <v>5.7</v>
      </c>
      <c r="M79" s="34"/>
      <c r="N79" s="34"/>
      <c r="O79" s="35">
        <v>44440.0</v>
      </c>
      <c r="P79" s="17">
        <v>16.0</v>
      </c>
      <c r="Q79" s="36">
        <v>128.0</v>
      </c>
      <c r="R79" s="17" t="s">
        <v>22</v>
      </c>
      <c r="U79" s="37">
        <f t="shared" si="2"/>
        <v>32</v>
      </c>
      <c r="V79" s="17">
        <v>2025.0</v>
      </c>
      <c r="Y79" s="47">
        <v>13.0</v>
      </c>
      <c r="Z79" s="35">
        <v>44440.0</v>
      </c>
      <c r="AA79" s="32">
        <v>13.0</v>
      </c>
      <c r="AB79" s="35">
        <v>44958.0</v>
      </c>
      <c r="AC79" s="40"/>
      <c r="AI79" s="44" t="s">
        <v>107</v>
      </c>
    </row>
    <row r="80">
      <c r="A80" s="17" t="s">
        <v>268</v>
      </c>
      <c r="B80" s="17" t="s">
        <v>206</v>
      </c>
      <c r="D80" s="17" t="s">
        <v>266</v>
      </c>
      <c r="I80" s="31" t="s">
        <v>98</v>
      </c>
      <c r="J80" s="32" t="s">
        <v>269</v>
      </c>
      <c r="K80" s="32">
        <v>163.9</v>
      </c>
      <c r="L80" s="32">
        <v>5.9</v>
      </c>
      <c r="M80" s="34"/>
      <c r="N80" s="34"/>
      <c r="O80" s="35">
        <v>44621.0</v>
      </c>
      <c r="P80" s="17">
        <v>16.0</v>
      </c>
      <c r="Q80" s="36">
        <v>128.0</v>
      </c>
      <c r="R80" s="17" t="s">
        <v>22</v>
      </c>
      <c r="U80" s="37">
        <f t="shared" si="2"/>
        <v>32</v>
      </c>
      <c r="V80" s="17">
        <v>2025.0</v>
      </c>
      <c r="Y80" s="47">
        <v>14.9</v>
      </c>
      <c r="Z80" s="35">
        <v>44621.0</v>
      </c>
      <c r="AA80" s="32">
        <v>20.9</v>
      </c>
      <c r="AB80" s="35">
        <v>44958.0</v>
      </c>
      <c r="AC80" s="40"/>
      <c r="AI80" s="44" t="s">
        <v>107</v>
      </c>
    </row>
    <row r="81">
      <c r="A81" s="17" t="s">
        <v>270</v>
      </c>
      <c r="B81" s="17" t="s">
        <v>206</v>
      </c>
      <c r="D81" s="17" t="s">
        <v>266</v>
      </c>
      <c r="I81" s="31" t="s">
        <v>98</v>
      </c>
      <c r="J81" s="32" t="s">
        <v>271</v>
      </c>
      <c r="K81" s="32">
        <v>161.1</v>
      </c>
      <c r="L81" s="32">
        <v>5.3</v>
      </c>
      <c r="M81" s="34"/>
      <c r="N81" s="34"/>
      <c r="O81" s="35">
        <v>44621.0</v>
      </c>
      <c r="P81" s="17">
        <v>16.0</v>
      </c>
      <c r="Q81" s="36">
        <v>128.0</v>
      </c>
      <c r="R81" s="17" t="s">
        <v>22</v>
      </c>
      <c r="U81" s="37">
        <f t="shared" si="2"/>
        <v>32</v>
      </c>
      <c r="V81" s="17">
        <v>2025.0</v>
      </c>
      <c r="Y81" s="47">
        <v>14.0</v>
      </c>
      <c r="Z81" s="35">
        <v>44621.0</v>
      </c>
      <c r="AA81" s="32">
        <v>18.7</v>
      </c>
      <c r="AB81" s="35">
        <v>44958.0</v>
      </c>
      <c r="AC81" s="40"/>
      <c r="AI81" s="44" t="s">
        <v>107</v>
      </c>
    </row>
    <row r="82">
      <c r="A82" s="17" t="s">
        <v>272</v>
      </c>
      <c r="B82" s="17" t="s">
        <v>206</v>
      </c>
      <c r="D82" s="17" t="s">
        <v>266</v>
      </c>
      <c r="I82" s="31" t="s">
        <v>98</v>
      </c>
      <c r="J82" s="32" t="s">
        <v>273</v>
      </c>
      <c r="K82" s="32">
        <v>156.7</v>
      </c>
      <c r="L82" s="32">
        <v>6.5</v>
      </c>
      <c r="M82" s="34"/>
      <c r="N82" s="34"/>
      <c r="O82" s="35">
        <v>44440.0</v>
      </c>
      <c r="P82" s="17">
        <v>16.0</v>
      </c>
      <c r="Q82" s="36">
        <v>128.0</v>
      </c>
      <c r="R82" s="17" t="s">
        <v>22</v>
      </c>
      <c r="U82" s="37">
        <f t="shared" si="2"/>
        <v>32</v>
      </c>
      <c r="V82" s="17">
        <v>2025.0</v>
      </c>
      <c r="W82" s="17"/>
      <c r="X82" s="17" t="s">
        <v>274</v>
      </c>
      <c r="Y82" s="47">
        <v>15.3</v>
      </c>
      <c r="Z82" s="35">
        <v>44440.0</v>
      </c>
      <c r="AA82" s="32">
        <v>15.3</v>
      </c>
      <c r="AB82" s="35">
        <v>44927.0</v>
      </c>
      <c r="AC82" s="40"/>
      <c r="AD82" s="41" t="s">
        <v>107</v>
      </c>
      <c r="AI82" s="44" t="s">
        <v>107</v>
      </c>
    </row>
    <row r="83">
      <c r="A83" s="17" t="s">
        <v>275</v>
      </c>
      <c r="B83" s="17" t="s">
        <v>206</v>
      </c>
      <c r="D83" s="17" t="s">
        <v>266</v>
      </c>
      <c r="I83" s="31" t="s">
        <v>98</v>
      </c>
      <c r="J83" s="32" t="s">
        <v>276</v>
      </c>
      <c r="K83" s="32">
        <v>155.9</v>
      </c>
      <c r="L83" s="32">
        <v>6.6</v>
      </c>
      <c r="M83" s="34"/>
      <c r="N83" s="34"/>
      <c r="O83" s="35">
        <v>44440.0</v>
      </c>
      <c r="P83" s="17">
        <v>16.0</v>
      </c>
      <c r="Q83" s="36">
        <v>128.0</v>
      </c>
      <c r="R83" s="17" t="s">
        <v>22</v>
      </c>
      <c r="U83" s="37">
        <f t="shared" si="2"/>
        <v>32</v>
      </c>
      <c r="V83" s="17">
        <v>2025.0</v>
      </c>
      <c r="Y83" s="47">
        <v>17.7</v>
      </c>
      <c r="Z83" s="35">
        <v>44440.0</v>
      </c>
      <c r="AA83" s="32">
        <v>17.7</v>
      </c>
      <c r="AB83" s="35">
        <v>44927.0</v>
      </c>
      <c r="AC83" s="40"/>
      <c r="AI83" s="44" t="s">
        <v>107</v>
      </c>
    </row>
    <row r="84">
      <c r="A84" s="17" t="s">
        <v>277</v>
      </c>
      <c r="B84" s="17" t="s">
        <v>206</v>
      </c>
      <c r="D84" s="17" t="s">
        <v>266</v>
      </c>
      <c r="I84" s="31" t="s">
        <v>98</v>
      </c>
      <c r="J84" s="32" t="s">
        <v>278</v>
      </c>
      <c r="K84" s="32">
        <v>153.2</v>
      </c>
      <c r="L84" s="32">
        <v>7.2</v>
      </c>
      <c r="M84" s="34"/>
      <c r="N84" s="34"/>
      <c r="O84" s="39"/>
      <c r="P84" s="17">
        <v>16.0</v>
      </c>
      <c r="Q84" s="36">
        <v>128.0</v>
      </c>
      <c r="R84" s="17" t="s">
        <v>22</v>
      </c>
      <c r="U84" s="37">
        <f t="shared" si="2"/>
        <v>32</v>
      </c>
      <c r="V84" s="17">
        <v>2025.0</v>
      </c>
      <c r="Y84" s="47">
        <v>13.2</v>
      </c>
      <c r="Z84" s="35">
        <v>45047.0</v>
      </c>
      <c r="AA84" s="33"/>
      <c r="AB84" s="39"/>
      <c r="AC84" s="40"/>
      <c r="AI84" s="44" t="s">
        <v>107</v>
      </c>
    </row>
    <row r="85">
      <c r="A85" s="17" t="s">
        <v>279</v>
      </c>
      <c r="B85" s="17" t="s">
        <v>206</v>
      </c>
      <c r="D85" s="17" t="s">
        <v>266</v>
      </c>
      <c r="I85" s="31" t="s">
        <v>98</v>
      </c>
      <c r="J85" s="32" t="s">
        <v>280</v>
      </c>
      <c r="K85" s="32">
        <v>155.2</v>
      </c>
      <c r="L85" s="32">
        <v>5.9</v>
      </c>
      <c r="M85" s="34"/>
      <c r="N85" s="34"/>
      <c r="O85" s="39"/>
      <c r="P85" s="17">
        <v>16.0</v>
      </c>
      <c r="Q85" s="36">
        <v>128.0</v>
      </c>
      <c r="R85" s="17" t="s">
        <v>22</v>
      </c>
      <c r="U85" s="37">
        <f t="shared" si="2"/>
        <v>32</v>
      </c>
      <c r="V85" s="17">
        <v>2025.0</v>
      </c>
      <c r="Y85" s="47">
        <v>13.6</v>
      </c>
      <c r="Z85" s="35">
        <v>45047.0</v>
      </c>
      <c r="AA85" s="33"/>
      <c r="AB85" s="39"/>
      <c r="AC85" s="40"/>
      <c r="AI85" s="44" t="s">
        <v>107</v>
      </c>
    </row>
    <row r="86">
      <c r="A86" s="17" t="s">
        <v>281</v>
      </c>
      <c r="B86" s="17" t="s">
        <v>206</v>
      </c>
      <c r="D86" s="17" t="s">
        <v>266</v>
      </c>
      <c r="I86" s="31" t="s">
        <v>98</v>
      </c>
      <c r="J86" s="32" t="s">
        <v>282</v>
      </c>
      <c r="K86" s="32">
        <v>159.1</v>
      </c>
      <c r="L86" s="32">
        <v>5.8</v>
      </c>
      <c r="M86" s="34"/>
      <c r="N86" s="34"/>
      <c r="O86" s="39"/>
      <c r="P86" s="17">
        <v>16.0</v>
      </c>
      <c r="Q86" s="36">
        <v>128.0</v>
      </c>
      <c r="R86" s="17" t="s">
        <v>22</v>
      </c>
      <c r="U86" s="37">
        <f t="shared" si="2"/>
        <v>32</v>
      </c>
      <c r="V86" s="17">
        <v>2025.0</v>
      </c>
      <c r="Y86" s="47">
        <v>14.7</v>
      </c>
      <c r="Z86" s="35">
        <v>45323.0</v>
      </c>
      <c r="AA86" s="33"/>
      <c r="AB86" s="39"/>
      <c r="AC86" s="40"/>
      <c r="AI86" s="44" t="s">
        <v>107</v>
      </c>
    </row>
    <row r="87">
      <c r="A87" s="17" t="s">
        <v>283</v>
      </c>
      <c r="B87" s="17" t="s">
        <v>206</v>
      </c>
      <c r="I87" s="31" t="s">
        <v>284</v>
      </c>
      <c r="J87" s="33"/>
      <c r="K87" s="33"/>
      <c r="L87" s="33"/>
      <c r="M87" s="34"/>
      <c r="N87" s="34"/>
      <c r="O87" s="35">
        <v>43891.0</v>
      </c>
      <c r="P87">
        <f t="shared" ref="P87:P88" si="3">Q87/8</f>
        <v>271</v>
      </c>
      <c r="Q87" s="36">
        <v>2168.0</v>
      </c>
      <c r="R87" s="17" t="s">
        <v>22</v>
      </c>
      <c r="U87" s="37">
        <f t="shared" si="2"/>
        <v>542</v>
      </c>
      <c r="V87" s="17">
        <v>2025.0</v>
      </c>
      <c r="X87" s="17" t="s">
        <v>285</v>
      </c>
      <c r="Y87" s="38"/>
      <c r="Z87" s="39"/>
      <c r="AA87" s="33"/>
      <c r="AB87" s="39"/>
      <c r="AC87" s="40"/>
    </row>
    <row r="88">
      <c r="A88" s="17" t="s">
        <v>286</v>
      </c>
      <c r="B88" s="17" t="s">
        <v>206</v>
      </c>
      <c r="I88" s="31" t="s">
        <v>287</v>
      </c>
      <c r="J88" s="33"/>
      <c r="K88" s="33"/>
      <c r="L88" s="33"/>
      <c r="M88" s="34"/>
      <c r="N88" s="34"/>
      <c r="O88" s="35">
        <v>44562.0</v>
      </c>
      <c r="P88" s="48">
        <f t="shared" si="3"/>
        <v>35.75</v>
      </c>
      <c r="Q88" s="36">
        <v>286.0</v>
      </c>
      <c r="R88" s="17" t="s">
        <v>22</v>
      </c>
      <c r="U88" s="42">
        <v>0.0</v>
      </c>
      <c r="V88" s="17">
        <v>2025.0</v>
      </c>
      <c r="Y88" s="38"/>
      <c r="Z88" s="39"/>
      <c r="AA88" s="33"/>
      <c r="AB88" s="39"/>
      <c r="AC88" s="40"/>
    </row>
    <row r="89">
      <c r="A89" s="17" t="s">
        <v>288</v>
      </c>
      <c r="B89" s="17" t="s">
        <v>206</v>
      </c>
      <c r="C89" s="17" t="s">
        <v>289</v>
      </c>
      <c r="G89" s="17" t="s">
        <v>206</v>
      </c>
      <c r="I89" s="31" t="s">
        <v>125</v>
      </c>
      <c r="J89" s="32" t="s">
        <v>290</v>
      </c>
      <c r="K89" s="32">
        <v>98.9</v>
      </c>
      <c r="L89" s="32">
        <v>6.0</v>
      </c>
      <c r="M89" s="17">
        <v>12.3</v>
      </c>
      <c r="N89" s="17">
        <v>13.5</v>
      </c>
      <c r="O89" s="35">
        <v>43556.0</v>
      </c>
      <c r="P89" s="17">
        <v>16.0</v>
      </c>
      <c r="Q89" s="36">
        <v>128.0</v>
      </c>
      <c r="R89" s="17" t="s">
        <v>22</v>
      </c>
      <c r="S89" s="17"/>
      <c r="T89" s="17"/>
      <c r="U89" s="49">
        <f t="shared" ref="U89:U93" si="4">Q89*0.1</f>
        <v>12.8</v>
      </c>
      <c r="V89" s="17">
        <v>2025.0</v>
      </c>
      <c r="W89" s="17"/>
      <c r="X89" s="17" t="s">
        <v>291</v>
      </c>
      <c r="Y89" s="47">
        <v>8.3</v>
      </c>
      <c r="Z89" s="35">
        <v>45081.0</v>
      </c>
      <c r="AA89" s="32">
        <v>9.4</v>
      </c>
      <c r="AB89" s="35">
        <v>45081.0</v>
      </c>
      <c r="AC89" s="40"/>
      <c r="AD89" s="44" t="s">
        <v>107</v>
      </c>
      <c r="AF89" s="44" t="s">
        <v>107</v>
      </c>
      <c r="AG89" s="44" t="s">
        <v>107</v>
      </c>
      <c r="AI89" s="44" t="s">
        <v>107</v>
      </c>
      <c r="AK89" s="46"/>
    </row>
    <row r="90">
      <c r="A90" s="17" t="s">
        <v>292</v>
      </c>
      <c r="B90" s="17" t="s">
        <v>206</v>
      </c>
      <c r="C90" s="24" t="s">
        <v>293</v>
      </c>
      <c r="G90" s="17" t="s">
        <v>206</v>
      </c>
      <c r="I90" s="31" t="s">
        <v>125</v>
      </c>
      <c r="J90" s="32" t="s">
        <v>294</v>
      </c>
      <c r="K90" s="32">
        <v>90.4</v>
      </c>
      <c r="L90" s="32">
        <v>4.5</v>
      </c>
      <c r="M90" s="17">
        <v>7.3</v>
      </c>
      <c r="N90" s="17">
        <v>9.5</v>
      </c>
      <c r="O90" s="35">
        <v>43647.0</v>
      </c>
      <c r="P90" s="17">
        <v>16.0</v>
      </c>
      <c r="Q90" s="36">
        <v>128.0</v>
      </c>
      <c r="R90" s="17" t="s">
        <v>22</v>
      </c>
      <c r="S90" s="17"/>
      <c r="T90" s="17"/>
      <c r="U90" s="49">
        <f t="shared" si="4"/>
        <v>12.8</v>
      </c>
      <c r="V90" s="17">
        <v>2025.0</v>
      </c>
      <c r="W90" s="17"/>
      <c r="X90" s="17" t="s">
        <v>295</v>
      </c>
      <c r="Y90" s="47">
        <v>9.4</v>
      </c>
      <c r="Z90" s="35">
        <v>45092.0</v>
      </c>
      <c r="AA90" s="32">
        <v>9.6</v>
      </c>
      <c r="AB90" s="35">
        <v>45092.0</v>
      </c>
      <c r="AC90" s="40"/>
      <c r="AD90" s="44" t="s">
        <v>107</v>
      </c>
      <c r="AF90" s="44" t="s">
        <v>107</v>
      </c>
      <c r="AG90" s="44" t="s">
        <v>107</v>
      </c>
      <c r="AI90" s="44" t="s">
        <v>107</v>
      </c>
      <c r="AK90" s="46"/>
    </row>
    <row r="91">
      <c r="A91" s="17" t="s">
        <v>296</v>
      </c>
      <c r="B91" s="17" t="s">
        <v>206</v>
      </c>
      <c r="C91" s="17" t="s">
        <v>289</v>
      </c>
      <c r="G91" s="17" t="s">
        <v>206</v>
      </c>
      <c r="I91" s="31" t="s">
        <v>125</v>
      </c>
      <c r="J91" s="32" t="s">
        <v>297</v>
      </c>
      <c r="K91" s="32">
        <v>87.2</v>
      </c>
      <c r="L91" s="32">
        <v>5.6</v>
      </c>
      <c r="M91" s="17">
        <v>17.5</v>
      </c>
      <c r="N91" s="17">
        <v>8.5</v>
      </c>
      <c r="O91" s="35">
        <v>43709.0</v>
      </c>
      <c r="P91" s="17">
        <v>16.0</v>
      </c>
      <c r="Q91" s="36">
        <v>128.0</v>
      </c>
      <c r="R91" s="17" t="s">
        <v>22</v>
      </c>
      <c r="S91" s="17"/>
      <c r="T91" s="17"/>
      <c r="U91" s="49">
        <f t="shared" si="4"/>
        <v>12.8</v>
      </c>
      <c r="V91" s="17">
        <v>2025.0</v>
      </c>
      <c r="W91" s="17"/>
      <c r="X91" s="17" t="s">
        <v>298</v>
      </c>
      <c r="Y91" s="47">
        <v>0.0</v>
      </c>
      <c r="Z91" s="35">
        <v>45080.0</v>
      </c>
      <c r="AA91" s="32">
        <v>0.0</v>
      </c>
      <c r="AB91" s="35">
        <v>45080.0</v>
      </c>
      <c r="AC91" s="40"/>
      <c r="AD91" s="44" t="s">
        <v>107</v>
      </c>
      <c r="AE91" s="41" t="s">
        <v>107</v>
      </c>
      <c r="AF91" s="45" t="s">
        <v>107</v>
      </c>
      <c r="AG91" s="44" t="s">
        <v>107</v>
      </c>
      <c r="AI91" s="44" t="s">
        <v>107</v>
      </c>
      <c r="AK91" s="46"/>
    </row>
    <row r="92">
      <c r="A92" s="17" t="s">
        <v>299</v>
      </c>
      <c r="B92" s="17" t="s">
        <v>206</v>
      </c>
      <c r="C92" s="17" t="s">
        <v>289</v>
      </c>
      <c r="G92" s="17" t="s">
        <v>206</v>
      </c>
      <c r="I92" s="31" t="s">
        <v>125</v>
      </c>
      <c r="J92" s="32" t="s">
        <v>300</v>
      </c>
      <c r="K92" s="32">
        <v>85.3</v>
      </c>
      <c r="L92" s="32">
        <v>5.7</v>
      </c>
      <c r="M92" s="17">
        <v>9.2</v>
      </c>
      <c r="N92" s="17">
        <v>15.5</v>
      </c>
      <c r="O92" s="35">
        <v>43709.0</v>
      </c>
      <c r="P92" s="17">
        <v>16.0</v>
      </c>
      <c r="Q92" s="36">
        <v>128.0</v>
      </c>
      <c r="R92" s="17" t="s">
        <v>22</v>
      </c>
      <c r="S92" s="17"/>
      <c r="T92" s="17"/>
      <c r="U92" s="49">
        <f t="shared" si="4"/>
        <v>12.8</v>
      </c>
      <c r="V92" s="17">
        <v>2025.0</v>
      </c>
      <c r="W92" s="17"/>
      <c r="X92" s="17" t="s">
        <v>301</v>
      </c>
      <c r="Y92" s="47">
        <v>1.8</v>
      </c>
      <c r="Z92" s="35">
        <v>45082.0</v>
      </c>
      <c r="AA92" s="32">
        <v>3.6</v>
      </c>
      <c r="AB92" s="35">
        <v>45082.0</v>
      </c>
      <c r="AC92" s="40"/>
      <c r="AD92" s="44" t="s">
        <v>107</v>
      </c>
      <c r="AG92" s="44" t="s">
        <v>107</v>
      </c>
      <c r="AI92" s="44" t="s">
        <v>107</v>
      </c>
      <c r="AK92" s="46"/>
    </row>
    <row r="93">
      <c r="A93" s="17" t="s">
        <v>302</v>
      </c>
      <c r="B93" s="17" t="s">
        <v>206</v>
      </c>
      <c r="C93" s="24" t="s">
        <v>293</v>
      </c>
      <c r="I93" s="31" t="s">
        <v>125</v>
      </c>
      <c r="J93" s="32" t="s">
        <v>303</v>
      </c>
      <c r="K93" s="32">
        <v>81.6</v>
      </c>
      <c r="L93" s="32">
        <v>3.7</v>
      </c>
      <c r="M93" s="17">
        <v>8.2</v>
      </c>
      <c r="N93" s="17">
        <v>23.1</v>
      </c>
      <c r="O93" s="35">
        <v>43709.0</v>
      </c>
      <c r="P93" s="17">
        <v>16.0</v>
      </c>
      <c r="Q93" s="36">
        <v>128.0</v>
      </c>
      <c r="R93" s="17" t="s">
        <v>22</v>
      </c>
      <c r="U93" s="49">
        <f t="shared" si="4"/>
        <v>12.8</v>
      </c>
      <c r="V93" s="17">
        <v>2025.0</v>
      </c>
      <c r="Y93" s="47">
        <v>9.7</v>
      </c>
      <c r="Z93" s="35">
        <v>45085.0</v>
      </c>
      <c r="AA93" s="32">
        <v>10.1</v>
      </c>
      <c r="AB93" s="35">
        <v>45085.0</v>
      </c>
      <c r="AC93" s="40"/>
      <c r="AG93" s="44" t="s">
        <v>107</v>
      </c>
      <c r="AI93" s="44" t="s">
        <v>107</v>
      </c>
      <c r="AK93" s="46"/>
    </row>
    <row r="94">
      <c r="A94" s="17" t="s">
        <v>304</v>
      </c>
      <c r="B94" s="17" t="s">
        <v>195</v>
      </c>
      <c r="G94" s="17" t="s">
        <v>195</v>
      </c>
      <c r="I94" s="31" t="s">
        <v>125</v>
      </c>
      <c r="J94" s="32" t="s">
        <v>305</v>
      </c>
      <c r="K94" s="32">
        <v>101.0</v>
      </c>
      <c r="L94" s="33"/>
      <c r="M94" s="34"/>
      <c r="N94" s="34"/>
      <c r="O94" s="35" t="s">
        <v>100</v>
      </c>
      <c r="Q94" s="36" t="s">
        <v>100</v>
      </c>
      <c r="R94" s="17"/>
      <c r="S94" s="17"/>
      <c r="T94" s="17"/>
      <c r="U94" s="42"/>
      <c r="V94" s="17"/>
      <c r="W94" s="17"/>
      <c r="X94" s="17" t="s">
        <v>306</v>
      </c>
      <c r="Y94" s="38"/>
      <c r="Z94" s="39"/>
      <c r="AA94" s="33"/>
      <c r="AB94" s="39"/>
      <c r="AC94" s="50" t="s">
        <v>107</v>
      </c>
      <c r="AD94" s="44" t="s">
        <v>107</v>
      </c>
      <c r="AE94" s="44" t="s">
        <v>107</v>
      </c>
      <c r="AF94" s="45" t="s">
        <v>107</v>
      </c>
    </row>
    <row r="95">
      <c r="A95" s="17" t="s">
        <v>307</v>
      </c>
      <c r="B95" s="17" t="s">
        <v>206</v>
      </c>
      <c r="G95" s="17" t="s">
        <v>206</v>
      </c>
      <c r="H95" s="17" t="s">
        <v>206</v>
      </c>
      <c r="I95" s="31" t="s">
        <v>125</v>
      </c>
      <c r="J95" s="32" t="s">
        <v>308</v>
      </c>
      <c r="K95" s="32">
        <v>95.2</v>
      </c>
      <c r="L95" s="33"/>
      <c r="M95" s="34"/>
      <c r="N95" s="34"/>
      <c r="O95" s="35">
        <v>43374.0</v>
      </c>
      <c r="P95">
        <f t="shared" ref="P95:P96" si="5">Q95/8</f>
        <v>72</v>
      </c>
      <c r="Q95" s="36">
        <v>576.0</v>
      </c>
      <c r="R95" s="17" t="s">
        <v>22</v>
      </c>
      <c r="U95" s="37">
        <f t="shared" ref="U95:U111" si="6">Q95*0.25</f>
        <v>144</v>
      </c>
      <c r="V95" s="17">
        <v>2025.0</v>
      </c>
      <c r="Y95" s="47">
        <v>1.6</v>
      </c>
      <c r="Z95" s="35">
        <v>45086.0</v>
      </c>
      <c r="AA95" s="32">
        <v>2.3</v>
      </c>
      <c r="AB95" s="35">
        <v>45086.0</v>
      </c>
      <c r="AC95" s="40"/>
      <c r="AD95" s="44" t="s">
        <v>107</v>
      </c>
      <c r="AE95" s="41" t="s">
        <v>107</v>
      </c>
      <c r="AG95" s="45" t="s">
        <v>107</v>
      </c>
    </row>
    <row r="96">
      <c r="A96" s="17" t="s">
        <v>309</v>
      </c>
      <c r="B96" s="17" t="s">
        <v>206</v>
      </c>
      <c r="G96" s="17" t="s">
        <v>206</v>
      </c>
      <c r="H96" s="17" t="s">
        <v>206</v>
      </c>
      <c r="I96" s="31" t="s">
        <v>125</v>
      </c>
      <c r="J96" s="32" t="s">
        <v>310</v>
      </c>
      <c r="K96" s="32">
        <v>93.3</v>
      </c>
      <c r="L96" s="33"/>
      <c r="M96" s="34"/>
      <c r="N96" s="34"/>
      <c r="O96" s="35">
        <v>43344.0</v>
      </c>
      <c r="P96" s="48">
        <f t="shared" si="5"/>
        <v>71.125</v>
      </c>
      <c r="Q96" s="36">
        <v>569.0</v>
      </c>
      <c r="R96" s="17" t="s">
        <v>22</v>
      </c>
      <c r="U96" s="49">
        <f t="shared" si="6"/>
        <v>142.25</v>
      </c>
      <c r="V96" s="17">
        <v>2025.0</v>
      </c>
      <c r="Y96" s="38"/>
      <c r="Z96" s="35"/>
      <c r="AA96" s="33"/>
      <c r="AB96" s="35"/>
      <c r="AC96" s="40"/>
      <c r="AD96" s="44" t="s">
        <v>107</v>
      </c>
      <c r="AE96" s="41" t="s">
        <v>107</v>
      </c>
      <c r="AG96" s="45" t="s">
        <v>107</v>
      </c>
    </row>
    <row r="97">
      <c r="A97" s="17" t="s">
        <v>311</v>
      </c>
      <c r="B97" s="17" t="s">
        <v>206</v>
      </c>
      <c r="C97" s="24" t="s">
        <v>312</v>
      </c>
      <c r="G97" s="17" t="s">
        <v>206</v>
      </c>
      <c r="I97" s="31" t="s">
        <v>125</v>
      </c>
      <c r="J97" s="32" t="s">
        <v>313</v>
      </c>
      <c r="K97" s="32">
        <v>97.4</v>
      </c>
      <c r="L97" s="32">
        <v>7.1</v>
      </c>
      <c r="M97" s="17">
        <v>16.1</v>
      </c>
      <c r="N97" s="17">
        <v>6.5</v>
      </c>
      <c r="O97" s="35">
        <v>43556.0</v>
      </c>
      <c r="P97" s="17">
        <v>16.0</v>
      </c>
      <c r="Q97" s="36">
        <v>128.0</v>
      </c>
      <c r="R97" s="17" t="s">
        <v>22</v>
      </c>
      <c r="U97" s="49">
        <f t="shared" si="6"/>
        <v>32</v>
      </c>
      <c r="V97" s="17">
        <v>2025.0</v>
      </c>
      <c r="W97" s="17"/>
      <c r="X97" s="17" t="s">
        <v>314</v>
      </c>
      <c r="Y97" s="47">
        <v>12.0</v>
      </c>
      <c r="Z97" s="35">
        <v>45082.0</v>
      </c>
      <c r="AA97" s="32">
        <v>15.8</v>
      </c>
      <c r="AB97" s="35">
        <v>45082.0</v>
      </c>
      <c r="AC97" s="40"/>
      <c r="AD97" s="44" t="s">
        <v>107</v>
      </c>
      <c r="AF97" s="44" t="s">
        <v>107</v>
      </c>
      <c r="AG97" s="44" t="s">
        <v>107</v>
      </c>
      <c r="AI97" s="44" t="s">
        <v>107</v>
      </c>
      <c r="AK97" s="46"/>
    </row>
    <row r="98">
      <c r="A98" s="17" t="s">
        <v>315</v>
      </c>
      <c r="B98" s="17" t="s">
        <v>206</v>
      </c>
      <c r="C98" s="24" t="s">
        <v>312</v>
      </c>
      <c r="G98" s="17" t="s">
        <v>206</v>
      </c>
      <c r="I98" s="31" t="s">
        <v>125</v>
      </c>
      <c r="J98" s="32" t="s">
        <v>316</v>
      </c>
      <c r="K98" s="32">
        <v>96.5</v>
      </c>
      <c r="L98" s="32">
        <v>4.9</v>
      </c>
      <c r="M98" s="17">
        <v>30.0</v>
      </c>
      <c r="N98" s="17">
        <v>9.1</v>
      </c>
      <c r="O98" s="35">
        <v>43556.0</v>
      </c>
      <c r="P98" s="17">
        <v>16.0</v>
      </c>
      <c r="Q98" s="36">
        <v>128.0</v>
      </c>
      <c r="R98" s="17" t="s">
        <v>22</v>
      </c>
      <c r="U98" s="49">
        <f t="shared" si="6"/>
        <v>32</v>
      </c>
      <c r="V98" s="17">
        <v>2025.0</v>
      </c>
      <c r="W98" s="17"/>
      <c r="X98" s="17" t="s">
        <v>317</v>
      </c>
      <c r="Y98" s="47">
        <v>12.4</v>
      </c>
      <c r="Z98" s="35">
        <v>45084.0</v>
      </c>
      <c r="AA98" s="32">
        <v>16.9</v>
      </c>
      <c r="AB98" s="35">
        <v>45084.0</v>
      </c>
      <c r="AC98" s="51" t="s">
        <v>107</v>
      </c>
      <c r="AF98" s="44" t="s">
        <v>107</v>
      </c>
      <c r="AG98" s="44" t="s">
        <v>107</v>
      </c>
      <c r="AI98" s="44" t="s">
        <v>107</v>
      </c>
      <c r="AK98" s="46"/>
    </row>
    <row r="99">
      <c r="A99" s="17" t="s">
        <v>318</v>
      </c>
      <c r="B99" s="17" t="s">
        <v>206</v>
      </c>
      <c r="C99" s="17" t="s">
        <v>319</v>
      </c>
      <c r="I99" s="31" t="s">
        <v>125</v>
      </c>
      <c r="J99" s="32" t="s">
        <v>320</v>
      </c>
      <c r="K99" s="32">
        <v>95.2</v>
      </c>
      <c r="L99" s="32">
        <v>4.1</v>
      </c>
      <c r="M99" s="17">
        <v>9.9</v>
      </c>
      <c r="N99" s="17">
        <v>8.0</v>
      </c>
      <c r="O99" s="35">
        <v>43770.0</v>
      </c>
      <c r="P99" s="17">
        <v>16.0</v>
      </c>
      <c r="Q99" s="36">
        <v>128.0</v>
      </c>
      <c r="R99" s="17" t="s">
        <v>22</v>
      </c>
      <c r="U99" s="49">
        <f t="shared" si="6"/>
        <v>32</v>
      </c>
      <c r="V99" s="17">
        <v>2025.0</v>
      </c>
      <c r="Y99" s="47">
        <v>13.2</v>
      </c>
      <c r="Z99" s="35">
        <v>45087.0</v>
      </c>
      <c r="AA99" s="32">
        <v>13.6</v>
      </c>
      <c r="AB99" s="35">
        <v>45087.0</v>
      </c>
      <c r="AC99" s="40"/>
      <c r="AG99" s="44" t="s">
        <v>107</v>
      </c>
      <c r="AI99" s="44" t="s">
        <v>107</v>
      </c>
      <c r="AK99" s="46"/>
    </row>
    <row r="100">
      <c r="A100" s="17" t="s">
        <v>321</v>
      </c>
      <c r="B100" s="17" t="s">
        <v>206</v>
      </c>
      <c r="C100" s="24" t="s">
        <v>312</v>
      </c>
      <c r="I100" s="31" t="s">
        <v>125</v>
      </c>
      <c r="J100" s="32" t="s">
        <v>322</v>
      </c>
      <c r="K100" s="32">
        <v>94.6</v>
      </c>
      <c r="L100" s="32">
        <v>8.2</v>
      </c>
      <c r="M100" s="17">
        <v>30.0</v>
      </c>
      <c r="N100" s="17">
        <v>11.0</v>
      </c>
      <c r="O100" s="35">
        <v>43770.0</v>
      </c>
      <c r="P100" s="17">
        <v>16.0</v>
      </c>
      <c r="Q100" s="36">
        <v>128.0</v>
      </c>
      <c r="R100" s="17" t="s">
        <v>22</v>
      </c>
      <c r="U100" s="49">
        <f t="shared" si="6"/>
        <v>32</v>
      </c>
      <c r="V100" s="17">
        <v>2025.0</v>
      </c>
      <c r="Y100" s="47">
        <v>11.5</v>
      </c>
      <c r="Z100" s="35">
        <v>45088.0</v>
      </c>
      <c r="AA100" s="32">
        <v>12.1</v>
      </c>
      <c r="AB100" s="35">
        <v>45088.0</v>
      </c>
      <c r="AC100" s="40"/>
      <c r="AG100" s="44" t="s">
        <v>107</v>
      </c>
      <c r="AI100" s="44" t="s">
        <v>107</v>
      </c>
      <c r="AK100" s="46"/>
    </row>
    <row r="101">
      <c r="A101" s="17" t="s">
        <v>323</v>
      </c>
      <c r="B101" s="17" t="s">
        <v>206</v>
      </c>
      <c r="C101" s="17" t="s">
        <v>319</v>
      </c>
      <c r="I101" s="31" t="s">
        <v>125</v>
      </c>
      <c r="J101" s="32" t="s">
        <v>324</v>
      </c>
      <c r="K101" s="32">
        <v>90.4</v>
      </c>
      <c r="L101" s="32">
        <v>8.0</v>
      </c>
      <c r="M101" s="17">
        <v>18.1</v>
      </c>
      <c r="N101" s="17">
        <v>9.5</v>
      </c>
      <c r="O101" s="35">
        <v>43770.0</v>
      </c>
      <c r="P101" s="17">
        <v>16.0</v>
      </c>
      <c r="Q101" s="36">
        <v>128.0</v>
      </c>
      <c r="R101" s="17" t="s">
        <v>22</v>
      </c>
      <c r="U101" s="49">
        <f t="shared" si="6"/>
        <v>32</v>
      </c>
      <c r="V101" s="17">
        <v>2025.0</v>
      </c>
      <c r="Y101" s="47">
        <v>8.4</v>
      </c>
      <c r="Z101" s="35">
        <v>45093.0</v>
      </c>
      <c r="AA101" s="32">
        <v>16.9</v>
      </c>
      <c r="AB101" s="35">
        <v>45093.0</v>
      </c>
      <c r="AC101" s="40"/>
      <c r="AF101" s="45" t="s">
        <v>107</v>
      </c>
      <c r="AG101" s="44" t="s">
        <v>107</v>
      </c>
      <c r="AI101" s="44" t="s">
        <v>107</v>
      </c>
      <c r="AK101" s="46"/>
    </row>
    <row r="102">
      <c r="A102" s="17" t="s">
        <v>325</v>
      </c>
      <c r="B102" s="17" t="s">
        <v>206</v>
      </c>
      <c r="C102" s="17" t="s">
        <v>326</v>
      </c>
      <c r="I102" s="31" t="s">
        <v>125</v>
      </c>
      <c r="J102" s="32" t="s">
        <v>327</v>
      </c>
      <c r="K102" s="32">
        <v>100.0</v>
      </c>
      <c r="L102" s="32">
        <v>6.0</v>
      </c>
      <c r="M102" s="17">
        <v>10.1</v>
      </c>
      <c r="N102" s="17">
        <v>13.5</v>
      </c>
      <c r="O102" s="35">
        <v>43617.0</v>
      </c>
      <c r="P102" s="17">
        <v>16.0</v>
      </c>
      <c r="Q102" s="36">
        <v>128.0</v>
      </c>
      <c r="R102" s="17" t="s">
        <v>22</v>
      </c>
      <c r="U102" s="49">
        <f t="shared" si="6"/>
        <v>32</v>
      </c>
      <c r="V102" s="17">
        <v>2025.0</v>
      </c>
      <c r="Y102" s="47">
        <v>11.1</v>
      </c>
      <c r="Z102" s="35">
        <v>45080.0</v>
      </c>
      <c r="AA102" s="32">
        <v>18.8</v>
      </c>
      <c r="AB102" s="35">
        <v>45080.0</v>
      </c>
      <c r="AC102" s="40"/>
      <c r="AF102" s="44" t="s">
        <v>107</v>
      </c>
      <c r="AG102" s="44" t="s">
        <v>107</v>
      </c>
      <c r="AI102" s="44" t="s">
        <v>107</v>
      </c>
      <c r="AK102" s="46"/>
    </row>
    <row r="103">
      <c r="A103" s="17" t="s">
        <v>328</v>
      </c>
      <c r="B103" s="17" t="s">
        <v>206</v>
      </c>
      <c r="C103" s="24" t="s">
        <v>329</v>
      </c>
      <c r="I103" s="31" t="s">
        <v>125</v>
      </c>
      <c r="J103" s="32" t="s">
        <v>330</v>
      </c>
      <c r="K103" s="32">
        <v>93.8</v>
      </c>
      <c r="L103" s="32">
        <v>4.4</v>
      </c>
      <c r="M103" s="17">
        <v>20.2</v>
      </c>
      <c r="N103" s="17">
        <v>9.1</v>
      </c>
      <c r="O103" s="35">
        <v>43739.0</v>
      </c>
      <c r="P103" s="17">
        <v>16.0</v>
      </c>
      <c r="Q103" s="36">
        <v>128.0</v>
      </c>
      <c r="R103" s="17" t="s">
        <v>22</v>
      </c>
      <c r="U103" s="49">
        <f t="shared" si="6"/>
        <v>32</v>
      </c>
      <c r="V103" s="17">
        <v>2025.0</v>
      </c>
      <c r="Y103" s="47">
        <v>9.4</v>
      </c>
      <c r="Z103" s="35">
        <v>45089.0</v>
      </c>
      <c r="AA103" s="32">
        <v>9.4</v>
      </c>
      <c r="AB103" s="35">
        <v>45089.0</v>
      </c>
      <c r="AC103" s="40"/>
      <c r="AF103" s="44" t="s">
        <v>107</v>
      </c>
      <c r="AG103" s="44" t="s">
        <v>107</v>
      </c>
      <c r="AI103" s="44" t="s">
        <v>107</v>
      </c>
      <c r="AK103" s="46"/>
    </row>
    <row r="104">
      <c r="A104" s="17" t="s">
        <v>331</v>
      </c>
      <c r="B104" s="17" t="s">
        <v>206</v>
      </c>
      <c r="C104" s="24" t="s">
        <v>329</v>
      </c>
      <c r="I104" s="31" t="s">
        <v>125</v>
      </c>
      <c r="J104" s="32" t="s">
        <v>332</v>
      </c>
      <c r="K104" s="32">
        <v>91.7</v>
      </c>
      <c r="L104" s="32">
        <v>5.0</v>
      </c>
      <c r="M104" s="17">
        <v>7.6</v>
      </c>
      <c r="N104" s="17">
        <v>8.7</v>
      </c>
      <c r="O104" s="35">
        <v>43739.0</v>
      </c>
      <c r="P104" s="17">
        <v>16.0</v>
      </c>
      <c r="Q104" s="36">
        <v>128.0</v>
      </c>
      <c r="R104" s="17" t="s">
        <v>22</v>
      </c>
      <c r="U104" s="49">
        <f t="shared" si="6"/>
        <v>32</v>
      </c>
      <c r="V104" s="17">
        <v>2025.0</v>
      </c>
      <c r="Y104" s="47">
        <v>9.8</v>
      </c>
      <c r="Z104" s="35">
        <v>45091.0</v>
      </c>
      <c r="AA104" s="32">
        <v>10.1</v>
      </c>
      <c r="AB104" s="35">
        <v>45091.0</v>
      </c>
      <c r="AC104" s="40"/>
      <c r="AF104" s="45" t="s">
        <v>107</v>
      </c>
      <c r="AG104" s="44" t="s">
        <v>107</v>
      </c>
      <c r="AI104" s="44" t="s">
        <v>107</v>
      </c>
      <c r="AK104" s="46"/>
    </row>
    <row r="105">
      <c r="A105" s="17" t="s">
        <v>333</v>
      </c>
      <c r="B105" s="17" t="s">
        <v>206</v>
      </c>
      <c r="C105" s="17" t="s">
        <v>326</v>
      </c>
      <c r="I105" s="31" t="s">
        <v>125</v>
      </c>
      <c r="J105" s="32" t="s">
        <v>334</v>
      </c>
      <c r="K105" s="32">
        <v>89.4</v>
      </c>
      <c r="L105" s="32">
        <v>8.2</v>
      </c>
      <c r="M105" s="17">
        <v>15.5</v>
      </c>
      <c r="N105" s="17">
        <v>10.7</v>
      </c>
      <c r="O105" s="35">
        <v>43739.0</v>
      </c>
      <c r="P105" s="17">
        <v>16.0</v>
      </c>
      <c r="Q105" s="36">
        <v>128.0</v>
      </c>
      <c r="R105" s="17" t="s">
        <v>22</v>
      </c>
      <c r="U105" s="49">
        <f t="shared" si="6"/>
        <v>32</v>
      </c>
      <c r="V105" s="17">
        <v>2025.0</v>
      </c>
      <c r="Y105" s="47">
        <v>11.6</v>
      </c>
      <c r="Z105" s="35">
        <v>45095.0</v>
      </c>
      <c r="AA105" s="32">
        <v>12.1</v>
      </c>
      <c r="AB105" s="35">
        <v>45095.0</v>
      </c>
      <c r="AC105" s="40"/>
      <c r="AG105" s="44" t="s">
        <v>107</v>
      </c>
      <c r="AI105" s="44" t="s">
        <v>107</v>
      </c>
      <c r="AK105" s="46"/>
    </row>
    <row r="106">
      <c r="A106" s="17" t="s">
        <v>335</v>
      </c>
      <c r="B106" s="17" t="s">
        <v>206</v>
      </c>
      <c r="C106" s="24" t="s">
        <v>329</v>
      </c>
      <c r="I106" s="31" t="s">
        <v>125</v>
      </c>
      <c r="J106" s="32" t="s">
        <v>336</v>
      </c>
      <c r="K106" s="32">
        <v>87.5</v>
      </c>
      <c r="L106" s="32">
        <v>4.3</v>
      </c>
      <c r="M106" s="17">
        <v>17.2</v>
      </c>
      <c r="N106" s="17">
        <v>13.5</v>
      </c>
      <c r="O106" s="35">
        <v>43770.0</v>
      </c>
      <c r="P106" s="17">
        <v>16.0</v>
      </c>
      <c r="Q106" s="36">
        <v>128.0</v>
      </c>
      <c r="R106" s="17" t="s">
        <v>22</v>
      </c>
      <c r="U106" s="49">
        <f t="shared" si="6"/>
        <v>32</v>
      </c>
      <c r="V106" s="17">
        <v>2025.0</v>
      </c>
      <c r="Y106" s="47">
        <v>9.0</v>
      </c>
      <c r="Z106" s="35">
        <v>45079.0</v>
      </c>
      <c r="AA106" s="32">
        <v>13.5</v>
      </c>
      <c r="AB106" s="35">
        <v>45079.0</v>
      </c>
      <c r="AC106" s="40"/>
      <c r="AG106" s="44" t="s">
        <v>107</v>
      </c>
      <c r="AI106" s="44" t="s">
        <v>107</v>
      </c>
      <c r="AK106" s="46"/>
    </row>
    <row r="107">
      <c r="A107" s="17" t="s">
        <v>337</v>
      </c>
      <c r="B107" s="17" t="s">
        <v>206</v>
      </c>
      <c r="C107" s="24" t="s">
        <v>338</v>
      </c>
      <c r="I107" s="31" t="s">
        <v>125</v>
      </c>
      <c r="J107" s="32" t="s">
        <v>339</v>
      </c>
      <c r="K107" s="32">
        <v>97.2</v>
      </c>
      <c r="L107" s="32">
        <v>4.9</v>
      </c>
      <c r="M107" s="17">
        <v>16.7</v>
      </c>
      <c r="N107" s="17">
        <v>6.5</v>
      </c>
      <c r="O107" s="35">
        <v>43617.0</v>
      </c>
      <c r="P107" s="17">
        <v>16.0</v>
      </c>
      <c r="Q107" s="36">
        <v>96.0</v>
      </c>
      <c r="R107" s="17" t="s">
        <v>22</v>
      </c>
      <c r="U107" s="49">
        <f t="shared" si="6"/>
        <v>24</v>
      </c>
      <c r="V107" s="17">
        <v>2025.0</v>
      </c>
      <c r="Y107" s="47">
        <v>11.7</v>
      </c>
      <c r="Z107" s="35">
        <v>45083.0</v>
      </c>
      <c r="AA107" s="32">
        <v>16.1</v>
      </c>
      <c r="AB107" s="35">
        <v>45083.0</v>
      </c>
      <c r="AC107" s="40"/>
      <c r="AF107" s="44" t="s">
        <v>107</v>
      </c>
      <c r="AG107" s="44" t="s">
        <v>107</v>
      </c>
      <c r="AI107" s="44" t="s">
        <v>107</v>
      </c>
      <c r="AK107" s="46"/>
    </row>
    <row r="108">
      <c r="A108" s="17" t="s">
        <v>340</v>
      </c>
      <c r="B108" s="17" t="s">
        <v>206</v>
      </c>
      <c r="C108" s="24" t="s">
        <v>338</v>
      </c>
      <c r="I108" s="31" t="s">
        <v>125</v>
      </c>
      <c r="J108" s="32" t="s">
        <v>341</v>
      </c>
      <c r="K108" s="32">
        <v>95.8</v>
      </c>
      <c r="L108" s="32">
        <v>4.2</v>
      </c>
      <c r="M108" s="17">
        <v>16.2</v>
      </c>
      <c r="N108" s="17">
        <v>10.8</v>
      </c>
      <c r="O108" s="35">
        <v>43770.0</v>
      </c>
      <c r="P108" s="17">
        <v>16.0</v>
      </c>
      <c r="Q108" s="36">
        <v>96.0</v>
      </c>
      <c r="R108" s="17" t="s">
        <v>22</v>
      </c>
      <c r="U108" s="49">
        <f t="shared" si="6"/>
        <v>24</v>
      </c>
      <c r="V108" s="17">
        <v>2025.0</v>
      </c>
      <c r="Y108" s="47">
        <v>5.6</v>
      </c>
      <c r="Z108" s="35">
        <v>45085.0</v>
      </c>
      <c r="AA108" s="32">
        <v>8.4</v>
      </c>
      <c r="AB108" s="35">
        <v>45085.0</v>
      </c>
      <c r="AC108" s="40"/>
      <c r="AG108" s="44" t="s">
        <v>107</v>
      </c>
      <c r="AI108" s="44" t="s">
        <v>107</v>
      </c>
      <c r="AK108" s="46"/>
    </row>
    <row r="109">
      <c r="A109" s="17" t="s">
        <v>342</v>
      </c>
      <c r="B109" s="17" t="s">
        <v>206</v>
      </c>
      <c r="C109" s="24" t="s">
        <v>338</v>
      </c>
      <c r="I109" s="31" t="s">
        <v>125</v>
      </c>
      <c r="J109" s="32" t="s">
        <v>343</v>
      </c>
      <c r="K109" s="32">
        <v>88.1</v>
      </c>
      <c r="L109" s="32">
        <v>6.8</v>
      </c>
      <c r="M109" s="17">
        <v>10.6</v>
      </c>
      <c r="N109" s="17">
        <v>13.5</v>
      </c>
      <c r="O109" s="35">
        <v>43770.0</v>
      </c>
      <c r="P109" s="17">
        <v>16.0</v>
      </c>
      <c r="Q109" s="36">
        <v>96.0</v>
      </c>
      <c r="R109" s="17" t="s">
        <v>22</v>
      </c>
      <c r="U109" s="49">
        <f t="shared" si="6"/>
        <v>24</v>
      </c>
      <c r="V109" s="17">
        <v>2025.0</v>
      </c>
      <c r="Y109" s="47">
        <v>10.1</v>
      </c>
      <c r="Z109" s="35">
        <v>45078.0</v>
      </c>
      <c r="AA109" s="32">
        <v>10.8</v>
      </c>
      <c r="AB109" s="35">
        <v>45078.0</v>
      </c>
      <c r="AC109" s="40"/>
      <c r="AF109" s="45" t="s">
        <v>107</v>
      </c>
      <c r="AG109" s="44" t="s">
        <v>107</v>
      </c>
      <c r="AI109" s="44" t="s">
        <v>107</v>
      </c>
      <c r="AK109" s="46"/>
    </row>
    <row r="110">
      <c r="A110" s="17" t="s">
        <v>344</v>
      </c>
      <c r="B110" s="17" t="s">
        <v>206</v>
      </c>
      <c r="C110" s="17" t="s">
        <v>345</v>
      </c>
      <c r="I110" s="31" t="s">
        <v>125</v>
      </c>
      <c r="J110" s="32" t="s">
        <v>346</v>
      </c>
      <c r="K110" s="32">
        <v>86.3</v>
      </c>
      <c r="L110" s="32">
        <v>6.5</v>
      </c>
      <c r="M110" s="17">
        <v>11.3</v>
      </c>
      <c r="N110" s="17">
        <v>8.5</v>
      </c>
      <c r="O110" s="35">
        <v>43770.0</v>
      </c>
      <c r="P110" s="17">
        <v>16.0</v>
      </c>
      <c r="Q110" s="36">
        <v>96.0</v>
      </c>
      <c r="R110" s="17" t="s">
        <v>22</v>
      </c>
      <c r="U110" s="49">
        <f t="shared" si="6"/>
        <v>24</v>
      </c>
      <c r="V110" s="17">
        <v>2025.0</v>
      </c>
      <c r="Y110" s="47">
        <v>5.9</v>
      </c>
      <c r="Z110" s="35">
        <v>45081.0</v>
      </c>
      <c r="AA110" s="32">
        <v>9.8</v>
      </c>
      <c r="AB110" s="35">
        <v>45081.0</v>
      </c>
      <c r="AC110" s="40"/>
      <c r="AG110" s="44" t="s">
        <v>107</v>
      </c>
      <c r="AI110" s="44" t="s">
        <v>107</v>
      </c>
      <c r="AK110" s="46"/>
    </row>
    <row r="111">
      <c r="A111" s="17" t="s">
        <v>347</v>
      </c>
      <c r="B111" s="17" t="s">
        <v>206</v>
      </c>
      <c r="C111" s="24" t="s">
        <v>338</v>
      </c>
      <c r="I111" s="31" t="s">
        <v>125</v>
      </c>
      <c r="J111" s="32" t="s">
        <v>348</v>
      </c>
      <c r="K111" s="32">
        <v>83.0</v>
      </c>
      <c r="L111" s="32">
        <v>3.6</v>
      </c>
      <c r="M111" s="17">
        <v>8.3</v>
      </c>
      <c r="N111" s="17">
        <v>23.1</v>
      </c>
      <c r="O111" s="35">
        <v>43770.0</v>
      </c>
      <c r="P111" s="17">
        <v>16.0</v>
      </c>
      <c r="Q111" s="36">
        <v>96.0</v>
      </c>
      <c r="R111" s="17" t="s">
        <v>22</v>
      </c>
      <c r="U111" s="49">
        <f t="shared" si="6"/>
        <v>24</v>
      </c>
      <c r="V111" s="17">
        <v>2025.0</v>
      </c>
      <c r="Y111" s="47">
        <v>8.8</v>
      </c>
      <c r="Z111" s="35">
        <v>45084.0</v>
      </c>
      <c r="AA111" s="32">
        <v>15.1</v>
      </c>
      <c r="AB111" s="35">
        <v>45084.0</v>
      </c>
      <c r="AC111" s="40"/>
      <c r="AG111" s="44" t="s">
        <v>107</v>
      </c>
      <c r="AI111" s="44" t="s">
        <v>107</v>
      </c>
      <c r="AK111" s="46"/>
    </row>
    <row r="112">
      <c r="A112" s="17" t="s">
        <v>349</v>
      </c>
      <c r="B112" s="17" t="s">
        <v>195</v>
      </c>
      <c r="C112" s="17" t="s">
        <v>350</v>
      </c>
      <c r="G112" s="17" t="s">
        <v>350</v>
      </c>
      <c r="I112" s="31" t="s">
        <v>125</v>
      </c>
      <c r="J112" s="32" t="s">
        <v>351</v>
      </c>
      <c r="K112" s="32">
        <v>81.3</v>
      </c>
      <c r="L112" s="32">
        <v>8.3</v>
      </c>
      <c r="M112" s="17">
        <v>8.1</v>
      </c>
      <c r="N112" s="17" t="s">
        <v>100</v>
      </c>
      <c r="O112" s="35" t="s">
        <v>100</v>
      </c>
      <c r="Q112" s="36" t="s">
        <v>100</v>
      </c>
      <c r="U112" s="37"/>
      <c r="Y112" s="47" t="s">
        <v>100</v>
      </c>
      <c r="Z112" s="17" t="s">
        <v>100</v>
      </c>
      <c r="AA112" s="33"/>
      <c r="AB112" s="39"/>
      <c r="AC112" s="40"/>
      <c r="AD112" s="44" t="s">
        <v>107</v>
      </c>
      <c r="AE112" s="44" t="s">
        <v>107</v>
      </c>
      <c r="AF112" s="44" t="s">
        <v>107</v>
      </c>
      <c r="AG112" s="44" t="s">
        <v>107</v>
      </c>
      <c r="AI112" s="44" t="s">
        <v>107</v>
      </c>
      <c r="AK112" s="46"/>
    </row>
    <row r="113">
      <c r="A113" s="17" t="s">
        <v>352</v>
      </c>
      <c r="B113" s="17" t="s">
        <v>195</v>
      </c>
      <c r="C113" s="17" t="s">
        <v>350</v>
      </c>
      <c r="G113" s="17" t="s">
        <v>350</v>
      </c>
      <c r="I113" s="31" t="s">
        <v>125</v>
      </c>
      <c r="J113" s="32" t="s">
        <v>353</v>
      </c>
      <c r="K113" s="32">
        <v>79.7</v>
      </c>
      <c r="L113" s="32">
        <v>9.3</v>
      </c>
      <c r="M113" s="17">
        <v>12.2</v>
      </c>
      <c r="N113" s="17" t="s">
        <v>100</v>
      </c>
      <c r="O113" s="35" t="s">
        <v>100</v>
      </c>
      <c r="Q113" s="36" t="s">
        <v>100</v>
      </c>
      <c r="U113" s="37"/>
      <c r="Y113" s="47" t="s">
        <v>100</v>
      </c>
      <c r="Z113" s="17" t="s">
        <v>100</v>
      </c>
      <c r="AA113" s="33"/>
      <c r="AB113" s="39"/>
      <c r="AC113" s="40"/>
      <c r="AD113" s="44" t="s">
        <v>107</v>
      </c>
      <c r="AE113" s="44" t="s">
        <v>107</v>
      </c>
      <c r="AF113" s="44" t="s">
        <v>107</v>
      </c>
      <c r="AG113" s="44" t="s">
        <v>107</v>
      </c>
      <c r="AI113" s="44" t="s">
        <v>107</v>
      </c>
      <c r="AK113" s="46"/>
    </row>
    <row r="114">
      <c r="A114" s="17" t="s">
        <v>354</v>
      </c>
      <c r="B114" s="17" t="s">
        <v>195</v>
      </c>
      <c r="C114" s="17" t="s">
        <v>350</v>
      </c>
      <c r="G114" s="17" t="s">
        <v>350</v>
      </c>
      <c r="I114" s="31" t="s">
        <v>125</v>
      </c>
      <c r="J114" s="32" t="s">
        <v>355</v>
      </c>
      <c r="K114" s="32">
        <v>78.0</v>
      </c>
      <c r="L114" s="32">
        <v>7.9</v>
      </c>
      <c r="M114" s="17">
        <v>12.7</v>
      </c>
      <c r="N114" s="17" t="s">
        <v>100</v>
      </c>
      <c r="O114" s="35" t="s">
        <v>100</v>
      </c>
      <c r="Q114" s="36" t="s">
        <v>100</v>
      </c>
      <c r="U114" s="37"/>
      <c r="Y114" s="47" t="s">
        <v>100</v>
      </c>
      <c r="Z114" s="17" t="s">
        <v>100</v>
      </c>
      <c r="AA114" s="33"/>
      <c r="AB114" s="39"/>
      <c r="AC114" s="40"/>
      <c r="AD114" s="44" t="s">
        <v>107</v>
      </c>
      <c r="AE114" s="44" t="s">
        <v>107</v>
      </c>
      <c r="AF114" s="44" t="s">
        <v>107</v>
      </c>
      <c r="AG114" s="44" t="s">
        <v>107</v>
      </c>
      <c r="AI114" s="44" t="s">
        <v>107</v>
      </c>
      <c r="AK114" s="46"/>
    </row>
    <row r="115">
      <c r="A115" s="17" t="s">
        <v>356</v>
      </c>
      <c r="B115" s="17" t="s">
        <v>195</v>
      </c>
      <c r="C115" s="17" t="s">
        <v>350</v>
      </c>
      <c r="G115" s="17" t="s">
        <v>350</v>
      </c>
      <c r="I115" s="31" t="s">
        <v>125</v>
      </c>
      <c r="J115" s="32" t="s">
        <v>357</v>
      </c>
      <c r="K115" s="32">
        <v>76.2</v>
      </c>
      <c r="L115" s="32">
        <v>4.7</v>
      </c>
      <c r="M115" s="17">
        <v>8.7</v>
      </c>
      <c r="N115" s="17" t="s">
        <v>100</v>
      </c>
      <c r="O115" s="35" t="s">
        <v>100</v>
      </c>
      <c r="Q115" s="36" t="s">
        <v>100</v>
      </c>
      <c r="U115" s="37"/>
      <c r="Y115" s="47" t="s">
        <v>100</v>
      </c>
      <c r="Z115" s="17" t="s">
        <v>100</v>
      </c>
      <c r="AA115" s="33"/>
      <c r="AB115" s="39"/>
      <c r="AC115" s="40"/>
      <c r="AD115" s="44" t="s">
        <v>107</v>
      </c>
      <c r="AE115" s="44" t="s">
        <v>107</v>
      </c>
      <c r="AF115" s="44" t="s">
        <v>107</v>
      </c>
      <c r="AG115" s="44" t="s">
        <v>107</v>
      </c>
      <c r="AI115" s="44" t="s">
        <v>107</v>
      </c>
      <c r="AK115" s="46"/>
    </row>
    <row r="116">
      <c r="A116" s="17" t="s">
        <v>358</v>
      </c>
      <c r="B116" s="17" t="s">
        <v>195</v>
      </c>
      <c r="C116" s="17" t="s">
        <v>350</v>
      </c>
      <c r="G116" s="17" t="s">
        <v>350</v>
      </c>
      <c r="I116" s="31" t="s">
        <v>125</v>
      </c>
      <c r="J116" s="32" t="s">
        <v>359</v>
      </c>
      <c r="K116" s="32">
        <v>74.8</v>
      </c>
      <c r="L116" s="32">
        <v>5.2</v>
      </c>
      <c r="M116" s="17">
        <v>21.3</v>
      </c>
      <c r="N116" s="17" t="s">
        <v>100</v>
      </c>
      <c r="O116" s="35" t="s">
        <v>100</v>
      </c>
      <c r="Q116" s="36" t="s">
        <v>100</v>
      </c>
      <c r="U116" s="37"/>
      <c r="Y116" s="47" t="s">
        <v>100</v>
      </c>
      <c r="Z116" s="35" t="s">
        <v>100</v>
      </c>
      <c r="AA116" s="33"/>
      <c r="AB116" s="39"/>
      <c r="AC116" s="40"/>
      <c r="AD116" s="44" t="s">
        <v>107</v>
      </c>
      <c r="AE116" s="44" t="s">
        <v>107</v>
      </c>
      <c r="AF116" s="44" t="s">
        <v>107</v>
      </c>
      <c r="AG116" s="44" t="s">
        <v>107</v>
      </c>
      <c r="AI116" s="44" t="s">
        <v>107</v>
      </c>
      <c r="AK116" s="46"/>
    </row>
    <row r="117">
      <c r="A117" s="17" t="s">
        <v>360</v>
      </c>
      <c r="B117" s="17" t="s">
        <v>206</v>
      </c>
      <c r="G117" s="17" t="s">
        <v>216</v>
      </c>
      <c r="I117" s="31" t="s">
        <v>125</v>
      </c>
      <c r="J117" s="32" t="s">
        <v>361</v>
      </c>
      <c r="K117" s="32">
        <v>88.8</v>
      </c>
      <c r="L117" s="33"/>
      <c r="M117" s="34"/>
      <c r="N117" s="34"/>
      <c r="O117" s="35">
        <v>44136.0</v>
      </c>
      <c r="Q117" s="36">
        <v>168.0</v>
      </c>
      <c r="R117" s="17" t="s">
        <v>22</v>
      </c>
      <c r="U117" s="49">
        <f t="shared" ref="U117:U118" si="7">Q117*0.05</f>
        <v>8.4</v>
      </c>
      <c r="V117" s="17">
        <v>2025.0</v>
      </c>
      <c r="Y117" s="47">
        <v>10.9</v>
      </c>
      <c r="Z117" s="39"/>
      <c r="AA117" s="32">
        <v>16.4</v>
      </c>
      <c r="AB117" s="39"/>
      <c r="AC117" s="40"/>
      <c r="AD117" s="44" t="s">
        <v>107</v>
      </c>
      <c r="AE117" s="41" t="s">
        <v>107</v>
      </c>
    </row>
    <row r="118">
      <c r="A118" s="17" t="s">
        <v>362</v>
      </c>
      <c r="B118" s="17" t="s">
        <v>206</v>
      </c>
      <c r="G118" s="17" t="s">
        <v>216</v>
      </c>
      <c r="I118" s="31" t="s">
        <v>125</v>
      </c>
      <c r="J118" s="32" t="s">
        <v>363</v>
      </c>
      <c r="K118" s="32">
        <v>83.3</v>
      </c>
      <c r="L118" s="33"/>
      <c r="M118" s="34"/>
      <c r="N118" s="34"/>
      <c r="O118" s="35">
        <v>43344.0</v>
      </c>
      <c r="Q118" s="36">
        <v>208.0</v>
      </c>
      <c r="R118" s="17" t="s">
        <v>22</v>
      </c>
      <c r="U118" s="49">
        <f t="shared" si="7"/>
        <v>10.4</v>
      </c>
      <c r="V118" s="17">
        <v>2025.0</v>
      </c>
      <c r="Y118" s="47">
        <v>1.2</v>
      </c>
      <c r="Z118" s="35">
        <v>45083.0</v>
      </c>
      <c r="AA118" s="32">
        <v>5.8</v>
      </c>
      <c r="AB118" s="35">
        <v>45083.0</v>
      </c>
      <c r="AC118" s="40"/>
      <c r="AD118" s="44" t="s">
        <v>107</v>
      </c>
      <c r="AE118" s="41" t="s">
        <v>107</v>
      </c>
    </row>
    <row r="119">
      <c r="A119" s="17" t="s">
        <v>364</v>
      </c>
      <c r="B119" s="17" t="s">
        <v>97</v>
      </c>
      <c r="I119" s="31" t="s">
        <v>284</v>
      </c>
      <c r="J119" s="33"/>
      <c r="K119" s="33"/>
      <c r="L119" s="33"/>
      <c r="M119" s="34"/>
      <c r="N119" s="34"/>
      <c r="O119" s="35" t="s">
        <v>100</v>
      </c>
      <c r="Q119" s="36" t="s">
        <v>100</v>
      </c>
      <c r="U119" s="37"/>
      <c r="Y119" s="38"/>
      <c r="Z119" s="39"/>
      <c r="AA119" s="33"/>
      <c r="AB119" s="39"/>
      <c r="AC119" s="40"/>
      <c r="AI119" s="45" t="s">
        <v>107</v>
      </c>
    </row>
    <row r="120">
      <c r="A120" s="17" t="s">
        <v>365</v>
      </c>
      <c r="B120" s="17" t="s">
        <v>97</v>
      </c>
      <c r="I120" s="31" t="s">
        <v>284</v>
      </c>
      <c r="J120" s="33"/>
      <c r="K120" s="33"/>
      <c r="L120" s="33"/>
      <c r="M120" s="34"/>
      <c r="N120" s="34"/>
      <c r="O120" s="35" t="s">
        <v>100</v>
      </c>
      <c r="Q120" s="36" t="s">
        <v>100</v>
      </c>
      <c r="U120" s="37"/>
      <c r="Y120" s="38"/>
      <c r="Z120" s="39"/>
      <c r="AA120" s="33"/>
      <c r="AB120" s="39"/>
      <c r="AC120" s="40"/>
      <c r="AI120" s="45" t="s">
        <v>107</v>
      </c>
    </row>
    <row r="121">
      <c r="A121" s="17" t="s">
        <v>366</v>
      </c>
      <c r="B121" s="17" t="s">
        <v>206</v>
      </c>
      <c r="E121" s="17" t="s">
        <v>367</v>
      </c>
      <c r="I121" s="31" t="s">
        <v>98</v>
      </c>
      <c r="J121" s="32" t="s">
        <v>368</v>
      </c>
      <c r="K121" s="32">
        <v>173.1</v>
      </c>
      <c r="L121" s="32">
        <v>4.0</v>
      </c>
      <c r="M121" s="34"/>
      <c r="N121" s="34"/>
      <c r="O121" s="35">
        <v>45078.0</v>
      </c>
      <c r="P121" s="17">
        <v>16.0</v>
      </c>
      <c r="Q121" s="36">
        <v>0.0</v>
      </c>
      <c r="R121" s="17" t="s">
        <v>100</v>
      </c>
      <c r="S121" s="17" t="s">
        <v>100</v>
      </c>
      <c r="T121" s="17" t="s">
        <v>100</v>
      </c>
      <c r="U121" s="42">
        <v>0.0</v>
      </c>
      <c r="V121">
        <f t="shared" ref="V121:V127" si="8">YEAR(TODAY())</f>
        <v>2025</v>
      </c>
      <c r="Y121" s="38"/>
      <c r="Z121" s="39"/>
      <c r="AA121" s="33"/>
      <c r="AB121" s="39"/>
      <c r="AC121" s="40"/>
      <c r="AI121" s="44" t="s">
        <v>107</v>
      </c>
      <c r="AJ121" s="46"/>
    </row>
    <row r="122">
      <c r="A122" s="17" t="s">
        <v>369</v>
      </c>
      <c r="B122" s="17" t="s">
        <v>206</v>
      </c>
      <c r="E122" s="17" t="s">
        <v>367</v>
      </c>
      <c r="I122" s="31" t="s">
        <v>98</v>
      </c>
      <c r="J122" s="32" t="s">
        <v>370</v>
      </c>
      <c r="K122" s="32">
        <v>170.0</v>
      </c>
      <c r="L122" s="32">
        <v>6.0</v>
      </c>
      <c r="M122" s="34"/>
      <c r="N122" s="34"/>
      <c r="O122" s="35">
        <v>45108.0</v>
      </c>
      <c r="P122" s="17">
        <v>16.0</v>
      </c>
      <c r="Q122" s="36">
        <v>0.0</v>
      </c>
      <c r="R122" s="17" t="s">
        <v>100</v>
      </c>
      <c r="S122" s="17" t="s">
        <v>100</v>
      </c>
      <c r="T122" s="17" t="s">
        <v>100</v>
      </c>
      <c r="U122" s="42">
        <v>0.0</v>
      </c>
      <c r="V122">
        <f t="shared" si="8"/>
        <v>2025</v>
      </c>
      <c r="W122" s="17"/>
      <c r="X122" s="17" t="s">
        <v>371</v>
      </c>
      <c r="Y122" s="38"/>
      <c r="Z122" s="39"/>
      <c r="AA122" s="33"/>
      <c r="AB122" s="39"/>
      <c r="AC122" s="40"/>
      <c r="AD122" s="17" t="s">
        <v>372</v>
      </c>
      <c r="AI122" s="44" t="s">
        <v>107</v>
      </c>
      <c r="AJ122" s="46"/>
    </row>
    <row r="123">
      <c r="A123" s="17" t="s">
        <v>373</v>
      </c>
      <c r="B123" s="17" t="s">
        <v>206</v>
      </c>
      <c r="E123" s="17" t="s">
        <v>367</v>
      </c>
      <c r="I123" s="31" t="s">
        <v>98</v>
      </c>
      <c r="J123" s="32" t="s">
        <v>374</v>
      </c>
      <c r="K123" s="32">
        <v>161.6</v>
      </c>
      <c r="L123" s="32">
        <v>4.3</v>
      </c>
      <c r="M123" s="34"/>
      <c r="N123" s="34"/>
      <c r="O123" s="35">
        <v>45170.0</v>
      </c>
      <c r="P123" s="17">
        <v>16.0</v>
      </c>
      <c r="Q123" s="36">
        <v>0.0</v>
      </c>
      <c r="R123" s="17" t="s">
        <v>100</v>
      </c>
      <c r="S123" s="17" t="s">
        <v>100</v>
      </c>
      <c r="T123" s="17" t="s">
        <v>100</v>
      </c>
      <c r="U123" s="42">
        <v>0.0</v>
      </c>
      <c r="V123">
        <f t="shared" si="8"/>
        <v>2025</v>
      </c>
      <c r="Y123" s="38"/>
      <c r="Z123" s="39"/>
      <c r="AA123" s="33"/>
      <c r="AB123" s="39"/>
      <c r="AC123" s="40"/>
      <c r="AI123" s="44" t="s">
        <v>107</v>
      </c>
      <c r="AJ123" s="46"/>
    </row>
    <row r="124">
      <c r="A124" s="17" t="s">
        <v>375</v>
      </c>
      <c r="B124" s="17" t="s">
        <v>206</v>
      </c>
      <c r="E124" s="17" t="s">
        <v>367</v>
      </c>
      <c r="I124" s="31" t="s">
        <v>161</v>
      </c>
      <c r="J124" s="32" t="s">
        <v>376</v>
      </c>
      <c r="K124" s="32">
        <v>134.3</v>
      </c>
      <c r="L124" s="32">
        <v>5.0</v>
      </c>
      <c r="M124" s="34"/>
      <c r="N124" s="34"/>
      <c r="O124" s="35">
        <v>45261.0</v>
      </c>
      <c r="P124" s="17">
        <v>16.0</v>
      </c>
      <c r="Q124" s="36">
        <v>0.0</v>
      </c>
      <c r="R124" s="17" t="s">
        <v>100</v>
      </c>
      <c r="S124" s="17" t="s">
        <v>100</v>
      </c>
      <c r="T124" s="17" t="s">
        <v>100</v>
      </c>
      <c r="U124" s="42">
        <v>0.0</v>
      </c>
      <c r="V124">
        <f t="shared" si="8"/>
        <v>2025</v>
      </c>
      <c r="Y124" s="38"/>
      <c r="Z124" s="35"/>
      <c r="AA124" s="33"/>
      <c r="AB124" s="35"/>
      <c r="AC124" s="40"/>
      <c r="AD124" s="17" t="s">
        <v>372</v>
      </c>
      <c r="AI124" s="44" t="s">
        <v>107</v>
      </c>
      <c r="AJ124" s="46"/>
    </row>
    <row r="125">
      <c r="A125" s="17" t="s">
        <v>377</v>
      </c>
      <c r="B125" s="17" t="s">
        <v>206</v>
      </c>
      <c r="E125" s="17" t="s">
        <v>367</v>
      </c>
      <c r="I125" s="31" t="s">
        <v>161</v>
      </c>
      <c r="J125" s="32" t="s">
        <v>378</v>
      </c>
      <c r="K125" s="32">
        <v>132.4</v>
      </c>
      <c r="L125" s="32">
        <v>3.7</v>
      </c>
      <c r="M125" s="34"/>
      <c r="N125" s="34"/>
      <c r="O125" s="35">
        <v>45352.0</v>
      </c>
      <c r="P125" s="17">
        <v>16.0</v>
      </c>
      <c r="Q125" s="36">
        <v>0.0</v>
      </c>
      <c r="R125" s="17" t="s">
        <v>100</v>
      </c>
      <c r="S125" s="17" t="s">
        <v>100</v>
      </c>
      <c r="T125" s="17" t="s">
        <v>100</v>
      </c>
      <c r="U125" s="42">
        <v>0.0</v>
      </c>
      <c r="V125">
        <f t="shared" si="8"/>
        <v>2025</v>
      </c>
      <c r="Y125" s="38"/>
      <c r="Z125" s="35"/>
      <c r="AA125" s="33"/>
      <c r="AB125" s="35"/>
      <c r="AC125" s="40"/>
      <c r="AI125" s="44" t="s">
        <v>107</v>
      </c>
      <c r="AJ125" s="46"/>
    </row>
    <row r="126">
      <c r="A126" s="17" t="s">
        <v>379</v>
      </c>
      <c r="B126" s="17" t="s">
        <v>206</v>
      </c>
      <c r="E126" s="17" t="s">
        <v>367</v>
      </c>
      <c r="I126" s="31" t="s">
        <v>161</v>
      </c>
      <c r="J126" s="32" t="s">
        <v>380</v>
      </c>
      <c r="K126" s="32">
        <v>126.6</v>
      </c>
      <c r="L126" s="32">
        <v>5.3</v>
      </c>
      <c r="M126" s="34"/>
      <c r="N126" s="34"/>
      <c r="O126" s="35">
        <v>45413.0</v>
      </c>
      <c r="P126" s="17">
        <v>16.0</v>
      </c>
      <c r="Q126" s="36">
        <v>0.0</v>
      </c>
      <c r="R126" s="17" t="s">
        <v>100</v>
      </c>
      <c r="S126" s="17" t="s">
        <v>100</v>
      </c>
      <c r="T126" s="17" t="s">
        <v>100</v>
      </c>
      <c r="U126" s="42">
        <v>0.0</v>
      </c>
      <c r="V126">
        <f t="shared" si="8"/>
        <v>2025</v>
      </c>
      <c r="Y126" s="38"/>
      <c r="Z126" s="39"/>
      <c r="AA126" s="33"/>
      <c r="AB126" s="39"/>
      <c r="AC126" s="40"/>
      <c r="AI126" s="44" t="s">
        <v>107</v>
      </c>
      <c r="AJ126" s="46"/>
    </row>
    <row r="127">
      <c r="A127" s="17" t="s">
        <v>381</v>
      </c>
      <c r="B127" s="17" t="s">
        <v>206</v>
      </c>
      <c r="E127" s="17" t="s">
        <v>367</v>
      </c>
      <c r="I127" s="31" t="s">
        <v>125</v>
      </c>
      <c r="J127" s="32" t="s">
        <v>382</v>
      </c>
      <c r="K127" s="32">
        <v>88.2</v>
      </c>
      <c r="L127" s="32">
        <v>2.5</v>
      </c>
      <c r="M127" s="34"/>
      <c r="N127" s="34"/>
      <c r="O127" s="35">
        <v>45474.0</v>
      </c>
      <c r="P127" s="17">
        <v>16.0</v>
      </c>
      <c r="Q127" s="36">
        <v>0.0</v>
      </c>
      <c r="R127" s="17" t="s">
        <v>100</v>
      </c>
      <c r="S127" s="17" t="s">
        <v>100</v>
      </c>
      <c r="T127" s="17" t="s">
        <v>100</v>
      </c>
      <c r="U127" s="42">
        <v>0.0</v>
      </c>
      <c r="V127">
        <f t="shared" si="8"/>
        <v>2025</v>
      </c>
      <c r="Y127" s="38"/>
      <c r="Z127" s="39"/>
      <c r="AA127" s="33"/>
      <c r="AB127" s="39"/>
      <c r="AC127" s="40"/>
      <c r="AI127" s="44" t="s">
        <v>107</v>
      </c>
      <c r="AJ127" s="46"/>
    </row>
    <row r="128">
      <c r="A128" s="17" t="s">
        <v>383</v>
      </c>
      <c r="B128" s="17" t="s">
        <v>195</v>
      </c>
      <c r="E128" s="17" t="s">
        <v>195</v>
      </c>
      <c r="I128" s="31" t="s">
        <v>98</v>
      </c>
      <c r="J128" s="32" t="s">
        <v>384</v>
      </c>
      <c r="K128" s="32">
        <v>171.7</v>
      </c>
      <c r="L128" s="32">
        <v>5.6</v>
      </c>
      <c r="M128" s="34"/>
      <c r="N128" s="34"/>
      <c r="O128" s="35" t="s">
        <v>100</v>
      </c>
      <c r="P128" s="17">
        <v>16.0</v>
      </c>
      <c r="Q128" s="36" t="s">
        <v>100</v>
      </c>
      <c r="R128" s="17" t="s">
        <v>100</v>
      </c>
      <c r="S128" s="17" t="s">
        <v>100</v>
      </c>
      <c r="T128" s="17" t="s">
        <v>100</v>
      </c>
      <c r="U128" s="37"/>
      <c r="Y128" s="38"/>
      <c r="Z128" s="39"/>
      <c r="AA128" s="33"/>
      <c r="AB128" s="39"/>
      <c r="AC128" s="40"/>
      <c r="AI128" s="44" t="s">
        <v>107</v>
      </c>
      <c r="AJ128" s="46"/>
    </row>
    <row r="129">
      <c r="A129" s="17" t="s">
        <v>385</v>
      </c>
      <c r="B129" s="17" t="s">
        <v>195</v>
      </c>
      <c r="E129" s="17" t="s">
        <v>195</v>
      </c>
      <c r="I129" s="31" t="s">
        <v>98</v>
      </c>
      <c r="J129" s="32" t="s">
        <v>386</v>
      </c>
      <c r="K129" s="32">
        <v>166.5</v>
      </c>
      <c r="L129" s="32">
        <v>4.1</v>
      </c>
      <c r="M129" s="34"/>
      <c r="N129" s="34"/>
      <c r="O129" s="35" t="s">
        <v>100</v>
      </c>
      <c r="P129" s="17">
        <v>16.0</v>
      </c>
      <c r="Q129" s="36" t="s">
        <v>100</v>
      </c>
      <c r="R129" s="17" t="s">
        <v>100</v>
      </c>
      <c r="S129" s="17" t="s">
        <v>100</v>
      </c>
      <c r="T129" s="17" t="s">
        <v>100</v>
      </c>
      <c r="U129" s="37"/>
      <c r="Y129" s="38"/>
      <c r="Z129" s="39"/>
      <c r="AA129" s="33"/>
      <c r="AB129" s="39"/>
      <c r="AC129" s="40"/>
      <c r="AI129" s="44" t="s">
        <v>107</v>
      </c>
      <c r="AJ129" s="46"/>
    </row>
    <row r="130">
      <c r="A130" s="17" t="s">
        <v>387</v>
      </c>
      <c r="B130" s="17" t="s">
        <v>195</v>
      </c>
      <c r="E130" s="17" t="s">
        <v>195</v>
      </c>
      <c r="I130" s="31" t="s">
        <v>98</v>
      </c>
      <c r="J130" s="32" t="s">
        <v>388</v>
      </c>
      <c r="K130" s="32">
        <v>165.4</v>
      </c>
      <c r="L130" s="32">
        <v>5.8</v>
      </c>
      <c r="M130" s="34"/>
      <c r="N130" s="34"/>
      <c r="O130" s="35" t="s">
        <v>100</v>
      </c>
      <c r="P130" s="17">
        <v>16.0</v>
      </c>
      <c r="Q130" s="36" t="s">
        <v>100</v>
      </c>
      <c r="R130" s="17" t="s">
        <v>100</v>
      </c>
      <c r="S130" s="17" t="s">
        <v>100</v>
      </c>
      <c r="T130" s="17" t="s">
        <v>100</v>
      </c>
      <c r="U130" s="37"/>
      <c r="Y130" s="38"/>
      <c r="Z130" s="39"/>
      <c r="AA130" s="33"/>
      <c r="AB130" s="39"/>
      <c r="AC130" s="40"/>
      <c r="AI130" s="44" t="s">
        <v>107</v>
      </c>
      <c r="AJ130" s="46"/>
    </row>
    <row r="131">
      <c r="A131" s="17" t="s">
        <v>389</v>
      </c>
      <c r="B131" s="17" t="s">
        <v>195</v>
      </c>
      <c r="E131" s="17" t="s">
        <v>195</v>
      </c>
      <c r="I131" s="31" t="s">
        <v>161</v>
      </c>
      <c r="J131" s="32" t="s">
        <v>390</v>
      </c>
      <c r="K131" s="32">
        <v>132.9</v>
      </c>
      <c r="L131" s="32">
        <v>4.9</v>
      </c>
      <c r="M131" s="34"/>
      <c r="N131" s="34"/>
      <c r="O131" s="35" t="s">
        <v>100</v>
      </c>
      <c r="P131" s="17">
        <v>16.0</v>
      </c>
      <c r="Q131" s="36" t="s">
        <v>100</v>
      </c>
      <c r="R131" s="17" t="s">
        <v>100</v>
      </c>
      <c r="S131" s="17" t="s">
        <v>100</v>
      </c>
      <c r="T131" s="17" t="s">
        <v>100</v>
      </c>
      <c r="U131" s="37"/>
      <c r="Y131" s="38"/>
      <c r="Z131" s="39"/>
      <c r="AA131" s="33"/>
      <c r="AB131" s="39"/>
      <c r="AC131" s="40"/>
      <c r="AI131" s="44" t="s">
        <v>107</v>
      </c>
      <c r="AJ131" s="46"/>
    </row>
    <row r="132">
      <c r="A132" s="17" t="s">
        <v>391</v>
      </c>
      <c r="B132" s="17" t="s">
        <v>195</v>
      </c>
      <c r="E132" s="17" t="s">
        <v>195</v>
      </c>
      <c r="I132" s="31" t="s">
        <v>161</v>
      </c>
      <c r="J132" s="32" t="s">
        <v>392</v>
      </c>
      <c r="K132" s="32">
        <v>129.8</v>
      </c>
      <c r="L132" s="32">
        <v>5.3</v>
      </c>
      <c r="M132" s="34"/>
      <c r="N132" s="34"/>
      <c r="O132" s="35" t="s">
        <v>100</v>
      </c>
      <c r="P132" s="17">
        <v>16.0</v>
      </c>
      <c r="Q132" s="36" t="s">
        <v>100</v>
      </c>
      <c r="R132" s="17" t="s">
        <v>100</v>
      </c>
      <c r="S132" s="17" t="s">
        <v>100</v>
      </c>
      <c r="T132" s="17" t="s">
        <v>100</v>
      </c>
      <c r="U132" s="37"/>
      <c r="Y132" s="38"/>
      <c r="Z132" s="39"/>
      <c r="AA132" s="33"/>
      <c r="AB132" s="39"/>
      <c r="AC132" s="40"/>
      <c r="AI132" s="44" t="s">
        <v>107</v>
      </c>
      <c r="AJ132" s="46"/>
    </row>
    <row r="133">
      <c r="A133" s="17" t="s">
        <v>393</v>
      </c>
      <c r="B133" s="17" t="s">
        <v>195</v>
      </c>
      <c r="E133" s="17" t="s">
        <v>195</v>
      </c>
      <c r="I133" s="31" t="s">
        <v>161</v>
      </c>
      <c r="J133" s="32" t="s">
        <v>394</v>
      </c>
      <c r="K133" s="32">
        <v>122.1</v>
      </c>
      <c r="L133" s="32">
        <v>3.9</v>
      </c>
      <c r="M133" s="34"/>
      <c r="N133" s="34"/>
      <c r="O133" s="35" t="s">
        <v>100</v>
      </c>
      <c r="P133" s="17">
        <v>16.0</v>
      </c>
      <c r="Q133" s="36" t="s">
        <v>100</v>
      </c>
      <c r="R133" s="17" t="s">
        <v>100</v>
      </c>
      <c r="S133" s="17" t="s">
        <v>100</v>
      </c>
      <c r="T133" s="17" t="s">
        <v>100</v>
      </c>
      <c r="U133" s="37"/>
      <c r="Y133" s="38"/>
      <c r="Z133" s="39"/>
      <c r="AA133" s="33"/>
      <c r="AB133" s="39"/>
      <c r="AC133" s="40"/>
      <c r="AI133" s="44" t="s">
        <v>107</v>
      </c>
      <c r="AJ133" s="46"/>
    </row>
    <row r="134">
      <c r="A134" s="17" t="s">
        <v>395</v>
      </c>
      <c r="B134" s="17" t="s">
        <v>195</v>
      </c>
      <c r="C134" s="17" t="s">
        <v>396</v>
      </c>
      <c r="E134" s="17" t="s">
        <v>195</v>
      </c>
      <c r="G134" s="17" t="s">
        <v>195</v>
      </c>
      <c r="I134" s="31" t="s">
        <v>125</v>
      </c>
      <c r="J134" s="32" t="s">
        <v>397</v>
      </c>
      <c r="K134" s="32">
        <v>89.0</v>
      </c>
      <c r="L134" s="32">
        <v>2.5</v>
      </c>
      <c r="M134" s="34"/>
      <c r="N134" s="34"/>
      <c r="O134" s="35" t="s">
        <v>100</v>
      </c>
      <c r="P134" s="17">
        <v>16.0</v>
      </c>
      <c r="Q134" s="36" t="s">
        <v>100</v>
      </c>
      <c r="R134" s="17" t="s">
        <v>100</v>
      </c>
      <c r="S134" s="17" t="s">
        <v>100</v>
      </c>
      <c r="T134" s="17" t="s">
        <v>100</v>
      </c>
      <c r="U134" s="42"/>
      <c r="V134" s="17"/>
      <c r="W134" s="17"/>
      <c r="X134" s="17" t="s">
        <v>398</v>
      </c>
      <c r="Y134" s="38"/>
      <c r="Z134" s="39"/>
      <c r="AA134" s="33"/>
      <c r="AB134" s="39"/>
      <c r="AC134" s="40"/>
      <c r="AD134" s="44" t="s">
        <v>107</v>
      </c>
      <c r="AI134" s="44" t="s">
        <v>107</v>
      </c>
      <c r="AJ134" s="46"/>
    </row>
    <row r="135">
      <c r="A135" s="17" t="s">
        <v>399</v>
      </c>
      <c r="B135" s="17" t="s">
        <v>206</v>
      </c>
      <c r="E135" s="17" t="s">
        <v>400</v>
      </c>
      <c r="I135" s="31" t="s">
        <v>98</v>
      </c>
      <c r="J135" s="32" t="s">
        <v>401</v>
      </c>
      <c r="K135" s="32">
        <v>171.3</v>
      </c>
      <c r="L135" s="32">
        <v>4.0</v>
      </c>
      <c r="M135" s="34"/>
      <c r="N135" s="34"/>
      <c r="O135" s="35">
        <v>45078.0</v>
      </c>
      <c r="P135" s="17">
        <v>16.0</v>
      </c>
      <c r="Q135" s="36">
        <v>160.0</v>
      </c>
      <c r="R135" s="17" t="s">
        <v>402</v>
      </c>
      <c r="S135" s="48">
        <f t="shared" ref="S135:S137" si="9">Q135*0.75</f>
        <v>120</v>
      </c>
      <c r="T135" s="17" t="s">
        <v>22</v>
      </c>
      <c r="U135" s="37">
        <f t="shared" ref="U135:U141" si="10">Q135*0.8</f>
        <v>128</v>
      </c>
      <c r="V135" s="17">
        <v>2025.0</v>
      </c>
      <c r="Y135" s="38"/>
      <c r="Z135" s="39"/>
      <c r="AA135" s="33"/>
      <c r="AB135" s="39"/>
      <c r="AC135" s="40"/>
      <c r="AI135" s="44" t="s">
        <v>107</v>
      </c>
      <c r="AJ135" s="46"/>
    </row>
    <row r="136">
      <c r="A136" s="17" t="s">
        <v>403</v>
      </c>
      <c r="B136" s="17" t="s">
        <v>206</v>
      </c>
      <c r="E136" s="17" t="s">
        <v>400</v>
      </c>
      <c r="I136" s="31" t="s">
        <v>98</v>
      </c>
      <c r="J136" s="32" t="s">
        <v>404</v>
      </c>
      <c r="K136" s="32">
        <v>170.7</v>
      </c>
      <c r="L136" s="32">
        <v>4.5</v>
      </c>
      <c r="M136" s="34"/>
      <c r="N136" s="34"/>
      <c r="O136" s="35">
        <v>45108.0</v>
      </c>
      <c r="P136" s="17">
        <v>16.0</v>
      </c>
      <c r="Q136" s="36">
        <v>160.0</v>
      </c>
      <c r="R136" s="17" t="s">
        <v>402</v>
      </c>
      <c r="S136" s="48">
        <f t="shared" si="9"/>
        <v>120</v>
      </c>
      <c r="T136" s="17" t="s">
        <v>22</v>
      </c>
      <c r="U136" s="37">
        <f t="shared" si="10"/>
        <v>128</v>
      </c>
      <c r="V136" s="17">
        <v>2025.0</v>
      </c>
      <c r="Y136" s="38"/>
      <c r="Z136" s="39"/>
      <c r="AA136" s="33"/>
      <c r="AB136" s="39"/>
      <c r="AC136" s="40"/>
      <c r="AI136" s="44" t="s">
        <v>107</v>
      </c>
      <c r="AJ136" s="46"/>
    </row>
    <row r="137">
      <c r="A137" s="17" t="s">
        <v>405</v>
      </c>
      <c r="B137" s="17" t="s">
        <v>206</v>
      </c>
      <c r="E137" s="17" t="s">
        <v>400</v>
      </c>
      <c r="I137" s="31" t="s">
        <v>98</v>
      </c>
      <c r="J137" s="32" t="s">
        <v>406</v>
      </c>
      <c r="K137" s="32">
        <v>165.6</v>
      </c>
      <c r="L137" s="32">
        <v>4.5</v>
      </c>
      <c r="M137" s="34"/>
      <c r="N137" s="34"/>
      <c r="O137" s="35">
        <v>45292.0</v>
      </c>
      <c r="P137" s="17">
        <v>16.0</v>
      </c>
      <c r="Q137" s="36">
        <v>160.0</v>
      </c>
      <c r="R137" s="17" t="s">
        <v>402</v>
      </c>
      <c r="S137" s="48">
        <f t="shared" si="9"/>
        <v>120</v>
      </c>
      <c r="T137" s="17" t="s">
        <v>22</v>
      </c>
      <c r="U137" s="37">
        <f t="shared" si="10"/>
        <v>128</v>
      </c>
      <c r="V137" s="17">
        <v>2025.0</v>
      </c>
      <c r="Y137" s="38"/>
      <c r="Z137" s="39"/>
      <c r="AA137" s="33"/>
      <c r="AB137" s="39"/>
      <c r="AC137" s="40"/>
      <c r="AI137" s="44" t="s">
        <v>107</v>
      </c>
      <c r="AJ137" s="46"/>
    </row>
    <row r="138">
      <c r="A138" s="17" t="s">
        <v>407</v>
      </c>
      <c r="B138" s="17" t="s">
        <v>206</v>
      </c>
      <c r="E138" s="17" t="s">
        <v>400</v>
      </c>
      <c r="I138" s="31" t="s">
        <v>161</v>
      </c>
      <c r="J138" s="32" t="s">
        <v>408</v>
      </c>
      <c r="K138" s="32">
        <v>134.9</v>
      </c>
      <c r="L138" s="32">
        <v>5.0</v>
      </c>
      <c r="M138" s="34"/>
      <c r="N138" s="34"/>
      <c r="O138" s="35">
        <v>45536.0</v>
      </c>
      <c r="P138" s="17">
        <v>16.0</v>
      </c>
      <c r="Q138" s="36">
        <v>160.0</v>
      </c>
      <c r="R138" s="17" t="s">
        <v>409</v>
      </c>
      <c r="U138" s="37">
        <f t="shared" si="10"/>
        <v>128</v>
      </c>
      <c r="V138" s="17">
        <v>2025.0</v>
      </c>
      <c r="Y138" s="38"/>
      <c r="Z138" s="39"/>
      <c r="AA138" s="33"/>
      <c r="AB138" s="39"/>
      <c r="AC138" s="40"/>
      <c r="AI138" s="44" t="s">
        <v>107</v>
      </c>
      <c r="AJ138" s="46"/>
    </row>
    <row r="139">
      <c r="A139" s="17" t="s">
        <v>410</v>
      </c>
      <c r="B139" s="17" t="s">
        <v>206</v>
      </c>
      <c r="E139" s="17" t="s">
        <v>400</v>
      </c>
      <c r="I139" s="31" t="s">
        <v>161</v>
      </c>
      <c r="J139" s="32" t="s">
        <v>411</v>
      </c>
      <c r="K139" s="32">
        <v>129.1</v>
      </c>
      <c r="L139" s="32">
        <v>5.4</v>
      </c>
      <c r="M139" s="34"/>
      <c r="N139" s="34"/>
      <c r="O139" s="35">
        <v>45536.0</v>
      </c>
      <c r="P139" s="17">
        <v>16.0</v>
      </c>
      <c r="Q139" s="36">
        <v>160.0</v>
      </c>
      <c r="R139" s="17" t="s">
        <v>412</v>
      </c>
      <c r="U139" s="37">
        <f t="shared" si="10"/>
        <v>128</v>
      </c>
      <c r="V139" s="17">
        <v>2025.0</v>
      </c>
      <c r="Y139" s="38"/>
      <c r="Z139" s="39"/>
      <c r="AA139" s="33"/>
      <c r="AB139" s="39"/>
      <c r="AC139" s="40"/>
      <c r="AI139" s="44" t="s">
        <v>107</v>
      </c>
      <c r="AJ139" s="46"/>
    </row>
    <row r="140">
      <c r="A140" s="17" t="s">
        <v>413</v>
      </c>
      <c r="B140" s="17" t="s">
        <v>206</v>
      </c>
      <c r="E140" s="17" t="s">
        <v>400</v>
      </c>
      <c r="I140" s="31" t="s">
        <v>161</v>
      </c>
      <c r="J140" s="32" t="s">
        <v>414</v>
      </c>
      <c r="K140" s="32">
        <v>127.2</v>
      </c>
      <c r="L140" s="32">
        <v>5.8</v>
      </c>
      <c r="M140" s="34"/>
      <c r="N140" s="34"/>
      <c r="O140" s="35">
        <v>45536.0</v>
      </c>
      <c r="P140" s="17">
        <v>16.0</v>
      </c>
      <c r="Q140" s="36">
        <v>160.0</v>
      </c>
      <c r="R140" s="17" t="s">
        <v>412</v>
      </c>
      <c r="U140" s="37">
        <f t="shared" si="10"/>
        <v>128</v>
      </c>
      <c r="V140" s="17">
        <v>2025.0</v>
      </c>
      <c r="Y140" s="38"/>
      <c r="Z140" s="39"/>
      <c r="AA140" s="33"/>
      <c r="AB140" s="39"/>
      <c r="AC140" s="40"/>
      <c r="AI140" s="44" t="s">
        <v>107</v>
      </c>
      <c r="AJ140" s="46"/>
    </row>
    <row r="141">
      <c r="A141" s="17" t="s">
        <v>415</v>
      </c>
      <c r="B141" s="17" t="s">
        <v>206</v>
      </c>
      <c r="E141" s="17" t="s">
        <v>400</v>
      </c>
      <c r="I141" s="31" t="s">
        <v>125</v>
      </c>
      <c r="J141" s="32" t="s">
        <v>416</v>
      </c>
      <c r="K141" s="32">
        <v>88.5</v>
      </c>
      <c r="L141" s="32">
        <v>2.6</v>
      </c>
      <c r="M141" s="34"/>
      <c r="N141" s="34"/>
      <c r="O141" s="35">
        <v>45536.0</v>
      </c>
      <c r="P141" s="17">
        <v>16.0</v>
      </c>
      <c r="Q141" s="36">
        <v>160.0</v>
      </c>
      <c r="R141" s="17" t="s">
        <v>417</v>
      </c>
      <c r="U141" s="37">
        <f t="shared" si="10"/>
        <v>128</v>
      </c>
      <c r="V141" s="17">
        <v>2025.0</v>
      </c>
      <c r="Y141" s="38"/>
      <c r="Z141" s="39"/>
      <c r="AA141" s="33"/>
      <c r="AB141" s="39"/>
      <c r="AC141" s="40"/>
      <c r="AI141" s="44" t="s">
        <v>107</v>
      </c>
      <c r="AJ141" s="46"/>
    </row>
    <row r="142">
      <c r="A142" s="17" t="s">
        <v>418</v>
      </c>
      <c r="B142" s="17" t="s">
        <v>206</v>
      </c>
      <c r="E142" s="17" t="s">
        <v>419</v>
      </c>
      <c r="I142" s="31" t="s">
        <v>98</v>
      </c>
      <c r="J142" s="32" t="s">
        <v>420</v>
      </c>
      <c r="K142" s="32">
        <v>174.8</v>
      </c>
      <c r="L142" s="32">
        <v>4.9</v>
      </c>
      <c r="M142" s="34"/>
      <c r="N142" s="34"/>
      <c r="O142" s="35">
        <v>45078.0</v>
      </c>
      <c r="P142" s="17">
        <v>16.0</v>
      </c>
      <c r="Q142" s="36">
        <v>150.0</v>
      </c>
      <c r="R142" s="17" t="s">
        <v>421</v>
      </c>
      <c r="S142" s="48">
        <f t="shared" ref="S142:S144" si="11">Q142*0.75</f>
        <v>112.5</v>
      </c>
      <c r="T142" s="17" t="s">
        <v>22</v>
      </c>
      <c r="U142" s="37">
        <f t="shared" ref="U142:U149" si="12">Q142*0.9</f>
        <v>135</v>
      </c>
      <c r="V142" s="17">
        <v>2025.0</v>
      </c>
      <c r="Y142" s="38"/>
      <c r="Z142" s="39"/>
      <c r="AA142" s="33"/>
      <c r="AB142" s="39"/>
      <c r="AC142" s="40"/>
      <c r="AI142" s="44" t="s">
        <v>107</v>
      </c>
      <c r="AJ142" s="46"/>
    </row>
    <row r="143">
      <c r="A143" s="17" t="s">
        <v>422</v>
      </c>
      <c r="B143" s="17" t="s">
        <v>206</v>
      </c>
      <c r="E143" s="17" t="s">
        <v>419</v>
      </c>
      <c r="I143" s="31" t="s">
        <v>98</v>
      </c>
      <c r="J143" s="32" t="s">
        <v>423</v>
      </c>
      <c r="K143" s="32">
        <v>169.6</v>
      </c>
      <c r="L143" s="32">
        <v>5.1</v>
      </c>
      <c r="M143" s="34"/>
      <c r="N143" s="34"/>
      <c r="O143" s="35">
        <v>45108.0</v>
      </c>
      <c r="P143" s="17">
        <v>16.0</v>
      </c>
      <c r="Q143" s="36">
        <v>150.0</v>
      </c>
      <c r="R143" s="17" t="s">
        <v>424</v>
      </c>
      <c r="S143" s="48">
        <f t="shared" si="11"/>
        <v>112.5</v>
      </c>
      <c r="T143" s="17" t="s">
        <v>22</v>
      </c>
      <c r="U143" s="37">
        <f t="shared" si="12"/>
        <v>135</v>
      </c>
      <c r="V143" s="17">
        <v>2025.0</v>
      </c>
      <c r="Y143" s="38"/>
      <c r="Z143" s="39"/>
      <c r="AA143" s="33"/>
      <c r="AB143" s="39"/>
      <c r="AC143" s="40"/>
      <c r="AI143" s="44" t="s">
        <v>107</v>
      </c>
      <c r="AJ143" s="46"/>
    </row>
    <row r="144">
      <c r="A144" s="17" t="s">
        <v>425</v>
      </c>
      <c r="B144" s="17" t="s">
        <v>206</v>
      </c>
      <c r="E144" s="17" t="s">
        <v>419</v>
      </c>
      <c r="I144" s="31" t="s">
        <v>98</v>
      </c>
      <c r="J144" s="32" t="s">
        <v>426</v>
      </c>
      <c r="K144" s="32">
        <v>163.0</v>
      </c>
      <c r="L144" s="32">
        <v>4.8</v>
      </c>
      <c r="M144" s="34"/>
      <c r="N144" s="34"/>
      <c r="O144" s="35">
        <v>45231.0</v>
      </c>
      <c r="P144" s="17">
        <v>16.0</v>
      </c>
      <c r="Q144" s="36">
        <v>150.0</v>
      </c>
      <c r="R144" s="17" t="s">
        <v>402</v>
      </c>
      <c r="S144" s="48">
        <f t="shared" si="11"/>
        <v>112.5</v>
      </c>
      <c r="T144" s="17" t="s">
        <v>22</v>
      </c>
      <c r="U144" s="37">
        <f t="shared" si="12"/>
        <v>135</v>
      </c>
      <c r="V144" s="17">
        <v>2025.0</v>
      </c>
      <c r="Y144" s="38"/>
      <c r="Z144" s="39"/>
      <c r="AA144" s="33"/>
      <c r="AB144" s="39"/>
      <c r="AC144" s="40"/>
      <c r="AI144" s="44" t="s">
        <v>107</v>
      </c>
      <c r="AJ144" s="46"/>
    </row>
    <row r="145">
      <c r="A145" s="17" t="s">
        <v>427</v>
      </c>
      <c r="B145" s="17" t="s">
        <v>206</v>
      </c>
      <c r="E145" s="17" t="s">
        <v>419</v>
      </c>
      <c r="I145" s="31" t="s">
        <v>161</v>
      </c>
      <c r="J145" s="32" t="s">
        <v>428</v>
      </c>
      <c r="K145" s="32">
        <v>136.6</v>
      </c>
      <c r="L145" s="32">
        <v>5.2</v>
      </c>
      <c r="M145" s="34"/>
      <c r="N145" s="34"/>
      <c r="O145" s="35">
        <v>45292.0</v>
      </c>
      <c r="P145" s="17">
        <v>16.0</v>
      </c>
      <c r="Q145" s="36">
        <v>150.0</v>
      </c>
      <c r="R145" s="17" t="s">
        <v>409</v>
      </c>
      <c r="S145" s="48"/>
      <c r="U145" s="37">
        <f t="shared" si="12"/>
        <v>135</v>
      </c>
      <c r="V145" s="17">
        <v>2025.0</v>
      </c>
      <c r="Y145" s="38"/>
      <c r="Z145" s="39"/>
      <c r="AA145" s="33"/>
      <c r="AB145" s="35"/>
      <c r="AC145" s="40"/>
      <c r="AI145" s="44" t="s">
        <v>107</v>
      </c>
      <c r="AJ145" s="46"/>
    </row>
    <row r="146">
      <c r="A146" s="17" t="s">
        <v>429</v>
      </c>
      <c r="B146" s="17" t="s">
        <v>206</v>
      </c>
      <c r="E146" s="24" t="s">
        <v>419</v>
      </c>
      <c r="I146" s="31" t="s">
        <v>161</v>
      </c>
      <c r="J146" s="32" t="s">
        <v>430</v>
      </c>
      <c r="K146" s="32">
        <v>131.4</v>
      </c>
      <c r="L146" s="32">
        <v>4.8</v>
      </c>
      <c r="M146" s="34"/>
      <c r="N146" s="34"/>
      <c r="O146" s="35">
        <v>45536.0</v>
      </c>
      <c r="P146" s="17">
        <v>16.0</v>
      </c>
      <c r="Q146" s="36">
        <v>150.0</v>
      </c>
      <c r="R146" s="17" t="s">
        <v>412</v>
      </c>
      <c r="S146" s="52"/>
      <c r="U146" s="37">
        <f t="shared" si="12"/>
        <v>135</v>
      </c>
      <c r="V146" s="17">
        <v>2025.0</v>
      </c>
      <c r="Y146" s="38"/>
      <c r="Z146" s="35"/>
      <c r="AA146" s="33"/>
      <c r="AB146" s="35"/>
      <c r="AC146" s="40"/>
      <c r="AI146" s="44" t="s">
        <v>107</v>
      </c>
      <c r="AJ146" s="46"/>
    </row>
    <row r="147">
      <c r="A147" s="17" t="s">
        <v>431</v>
      </c>
      <c r="B147" s="17" t="s">
        <v>206</v>
      </c>
      <c r="E147" s="24" t="s">
        <v>419</v>
      </c>
      <c r="I147" s="31" t="s">
        <v>161</v>
      </c>
      <c r="J147" s="32" t="s">
        <v>432</v>
      </c>
      <c r="K147" s="32">
        <v>125.8</v>
      </c>
      <c r="L147" s="32">
        <v>5.3</v>
      </c>
      <c r="M147" s="34"/>
      <c r="N147" s="34"/>
      <c r="O147" s="35">
        <v>45536.0</v>
      </c>
      <c r="P147" s="17">
        <v>16.0</v>
      </c>
      <c r="Q147" s="36">
        <v>150.0</v>
      </c>
      <c r="R147" s="17" t="s">
        <v>412</v>
      </c>
      <c r="S147" s="48"/>
      <c r="U147" s="37">
        <f t="shared" si="12"/>
        <v>135</v>
      </c>
      <c r="V147" s="17">
        <v>2025.0</v>
      </c>
      <c r="Y147" s="38"/>
      <c r="Z147" s="39"/>
      <c r="AA147" s="33"/>
      <c r="AB147" s="39"/>
      <c r="AC147" s="40"/>
      <c r="AI147" s="44" t="s">
        <v>107</v>
      </c>
      <c r="AJ147" s="46"/>
    </row>
    <row r="148">
      <c r="A148" s="17" t="s">
        <v>433</v>
      </c>
      <c r="B148" s="17" t="s">
        <v>206</v>
      </c>
      <c r="E148" s="17" t="s">
        <v>419</v>
      </c>
      <c r="I148" s="31" t="s">
        <v>125</v>
      </c>
      <c r="J148" s="32" t="s">
        <v>434</v>
      </c>
      <c r="K148" s="32">
        <v>89.8</v>
      </c>
      <c r="L148" s="32">
        <v>2.7</v>
      </c>
      <c r="M148" s="34"/>
      <c r="N148" s="34"/>
      <c r="O148" s="35">
        <v>45536.0</v>
      </c>
      <c r="P148" s="17">
        <v>16.0</v>
      </c>
      <c r="Q148" s="36">
        <v>150.0</v>
      </c>
      <c r="R148" s="17" t="s">
        <v>417</v>
      </c>
      <c r="S148" s="48"/>
      <c r="U148" s="37">
        <f t="shared" si="12"/>
        <v>135</v>
      </c>
      <c r="V148" s="17">
        <v>2025.0</v>
      </c>
      <c r="Y148" s="38"/>
      <c r="Z148" s="35"/>
      <c r="AA148" s="33"/>
      <c r="AB148" s="35"/>
      <c r="AC148" s="40"/>
      <c r="AI148" s="44" t="s">
        <v>107</v>
      </c>
      <c r="AJ148" s="46"/>
    </row>
    <row r="149">
      <c r="A149" s="17" t="s">
        <v>435</v>
      </c>
      <c r="B149" s="17" t="s">
        <v>206</v>
      </c>
      <c r="I149" s="31" t="s">
        <v>436</v>
      </c>
      <c r="J149" s="32" t="s">
        <v>437</v>
      </c>
      <c r="K149" s="32"/>
      <c r="L149" s="32"/>
      <c r="M149" s="34"/>
      <c r="N149" s="34"/>
      <c r="O149" s="35">
        <v>45566.0</v>
      </c>
      <c r="P149" s="17">
        <v>16.0</v>
      </c>
      <c r="Q149" s="36">
        <v>150.0</v>
      </c>
      <c r="R149" s="17" t="s">
        <v>417</v>
      </c>
      <c r="S149" s="17"/>
      <c r="T149" s="17"/>
      <c r="U149" s="37">
        <f t="shared" si="12"/>
        <v>135</v>
      </c>
      <c r="V149" s="17">
        <v>2025.0</v>
      </c>
      <c r="W149" s="17"/>
      <c r="X149" s="17"/>
      <c r="Y149" s="47"/>
      <c r="Z149" s="35"/>
      <c r="AA149" s="33"/>
      <c r="AB149" s="39"/>
      <c r="AC149" s="40"/>
    </row>
    <row r="150">
      <c r="A150" s="17" t="s">
        <v>438</v>
      </c>
      <c r="B150" s="17" t="s">
        <v>206</v>
      </c>
      <c r="I150" s="31" t="s">
        <v>125</v>
      </c>
      <c r="J150" s="32" t="s">
        <v>439</v>
      </c>
      <c r="K150" s="32">
        <v>106.0</v>
      </c>
      <c r="L150" s="32">
        <v>4.8</v>
      </c>
      <c r="M150" s="34"/>
      <c r="N150" s="34"/>
      <c r="O150" s="35">
        <v>44287.0</v>
      </c>
      <c r="P150" s="17">
        <v>16.0</v>
      </c>
      <c r="Q150" s="36">
        <v>64.0</v>
      </c>
      <c r="R150" s="17" t="s">
        <v>22</v>
      </c>
      <c r="U150" s="49">
        <f t="shared" ref="U150:U157" si="13">Q150*0.05</f>
        <v>3.2</v>
      </c>
      <c r="V150" s="17">
        <v>2025.0</v>
      </c>
      <c r="Y150" s="47">
        <v>7.1</v>
      </c>
      <c r="Z150" s="35">
        <v>45078.0</v>
      </c>
      <c r="AA150" s="32">
        <v>9.4</v>
      </c>
      <c r="AB150" s="39"/>
      <c r="AC150" s="40"/>
      <c r="AG150" s="45" t="s">
        <v>107</v>
      </c>
    </row>
    <row r="151">
      <c r="A151" s="17" t="s">
        <v>440</v>
      </c>
      <c r="B151" s="17" t="s">
        <v>206</v>
      </c>
      <c r="I151" s="31" t="s">
        <v>125</v>
      </c>
      <c r="J151" s="32" t="s">
        <v>441</v>
      </c>
      <c r="K151" s="32">
        <v>102.9</v>
      </c>
      <c r="L151" s="32">
        <v>4.7</v>
      </c>
      <c r="M151" s="34"/>
      <c r="N151" s="34"/>
      <c r="O151" s="35">
        <v>44287.0</v>
      </c>
      <c r="P151" s="17">
        <v>16.0</v>
      </c>
      <c r="Q151" s="36">
        <v>60.0</v>
      </c>
      <c r="R151" s="17" t="s">
        <v>22</v>
      </c>
      <c r="U151" s="49">
        <f t="shared" si="13"/>
        <v>3</v>
      </c>
      <c r="V151" s="17">
        <v>2025.0</v>
      </c>
      <c r="Y151" s="47">
        <v>8.3</v>
      </c>
      <c r="Z151" s="35">
        <v>45078.0</v>
      </c>
      <c r="AA151" s="32">
        <v>9.4</v>
      </c>
      <c r="AB151" s="35">
        <v>45078.0</v>
      </c>
      <c r="AC151" s="40"/>
      <c r="AG151" s="45" t="s">
        <v>107</v>
      </c>
    </row>
    <row r="152">
      <c r="A152" s="17" t="s">
        <v>442</v>
      </c>
      <c r="B152" s="17" t="s">
        <v>206</v>
      </c>
      <c r="I152" s="31" t="s">
        <v>125</v>
      </c>
      <c r="J152" s="32" t="s">
        <v>443</v>
      </c>
      <c r="K152" s="32">
        <v>101.7</v>
      </c>
      <c r="L152" s="32">
        <v>4.6</v>
      </c>
      <c r="M152" s="34"/>
      <c r="N152" s="34"/>
      <c r="O152" s="35">
        <v>44287.0</v>
      </c>
      <c r="P152" s="17">
        <v>16.0</v>
      </c>
      <c r="Q152" s="36">
        <v>60.0</v>
      </c>
      <c r="R152" s="17" t="s">
        <v>22</v>
      </c>
      <c r="U152" s="49">
        <f t="shared" si="13"/>
        <v>3</v>
      </c>
      <c r="V152" s="17">
        <v>2025.0</v>
      </c>
      <c r="Y152" s="47">
        <v>7.6</v>
      </c>
      <c r="Z152" s="35">
        <v>45079.0</v>
      </c>
      <c r="AA152" s="32">
        <v>10.8</v>
      </c>
      <c r="AB152" s="35">
        <v>45079.0</v>
      </c>
      <c r="AC152" s="40"/>
    </row>
    <row r="153">
      <c r="A153" s="17" t="s">
        <v>444</v>
      </c>
      <c r="B153" s="17" t="s">
        <v>206</v>
      </c>
      <c r="C153" s="24" t="s">
        <v>293</v>
      </c>
      <c r="G153" s="17" t="s">
        <v>206</v>
      </c>
      <c r="I153" s="31" t="s">
        <v>161</v>
      </c>
      <c r="J153" s="32" t="s">
        <v>445</v>
      </c>
      <c r="K153" s="32">
        <v>140.0</v>
      </c>
      <c r="L153" s="32">
        <v>4.5</v>
      </c>
      <c r="M153" s="17">
        <v>7.3</v>
      </c>
      <c r="N153" s="17">
        <v>11.4</v>
      </c>
      <c r="O153" s="35">
        <v>43739.0</v>
      </c>
      <c r="P153" s="17">
        <v>16.0</v>
      </c>
      <c r="Q153" s="36">
        <v>128.0</v>
      </c>
      <c r="R153" s="17" t="s">
        <v>22</v>
      </c>
      <c r="S153" s="17"/>
      <c r="T153" s="17"/>
      <c r="U153" s="49">
        <f t="shared" si="13"/>
        <v>6.4</v>
      </c>
      <c r="V153" s="17">
        <v>2025.0</v>
      </c>
      <c r="W153" s="17"/>
      <c r="X153" s="17" t="s">
        <v>446</v>
      </c>
      <c r="Y153" s="47">
        <v>1.3</v>
      </c>
      <c r="Z153" s="35">
        <v>45078.0</v>
      </c>
      <c r="AA153" s="32">
        <v>1.7</v>
      </c>
      <c r="AB153" s="35">
        <v>45078.0</v>
      </c>
      <c r="AC153" s="40"/>
      <c r="AD153" s="44" t="s">
        <v>107</v>
      </c>
      <c r="AG153" s="44" t="s">
        <v>107</v>
      </c>
      <c r="AI153" s="44" t="s">
        <v>107</v>
      </c>
      <c r="AK153" s="46"/>
    </row>
    <row r="154">
      <c r="A154" s="17" t="s">
        <v>447</v>
      </c>
      <c r="B154" s="17" t="s">
        <v>206</v>
      </c>
      <c r="C154" s="24" t="s">
        <v>293</v>
      </c>
      <c r="G154" s="17" t="s">
        <v>206</v>
      </c>
      <c r="I154" s="31" t="s">
        <v>161</v>
      </c>
      <c r="J154" s="32" t="s">
        <v>448</v>
      </c>
      <c r="K154" s="32">
        <v>136.2</v>
      </c>
      <c r="L154" s="32">
        <v>6.6</v>
      </c>
      <c r="M154" s="17">
        <v>23.4</v>
      </c>
      <c r="N154" s="17">
        <v>8.1</v>
      </c>
      <c r="O154" s="35">
        <v>43617.0</v>
      </c>
      <c r="P154" s="17">
        <v>16.0</v>
      </c>
      <c r="Q154" s="36">
        <v>128.0</v>
      </c>
      <c r="R154" s="17" t="s">
        <v>22</v>
      </c>
      <c r="S154" s="17"/>
      <c r="T154" s="17"/>
      <c r="U154" s="49">
        <f t="shared" si="13"/>
        <v>6.4</v>
      </c>
      <c r="V154" s="17">
        <v>2025.0</v>
      </c>
      <c r="W154" s="17"/>
      <c r="X154" s="17" t="s">
        <v>449</v>
      </c>
      <c r="Y154" s="47">
        <v>6.8</v>
      </c>
      <c r="Z154" s="35">
        <v>45078.0</v>
      </c>
      <c r="AA154" s="32">
        <v>7.3</v>
      </c>
      <c r="AB154" s="35">
        <v>45078.0</v>
      </c>
      <c r="AC154" s="40"/>
      <c r="AD154" s="44" t="s">
        <v>107</v>
      </c>
      <c r="AF154" s="44" t="s">
        <v>107</v>
      </c>
      <c r="AG154" s="44" t="s">
        <v>107</v>
      </c>
      <c r="AI154" s="44" t="s">
        <v>107</v>
      </c>
      <c r="AK154" s="46"/>
    </row>
    <row r="155">
      <c r="A155" s="17" t="s">
        <v>450</v>
      </c>
      <c r="B155" s="17" t="s">
        <v>206</v>
      </c>
      <c r="C155" s="17" t="s">
        <v>451</v>
      </c>
      <c r="G155" s="17" t="s">
        <v>206</v>
      </c>
      <c r="I155" s="31" t="s">
        <v>161</v>
      </c>
      <c r="J155" s="32" t="s">
        <v>452</v>
      </c>
      <c r="K155" s="32">
        <v>133.9</v>
      </c>
      <c r="L155" s="32">
        <v>6.5</v>
      </c>
      <c r="M155" s="17">
        <v>10.0</v>
      </c>
      <c r="N155" s="17">
        <v>9.3</v>
      </c>
      <c r="O155" s="35">
        <v>43739.0</v>
      </c>
      <c r="P155" s="17">
        <v>16.0</v>
      </c>
      <c r="Q155" s="36">
        <v>128.0</v>
      </c>
      <c r="R155" s="17" t="s">
        <v>22</v>
      </c>
      <c r="S155" s="17"/>
      <c r="T155" s="17"/>
      <c r="U155" s="49">
        <f t="shared" si="13"/>
        <v>6.4</v>
      </c>
      <c r="V155" s="17">
        <v>2025.0</v>
      </c>
      <c r="W155" s="17"/>
      <c r="X155" s="17" t="s">
        <v>453</v>
      </c>
      <c r="Y155" s="47">
        <v>0.0</v>
      </c>
      <c r="Z155" s="35">
        <v>45080.0</v>
      </c>
      <c r="AA155" s="32">
        <v>0.0</v>
      </c>
      <c r="AB155" s="35">
        <v>45088.0</v>
      </c>
      <c r="AC155" s="40"/>
      <c r="AD155" s="44" t="s">
        <v>107</v>
      </c>
      <c r="AG155" s="44" t="s">
        <v>107</v>
      </c>
      <c r="AI155" s="44" t="s">
        <v>107</v>
      </c>
      <c r="AK155" s="46"/>
    </row>
    <row r="156">
      <c r="A156" s="17" t="s">
        <v>454</v>
      </c>
      <c r="B156" s="17" t="s">
        <v>206</v>
      </c>
      <c r="C156" s="24" t="s">
        <v>293</v>
      </c>
      <c r="I156" s="31" t="s">
        <v>161</v>
      </c>
      <c r="J156" s="32" t="s">
        <v>455</v>
      </c>
      <c r="K156" s="32">
        <v>130.6</v>
      </c>
      <c r="L156" s="32">
        <v>5.7</v>
      </c>
      <c r="M156" s="17">
        <v>14.4</v>
      </c>
      <c r="N156" s="17">
        <v>15.0</v>
      </c>
      <c r="O156" s="35">
        <v>43739.0</v>
      </c>
      <c r="P156" s="17">
        <v>16.0</v>
      </c>
      <c r="Q156" s="36">
        <v>128.0</v>
      </c>
      <c r="R156" s="17" t="s">
        <v>22</v>
      </c>
      <c r="U156" s="49">
        <f t="shared" si="13"/>
        <v>6.4</v>
      </c>
      <c r="V156" s="17">
        <v>2025.0</v>
      </c>
      <c r="Y156" s="47">
        <v>10.3</v>
      </c>
      <c r="Z156" s="35">
        <v>45086.0</v>
      </c>
      <c r="AA156" s="32">
        <v>13.6</v>
      </c>
      <c r="AB156" s="35">
        <v>45094.0</v>
      </c>
      <c r="AC156" s="40"/>
      <c r="AG156" s="44" t="s">
        <v>107</v>
      </c>
      <c r="AI156" s="44" t="s">
        <v>107</v>
      </c>
      <c r="AK156" s="46"/>
    </row>
    <row r="157">
      <c r="A157" s="17" t="s">
        <v>456</v>
      </c>
      <c r="B157" s="17" t="s">
        <v>206</v>
      </c>
      <c r="C157" s="17" t="s">
        <v>451</v>
      </c>
      <c r="G157" s="17" t="s">
        <v>206</v>
      </c>
      <c r="I157" s="31" t="s">
        <v>161</v>
      </c>
      <c r="J157" s="32" t="s">
        <v>457</v>
      </c>
      <c r="K157" s="32">
        <v>124.8</v>
      </c>
      <c r="L157" s="32">
        <v>5.4</v>
      </c>
      <c r="M157" s="17">
        <v>9.5</v>
      </c>
      <c r="N157" s="17">
        <v>7.0</v>
      </c>
      <c r="O157" s="35">
        <v>43556.0</v>
      </c>
      <c r="P157" s="17">
        <v>16.0</v>
      </c>
      <c r="Q157" s="36">
        <v>128.0</v>
      </c>
      <c r="R157" s="17" t="s">
        <v>22</v>
      </c>
      <c r="S157" s="17"/>
      <c r="T157" s="17"/>
      <c r="U157" s="49">
        <f t="shared" si="13"/>
        <v>6.4</v>
      </c>
      <c r="V157" s="17">
        <v>2025.0</v>
      </c>
      <c r="W157" s="17"/>
      <c r="X157" s="17" t="s">
        <v>458</v>
      </c>
      <c r="Y157" s="47">
        <v>9.3</v>
      </c>
      <c r="Z157" s="35">
        <v>45079.0</v>
      </c>
      <c r="AA157" s="32">
        <v>11.6</v>
      </c>
      <c r="AB157" s="35">
        <v>45079.0</v>
      </c>
      <c r="AC157" s="40"/>
      <c r="AD157" s="44" t="s">
        <v>107</v>
      </c>
      <c r="AG157" s="44" t="s">
        <v>107</v>
      </c>
      <c r="AI157" s="44" t="s">
        <v>107</v>
      </c>
      <c r="AK157" s="46"/>
    </row>
    <row r="158">
      <c r="A158" s="17" t="s">
        <v>459</v>
      </c>
      <c r="B158" s="17" t="s">
        <v>195</v>
      </c>
      <c r="C158" s="17" t="s">
        <v>350</v>
      </c>
      <c r="D158" s="17" t="s">
        <v>460</v>
      </c>
      <c r="G158" s="17" t="s">
        <v>350</v>
      </c>
      <c r="I158" s="31" t="s">
        <v>161</v>
      </c>
      <c r="J158" s="32" t="s">
        <v>461</v>
      </c>
      <c r="K158" s="32">
        <v>122.9</v>
      </c>
      <c r="L158" s="32">
        <v>6.6</v>
      </c>
      <c r="M158" s="34"/>
      <c r="N158" s="17" t="s">
        <v>100</v>
      </c>
      <c r="O158" s="35" t="s">
        <v>100</v>
      </c>
      <c r="Q158" s="36" t="s">
        <v>100</v>
      </c>
      <c r="U158" s="37"/>
      <c r="Y158" s="38"/>
      <c r="Z158" s="39"/>
      <c r="AA158" s="33"/>
      <c r="AB158" s="39"/>
      <c r="AC158" s="40"/>
      <c r="AD158" s="44" t="s">
        <v>107</v>
      </c>
      <c r="AE158" s="44" t="s">
        <v>107</v>
      </c>
      <c r="AF158" s="44" t="s">
        <v>107</v>
      </c>
      <c r="AI158" s="41" t="s">
        <v>107</v>
      </c>
    </row>
    <row r="159">
      <c r="A159" s="17" t="s">
        <v>462</v>
      </c>
      <c r="B159" s="17" t="s">
        <v>195</v>
      </c>
      <c r="C159" s="17" t="s">
        <v>463</v>
      </c>
      <c r="D159" s="17" t="s">
        <v>460</v>
      </c>
      <c r="G159" s="17" t="s">
        <v>195</v>
      </c>
      <c r="I159" s="31" t="s">
        <v>161</v>
      </c>
      <c r="J159" s="32" t="s">
        <v>464</v>
      </c>
      <c r="K159" s="32">
        <v>126.5</v>
      </c>
      <c r="L159" s="32">
        <v>6.6</v>
      </c>
      <c r="M159" s="34"/>
      <c r="N159" s="17" t="s">
        <v>100</v>
      </c>
      <c r="O159" s="35" t="s">
        <v>100</v>
      </c>
      <c r="Q159" s="36" t="s">
        <v>100</v>
      </c>
      <c r="U159" s="37"/>
      <c r="Y159" s="38"/>
      <c r="Z159" s="39"/>
      <c r="AA159" s="33"/>
      <c r="AB159" s="39"/>
      <c r="AC159" s="40"/>
      <c r="AD159" s="44" t="s">
        <v>107</v>
      </c>
      <c r="AE159" s="45" t="s">
        <v>107</v>
      </c>
      <c r="AF159" s="45" t="s">
        <v>107</v>
      </c>
      <c r="AI159" s="41" t="s">
        <v>107</v>
      </c>
    </row>
    <row r="160">
      <c r="A160" s="17" t="s">
        <v>465</v>
      </c>
      <c r="B160" s="17" t="s">
        <v>195</v>
      </c>
      <c r="C160" s="17" t="s">
        <v>396</v>
      </c>
      <c r="G160" s="17" t="s">
        <v>195</v>
      </c>
      <c r="I160" s="31" t="s">
        <v>161</v>
      </c>
      <c r="J160" s="32" t="s">
        <v>466</v>
      </c>
      <c r="K160" s="32">
        <v>127.7</v>
      </c>
      <c r="L160" s="33"/>
      <c r="M160" s="34"/>
      <c r="N160" s="34"/>
      <c r="O160" s="35" t="s">
        <v>100</v>
      </c>
      <c r="Q160" s="36" t="s">
        <v>100</v>
      </c>
      <c r="U160" s="37"/>
      <c r="Y160" s="38"/>
      <c r="Z160" s="39"/>
      <c r="AA160" s="33"/>
      <c r="AB160" s="39"/>
      <c r="AC160" s="40"/>
      <c r="AD160" s="44" t="s">
        <v>107</v>
      </c>
      <c r="AE160" s="45" t="s">
        <v>107</v>
      </c>
      <c r="AF160" s="45" t="s">
        <v>107</v>
      </c>
    </row>
    <row r="161">
      <c r="A161" s="17" t="s">
        <v>467</v>
      </c>
      <c r="B161" s="17" t="s">
        <v>206</v>
      </c>
      <c r="C161" s="24" t="s">
        <v>312</v>
      </c>
      <c r="I161" s="31" t="s">
        <v>161</v>
      </c>
      <c r="J161" s="32" t="s">
        <v>468</v>
      </c>
      <c r="K161" s="32">
        <v>137.5</v>
      </c>
      <c r="L161" s="32">
        <v>4.4</v>
      </c>
      <c r="M161" s="17">
        <v>6.4</v>
      </c>
      <c r="N161" s="17">
        <v>7.7</v>
      </c>
      <c r="O161" s="35">
        <v>43770.0</v>
      </c>
      <c r="P161" s="17">
        <v>16.0</v>
      </c>
      <c r="Q161" s="36">
        <v>128.0</v>
      </c>
      <c r="R161" s="17" t="s">
        <v>22</v>
      </c>
      <c r="U161" s="37">
        <f t="shared" ref="U161:U175" si="14">Q161*0.25</f>
        <v>32</v>
      </c>
      <c r="V161" s="17">
        <v>2025.0</v>
      </c>
      <c r="Y161" s="47">
        <v>12.1</v>
      </c>
      <c r="Z161" s="35">
        <v>45080.0</v>
      </c>
      <c r="AA161" s="32">
        <v>17.3</v>
      </c>
      <c r="AB161" s="35">
        <v>45080.0</v>
      </c>
      <c r="AC161" s="40"/>
      <c r="AG161" s="44" t="s">
        <v>107</v>
      </c>
      <c r="AI161" s="44" t="s">
        <v>107</v>
      </c>
      <c r="AK161" s="46"/>
    </row>
    <row r="162">
      <c r="A162" s="17" t="s">
        <v>469</v>
      </c>
      <c r="B162" s="17" t="s">
        <v>206</v>
      </c>
      <c r="C162" s="24" t="s">
        <v>312</v>
      </c>
      <c r="I162" s="31" t="s">
        <v>161</v>
      </c>
      <c r="J162" s="32" t="s">
        <v>470</v>
      </c>
      <c r="K162" s="32">
        <v>136.0</v>
      </c>
      <c r="L162" s="32">
        <v>5.2</v>
      </c>
      <c r="M162" s="17">
        <v>9.3</v>
      </c>
      <c r="N162" s="17">
        <v>8.1</v>
      </c>
      <c r="O162" s="35">
        <v>43770.0</v>
      </c>
      <c r="P162" s="17">
        <v>16.0</v>
      </c>
      <c r="Q162" s="36">
        <v>128.0</v>
      </c>
      <c r="R162" s="17" t="s">
        <v>22</v>
      </c>
      <c r="U162" s="37">
        <f t="shared" si="14"/>
        <v>32</v>
      </c>
      <c r="V162" s="17">
        <v>2025.0</v>
      </c>
      <c r="Y162" s="47">
        <v>12.9</v>
      </c>
      <c r="Z162" s="35">
        <v>45078.0</v>
      </c>
      <c r="AA162" s="32">
        <v>15.4</v>
      </c>
      <c r="AB162" s="35">
        <v>45078.0</v>
      </c>
      <c r="AC162" s="40"/>
      <c r="AG162" s="44" t="s">
        <v>107</v>
      </c>
      <c r="AI162" s="44" t="s">
        <v>107</v>
      </c>
      <c r="AK162" s="46"/>
    </row>
    <row r="163">
      <c r="A163" s="17" t="s">
        <v>471</v>
      </c>
      <c r="B163" s="17" t="s">
        <v>206</v>
      </c>
      <c r="C163" s="17" t="s">
        <v>472</v>
      </c>
      <c r="I163" s="31" t="s">
        <v>161</v>
      </c>
      <c r="J163" s="32" t="s">
        <v>473</v>
      </c>
      <c r="K163" s="32">
        <v>128.5</v>
      </c>
      <c r="L163" s="32">
        <v>5.9</v>
      </c>
      <c r="M163" s="17">
        <v>8.2</v>
      </c>
      <c r="N163" s="17">
        <v>10.7</v>
      </c>
      <c r="O163" s="35">
        <v>43770.0</v>
      </c>
      <c r="P163" s="17">
        <v>16.0</v>
      </c>
      <c r="Q163" s="36">
        <v>128.0</v>
      </c>
      <c r="R163" s="17" t="s">
        <v>22</v>
      </c>
      <c r="U163" s="37">
        <f t="shared" si="14"/>
        <v>32</v>
      </c>
      <c r="V163" s="17">
        <v>2025.0</v>
      </c>
      <c r="Y163" s="47">
        <v>12.7</v>
      </c>
      <c r="Z163" s="35">
        <v>45078.0</v>
      </c>
      <c r="AA163" s="32">
        <v>13.1</v>
      </c>
      <c r="AB163" s="35">
        <v>45078.0</v>
      </c>
      <c r="AC163" s="40"/>
      <c r="AG163" s="44" t="s">
        <v>107</v>
      </c>
      <c r="AI163" s="44" t="s">
        <v>107</v>
      </c>
      <c r="AK163" s="46"/>
    </row>
    <row r="164">
      <c r="A164" s="17" t="s">
        <v>474</v>
      </c>
      <c r="B164" s="17" t="s">
        <v>206</v>
      </c>
      <c r="C164" s="17" t="s">
        <v>472</v>
      </c>
      <c r="I164" s="31" t="s">
        <v>161</v>
      </c>
      <c r="J164" s="32" t="s">
        <v>475</v>
      </c>
      <c r="K164" s="32">
        <v>125.5</v>
      </c>
      <c r="L164" s="32">
        <v>5.5</v>
      </c>
      <c r="M164" s="17">
        <v>6.1</v>
      </c>
      <c r="N164" s="17">
        <v>7.0</v>
      </c>
      <c r="O164" s="35">
        <v>43556.0</v>
      </c>
      <c r="P164" s="17">
        <v>16.0</v>
      </c>
      <c r="Q164" s="36">
        <v>128.0</v>
      </c>
      <c r="R164" s="17" t="s">
        <v>22</v>
      </c>
      <c r="U164" s="37">
        <f t="shared" si="14"/>
        <v>32</v>
      </c>
      <c r="V164" s="17">
        <v>2025.0</v>
      </c>
      <c r="Y164" s="47">
        <v>13.2</v>
      </c>
      <c r="Z164" s="35">
        <v>45078.0</v>
      </c>
      <c r="AA164" s="32">
        <v>13.7</v>
      </c>
      <c r="AB164" s="35">
        <v>45078.0</v>
      </c>
      <c r="AC164" s="40"/>
      <c r="AF164" s="44" t="s">
        <v>107</v>
      </c>
      <c r="AG164" s="44" t="s">
        <v>107</v>
      </c>
      <c r="AI164" s="44" t="s">
        <v>107</v>
      </c>
      <c r="AK164" s="46"/>
    </row>
    <row r="165">
      <c r="A165" s="17" t="s">
        <v>476</v>
      </c>
      <c r="B165" s="17" t="s">
        <v>206</v>
      </c>
      <c r="C165" s="17" t="s">
        <v>472</v>
      </c>
      <c r="I165" s="31" t="s">
        <v>161</v>
      </c>
      <c r="J165" s="32" t="s">
        <v>477</v>
      </c>
      <c r="K165" s="32">
        <v>123.8</v>
      </c>
      <c r="L165" s="32">
        <v>5.8</v>
      </c>
      <c r="M165" s="17">
        <v>3.9</v>
      </c>
      <c r="N165" s="17">
        <v>7.5</v>
      </c>
      <c r="O165" s="35">
        <v>43556.0</v>
      </c>
      <c r="P165" s="17">
        <v>16.0</v>
      </c>
      <c r="Q165" s="36">
        <v>128.0</v>
      </c>
      <c r="R165" s="17" t="s">
        <v>22</v>
      </c>
      <c r="U165" s="37">
        <f t="shared" si="14"/>
        <v>32</v>
      </c>
      <c r="V165" s="17">
        <v>2025.0</v>
      </c>
      <c r="Y165" s="47">
        <v>13.4</v>
      </c>
      <c r="Z165" s="35">
        <v>45080.0</v>
      </c>
      <c r="AA165" s="32">
        <v>19.2</v>
      </c>
      <c r="AB165" s="35">
        <v>45080.0</v>
      </c>
      <c r="AC165" s="40"/>
      <c r="AG165" s="44" t="s">
        <v>107</v>
      </c>
      <c r="AI165" s="44" t="s">
        <v>107</v>
      </c>
      <c r="AK165" s="46"/>
    </row>
    <row r="166">
      <c r="A166" s="17" t="s">
        <v>478</v>
      </c>
      <c r="B166" s="17" t="s">
        <v>206</v>
      </c>
      <c r="C166" s="24" t="s">
        <v>329</v>
      </c>
      <c r="I166" s="31" t="s">
        <v>161</v>
      </c>
      <c r="J166" s="32" t="s">
        <v>479</v>
      </c>
      <c r="K166" s="32">
        <v>138.8</v>
      </c>
      <c r="L166" s="32">
        <v>4.9</v>
      </c>
      <c r="M166" s="17">
        <v>11.7</v>
      </c>
      <c r="N166" s="17">
        <v>10.3</v>
      </c>
      <c r="O166" s="35">
        <v>43739.0</v>
      </c>
      <c r="P166" s="17">
        <v>16.0</v>
      </c>
      <c r="Q166" s="36">
        <v>128.0</v>
      </c>
      <c r="R166" s="17" t="s">
        <v>22</v>
      </c>
      <c r="U166" s="37">
        <f t="shared" si="14"/>
        <v>32</v>
      </c>
      <c r="V166" s="17">
        <v>2025.0</v>
      </c>
      <c r="Y166" s="47">
        <v>9.1</v>
      </c>
      <c r="Z166" s="35">
        <v>45078.0</v>
      </c>
      <c r="AA166" s="32">
        <v>12.5</v>
      </c>
      <c r="AB166" s="35">
        <v>45078.0</v>
      </c>
      <c r="AC166" s="40"/>
      <c r="AG166" s="44" t="s">
        <v>107</v>
      </c>
      <c r="AI166" s="44" t="s">
        <v>107</v>
      </c>
      <c r="AK166" s="46"/>
    </row>
    <row r="167">
      <c r="A167" s="17" t="s">
        <v>480</v>
      </c>
      <c r="B167" s="17" t="s">
        <v>206</v>
      </c>
      <c r="C167" s="17" t="s">
        <v>481</v>
      </c>
      <c r="I167" s="31" t="s">
        <v>161</v>
      </c>
      <c r="J167" s="32" t="s">
        <v>482</v>
      </c>
      <c r="K167" s="32">
        <v>134.7</v>
      </c>
      <c r="L167" s="32">
        <v>6.5</v>
      </c>
      <c r="M167" s="17">
        <v>11.4</v>
      </c>
      <c r="N167" s="17">
        <v>9.3</v>
      </c>
      <c r="O167" s="35">
        <v>43770.0</v>
      </c>
      <c r="P167" s="17">
        <v>16.0</v>
      </c>
      <c r="Q167" s="36">
        <v>128.0</v>
      </c>
      <c r="R167" s="17" t="s">
        <v>22</v>
      </c>
      <c r="U167" s="37">
        <f t="shared" si="14"/>
        <v>32</v>
      </c>
      <c r="V167" s="17">
        <v>2025.0</v>
      </c>
      <c r="Y167" s="47">
        <v>10.1</v>
      </c>
      <c r="Z167" s="35">
        <v>45078.0</v>
      </c>
      <c r="AA167" s="32">
        <v>11.6</v>
      </c>
      <c r="AB167" s="35">
        <v>45086.0</v>
      </c>
      <c r="AC167" s="40"/>
      <c r="AG167" s="44" t="s">
        <v>107</v>
      </c>
      <c r="AI167" s="44" t="s">
        <v>107</v>
      </c>
      <c r="AK167" s="46"/>
    </row>
    <row r="168">
      <c r="A168" s="17" t="s">
        <v>483</v>
      </c>
      <c r="B168" s="17" t="s">
        <v>206</v>
      </c>
      <c r="C168" s="17" t="s">
        <v>481</v>
      </c>
      <c r="I168" s="31" t="s">
        <v>161</v>
      </c>
      <c r="J168" s="32" t="s">
        <v>484</v>
      </c>
      <c r="K168" s="32">
        <v>133.0</v>
      </c>
      <c r="L168" s="32">
        <v>7.3</v>
      </c>
      <c r="M168" s="17">
        <v>20.1</v>
      </c>
      <c r="N168" s="17">
        <v>11.3</v>
      </c>
      <c r="O168" s="35">
        <v>43770.0</v>
      </c>
      <c r="P168" s="17">
        <v>16.0</v>
      </c>
      <c r="Q168" s="36">
        <v>128.0</v>
      </c>
      <c r="R168" s="17" t="s">
        <v>22</v>
      </c>
      <c r="U168" s="37">
        <f t="shared" si="14"/>
        <v>32</v>
      </c>
      <c r="V168" s="17">
        <v>2025.0</v>
      </c>
      <c r="Y168" s="47">
        <v>9.8</v>
      </c>
      <c r="Z168" s="35">
        <v>45081.0</v>
      </c>
      <c r="AA168" s="32">
        <v>10.6</v>
      </c>
      <c r="AB168" s="35">
        <v>45089.0</v>
      </c>
      <c r="AC168" s="40"/>
      <c r="AG168" s="44" t="s">
        <v>107</v>
      </c>
      <c r="AI168" s="44" t="s">
        <v>107</v>
      </c>
      <c r="AK168" s="46"/>
    </row>
    <row r="169">
      <c r="A169" s="17" t="s">
        <v>485</v>
      </c>
      <c r="B169" s="17" t="s">
        <v>206</v>
      </c>
      <c r="C169" s="17" t="s">
        <v>481</v>
      </c>
      <c r="I169" s="31" t="s">
        <v>161</v>
      </c>
      <c r="J169" s="32" t="s">
        <v>486</v>
      </c>
      <c r="K169" s="32">
        <v>128.3</v>
      </c>
      <c r="L169" s="32">
        <v>7.1</v>
      </c>
      <c r="M169" s="17">
        <v>9.7</v>
      </c>
      <c r="N169" s="17">
        <v>10.7</v>
      </c>
      <c r="O169" s="35">
        <v>43739.0</v>
      </c>
      <c r="P169" s="17">
        <v>16.0</v>
      </c>
      <c r="Q169" s="36">
        <v>128.0</v>
      </c>
      <c r="R169" s="17" t="s">
        <v>22</v>
      </c>
      <c r="U169" s="37">
        <f t="shared" si="14"/>
        <v>32</v>
      </c>
      <c r="V169" s="17">
        <v>2025.0</v>
      </c>
      <c r="Y169" s="47">
        <v>9.9</v>
      </c>
      <c r="Z169" s="35">
        <v>45079.0</v>
      </c>
      <c r="AA169" s="32">
        <v>10.3</v>
      </c>
      <c r="AB169" s="35">
        <v>45079.0</v>
      </c>
      <c r="AC169" s="40"/>
      <c r="AG169" s="44" t="s">
        <v>107</v>
      </c>
      <c r="AI169" s="44" t="s">
        <v>107</v>
      </c>
      <c r="AK169" s="46"/>
    </row>
    <row r="170">
      <c r="A170" s="17" t="s">
        <v>487</v>
      </c>
      <c r="B170" s="17" t="s">
        <v>206</v>
      </c>
      <c r="C170" s="24" t="s">
        <v>329</v>
      </c>
      <c r="I170" s="31" t="s">
        <v>161</v>
      </c>
      <c r="J170" s="32" t="s">
        <v>488</v>
      </c>
      <c r="K170" s="32">
        <v>119.6</v>
      </c>
      <c r="L170" s="32">
        <v>6.7</v>
      </c>
      <c r="M170" s="17">
        <v>16.2</v>
      </c>
      <c r="N170" s="17">
        <v>30.0</v>
      </c>
      <c r="O170" s="35">
        <v>43647.0</v>
      </c>
      <c r="P170" s="17">
        <v>16.0</v>
      </c>
      <c r="Q170" s="36">
        <v>128.0</v>
      </c>
      <c r="R170" s="17" t="s">
        <v>22</v>
      </c>
      <c r="U170" s="37">
        <f t="shared" si="14"/>
        <v>32</v>
      </c>
      <c r="V170" s="17">
        <v>2025.0</v>
      </c>
      <c r="Y170" s="47">
        <v>14.4</v>
      </c>
      <c r="Z170" s="35">
        <v>45081.0</v>
      </c>
      <c r="AA170" s="32">
        <v>17.9</v>
      </c>
      <c r="AB170" s="35">
        <v>45081.0</v>
      </c>
      <c r="AC170" s="40"/>
      <c r="AF170" s="44" t="s">
        <v>107</v>
      </c>
      <c r="AG170" s="44" t="s">
        <v>107</v>
      </c>
      <c r="AI170" s="44" t="s">
        <v>107</v>
      </c>
      <c r="AK170" s="46"/>
    </row>
    <row r="171">
      <c r="A171" s="17" t="s">
        <v>489</v>
      </c>
      <c r="B171" s="17" t="s">
        <v>206</v>
      </c>
      <c r="C171" s="24" t="s">
        <v>338</v>
      </c>
      <c r="I171" s="31" t="s">
        <v>161</v>
      </c>
      <c r="J171" s="32" t="s">
        <v>490</v>
      </c>
      <c r="K171" s="32">
        <v>138.2</v>
      </c>
      <c r="L171" s="32">
        <v>5.6</v>
      </c>
      <c r="M171" s="17">
        <v>18.5</v>
      </c>
      <c r="N171" s="17">
        <v>7.7</v>
      </c>
      <c r="O171" s="35">
        <v>43770.0</v>
      </c>
      <c r="P171" s="17">
        <v>16.0</v>
      </c>
      <c r="Q171" s="36">
        <v>96.0</v>
      </c>
      <c r="R171" s="17" t="s">
        <v>22</v>
      </c>
      <c r="U171" s="37">
        <f t="shared" si="14"/>
        <v>24</v>
      </c>
      <c r="V171" s="17">
        <v>2025.0</v>
      </c>
      <c r="Y171" s="47">
        <v>10.1</v>
      </c>
      <c r="Z171" s="35">
        <v>45079.0</v>
      </c>
      <c r="AA171" s="32">
        <v>10.5</v>
      </c>
      <c r="AB171" s="35">
        <v>45079.0</v>
      </c>
      <c r="AC171" s="40"/>
      <c r="AG171" s="44" t="s">
        <v>107</v>
      </c>
      <c r="AI171" s="44" t="s">
        <v>107</v>
      </c>
      <c r="AK171" s="46"/>
    </row>
    <row r="172">
      <c r="A172" s="17" t="s">
        <v>491</v>
      </c>
      <c r="B172" s="17" t="s">
        <v>206</v>
      </c>
      <c r="C172" s="17" t="s">
        <v>492</v>
      </c>
      <c r="G172" s="17" t="s">
        <v>206</v>
      </c>
      <c r="I172" s="31" t="s">
        <v>161</v>
      </c>
      <c r="J172" s="32" t="s">
        <v>493</v>
      </c>
      <c r="K172" s="32">
        <v>137.3</v>
      </c>
      <c r="L172" s="32">
        <v>5.9</v>
      </c>
      <c r="M172" s="17">
        <v>12.4</v>
      </c>
      <c r="N172" s="17">
        <v>9.9</v>
      </c>
      <c r="O172" s="35">
        <v>43770.0</v>
      </c>
      <c r="P172" s="17">
        <v>16.0</v>
      </c>
      <c r="Q172" s="36">
        <v>96.0</v>
      </c>
      <c r="R172" s="17" t="s">
        <v>22</v>
      </c>
      <c r="U172" s="37">
        <f t="shared" si="14"/>
        <v>24</v>
      </c>
      <c r="V172" s="17">
        <v>2025.0</v>
      </c>
      <c r="W172" s="17"/>
      <c r="X172" s="17" t="s">
        <v>494</v>
      </c>
      <c r="Y172" s="47">
        <v>9.8</v>
      </c>
      <c r="Z172" s="35">
        <v>45081.0</v>
      </c>
      <c r="AA172" s="32">
        <v>10.2</v>
      </c>
      <c r="AB172" s="35">
        <v>45081.0</v>
      </c>
      <c r="AC172" s="40"/>
      <c r="AD172" s="44" t="s">
        <v>107</v>
      </c>
      <c r="AF172" s="44" t="s">
        <v>107</v>
      </c>
      <c r="AG172" s="44" t="s">
        <v>107</v>
      </c>
      <c r="AI172" s="44" t="s">
        <v>107</v>
      </c>
      <c r="AK172" s="46"/>
    </row>
    <row r="173">
      <c r="A173" s="17" t="s">
        <v>495</v>
      </c>
      <c r="B173" s="17" t="s">
        <v>206</v>
      </c>
      <c r="C173" s="17" t="s">
        <v>492</v>
      </c>
      <c r="I173" s="31" t="s">
        <v>161</v>
      </c>
      <c r="J173" s="32" t="s">
        <v>496</v>
      </c>
      <c r="K173" s="32">
        <v>132.4</v>
      </c>
      <c r="L173" s="32">
        <v>5.6</v>
      </c>
      <c r="M173" s="17">
        <v>6.4</v>
      </c>
      <c r="N173" s="17">
        <v>11.3</v>
      </c>
      <c r="O173" s="35">
        <v>43770.0</v>
      </c>
      <c r="P173" s="17">
        <v>16.0</v>
      </c>
      <c r="Q173" s="36">
        <v>96.0</v>
      </c>
      <c r="R173" s="17" t="s">
        <v>22</v>
      </c>
      <c r="U173" s="37">
        <f t="shared" si="14"/>
        <v>24</v>
      </c>
      <c r="V173" s="17">
        <v>2025.0</v>
      </c>
      <c r="Y173" s="47">
        <v>9.1</v>
      </c>
      <c r="Z173" s="35">
        <v>45083.0</v>
      </c>
      <c r="AA173" s="32">
        <v>11.3</v>
      </c>
      <c r="AB173" s="35">
        <v>45091.0</v>
      </c>
      <c r="AC173" s="40"/>
      <c r="AG173" s="44" t="s">
        <v>107</v>
      </c>
      <c r="AI173" s="44" t="s">
        <v>107</v>
      </c>
      <c r="AK173" s="46"/>
    </row>
    <row r="174">
      <c r="A174" s="17" t="s">
        <v>497</v>
      </c>
      <c r="B174" s="17" t="s">
        <v>206</v>
      </c>
      <c r="C174" s="17" t="s">
        <v>492</v>
      </c>
      <c r="G174" s="17" t="s">
        <v>206</v>
      </c>
      <c r="I174" s="31" t="s">
        <v>161</v>
      </c>
      <c r="J174" s="32" t="s">
        <v>498</v>
      </c>
      <c r="K174" s="32">
        <v>131.2</v>
      </c>
      <c r="L174" s="32">
        <v>6.3</v>
      </c>
      <c r="M174" s="17">
        <v>13.9</v>
      </c>
      <c r="N174" s="17">
        <v>15.0</v>
      </c>
      <c r="O174" s="35">
        <v>43770.0</v>
      </c>
      <c r="P174" s="17">
        <v>16.0</v>
      </c>
      <c r="Q174" s="36">
        <v>96.0</v>
      </c>
      <c r="R174" s="17" t="s">
        <v>22</v>
      </c>
      <c r="U174" s="37">
        <f t="shared" si="14"/>
        <v>24</v>
      </c>
      <c r="V174" s="17">
        <v>2025.0</v>
      </c>
      <c r="W174" s="17"/>
      <c r="X174" s="17" t="s">
        <v>499</v>
      </c>
      <c r="Y174" s="47">
        <v>10.7</v>
      </c>
      <c r="Z174" s="35">
        <v>45085.0</v>
      </c>
      <c r="AA174" s="32">
        <v>11.8</v>
      </c>
      <c r="AB174" s="35">
        <v>45093.0</v>
      </c>
      <c r="AC174" s="40"/>
      <c r="AD174" s="44" t="s">
        <v>107</v>
      </c>
      <c r="AG174" s="44" t="s">
        <v>107</v>
      </c>
      <c r="AI174" s="44" t="s">
        <v>107</v>
      </c>
      <c r="AK174" s="46"/>
    </row>
    <row r="175">
      <c r="A175" s="17" t="s">
        <v>500</v>
      </c>
      <c r="B175" s="17" t="s">
        <v>206</v>
      </c>
      <c r="C175" s="17" t="s">
        <v>492</v>
      </c>
      <c r="G175" s="17" t="s">
        <v>206</v>
      </c>
      <c r="I175" s="31" t="s">
        <v>161</v>
      </c>
      <c r="J175" s="32" t="s">
        <v>501</v>
      </c>
      <c r="K175" s="32">
        <v>129.4</v>
      </c>
      <c r="L175" s="32">
        <v>6.8</v>
      </c>
      <c r="M175" s="17">
        <v>14.5</v>
      </c>
      <c r="N175" s="17">
        <v>22.7</v>
      </c>
      <c r="O175" s="35">
        <v>43617.0</v>
      </c>
      <c r="P175" s="17">
        <v>16.0</v>
      </c>
      <c r="Q175" s="36">
        <v>96.0</v>
      </c>
      <c r="R175" s="17" t="s">
        <v>22</v>
      </c>
      <c r="U175" s="37">
        <f t="shared" si="14"/>
        <v>24</v>
      </c>
      <c r="V175" s="17">
        <v>2025.0</v>
      </c>
      <c r="W175" s="17"/>
      <c r="X175" s="17" t="s">
        <v>502</v>
      </c>
      <c r="Y175" s="47">
        <v>9.5</v>
      </c>
      <c r="Z175" s="35">
        <v>45087.0</v>
      </c>
      <c r="AA175" s="32">
        <v>11.3</v>
      </c>
      <c r="AB175" s="35">
        <v>45095.0</v>
      </c>
      <c r="AC175" s="40"/>
      <c r="AD175" s="44" t="s">
        <v>107</v>
      </c>
      <c r="AF175" s="44" t="s">
        <v>107</v>
      </c>
      <c r="AG175" s="44" t="s">
        <v>107</v>
      </c>
      <c r="AI175" s="44" t="s">
        <v>107</v>
      </c>
      <c r="AK175" s="46"/>
    </row>
    <row r="176">
      <c r="A176" s="17" t="s">
        <v>503</v>
      </c>
      <c r="B176" s="17" t="s">
        <v>195</v>
      </c>
      <c r="C176" s="17" t="s">
        <v>350</v>
      </c>
      <c r="G176" s="17" t="s">
        <v>350</v>
      </c>
      <c r="I176" s="31" t="s">
        <v>161</v>
      </c>
      <c r="J176" s="32" t="s">
        <v>504</v>
      </c>
      <c r="K176" s="32">
        <v>151.0</v>
      </c>
      <c r="L176" s="32">
        <v>6.1</v>
      </c>
      <c r="M176" s="17">
        <v>20.7</v>
      </c>
      <c r="N176" s="17" t="s">
        <v>100</v>
      </c>
      <c r="O176" s="35" t="s">
        <v>100</v>
      </c>
      <c r="Q176" s="36" t="s">
        <v>100</v>
      </c>
      <c r="U176" s="37"/>
      <c r="Y176" s="38"/>
      <c r="Z176" s="39"/>
      <c r="AA176" s="33"/>
      <c r="AB176" s="39"/>
      <c r="AC176" s="40"/>
      <c r="AD176" s="44" t="s">
        <v>107</v>
      </c>
      <c r="AE176" s="44" t="s">
        <v>107</v>
      </c>
      <c r="AF176" s="44" t="s">
        <v>107</v>
      </c>
      <c r="AG176" s="44" t="s">
        <v>107</v>
      </c>
      <c r="AI176" s="44" t="s">
        <v>107</v>
      </c>
      <c r="AK176" s="46"/>
    </row>
    <row r="177">
      <c r="A177" s="17" t="s">
        <v>505</v>
      </c>
      <c r="B177" s="17" t="s">
        <v>195</v>
      </c>
      <c r="C177" s="17" t="s">
        <v>350</v>
      </c>
      <c r="G177" s="17" t="s">
        <v>350</v>
      </c>
      <c r="I177" s="31" t="s">
        <v>161</v>
      </c>
      <c r="J177" s="32" t="s">
        <v>506</v>
      </c>
      <c r="K177" s="32">
        <v>149.2</v>
      </c>
      <c r="L177" s="32">
        <v>6.1</v>
      </c>
      <c r="M177" s="17">
        <v>11.5</v>
      </c>
      <c r="N177" s="17" t="s">
        <v>100</v>
      </c>
      <c r="O177" s="35" t="s">
        <v>100</v>
      </c>
      <c r="Q177" s="36" t="s">
        <v>100</v>
      </c>
      <c r="U177" s="37"/>
      <c r="Y177" s="38"/>
      <c r="Z177" s="39"/>
      <c r="AA177" s="33"/>
      <c r="AB177" s="39"/>
      <c r="AC177" s="40"/>
      <c r="AD177" s="44" t="s">
        <v>107</v>
      </c>
      <c r="AE177" s="41" t="s">
        <v>107</v>
      </c>
      <c r="AF177" s="44" t="s">
        <v>107</v>
      </c>
      <c r="AG177" s="44" t="s">
        <v>107</v>
      </c>
      <c r="AI177" s="44" t="s">
        <v>107</v>
      </c>
      <c r="AK177" s="46"/>
    </row>
    <row r="178">
      <c r="A178" s="17" t="s">
        <v>507</v>
      </c>
      <c r="B178" s="17" t="s">
        <v>195</v>
      </c>
      <c r="C178" s="17" t="s">
        <v>350</v>
      </c>
      <c r="G178" s="17" t="s">
        <v>350</v>
      </c>
      <c r="I178" s="31" t="s">
        <v>161</v>
      </c>
      <c r="J178" s="32" t="s">
        <v>508</v>
      </c>
      <c r="K178" s="32">
        <v>146.9</v>
      </c>
      <c r="L178" s="32">
        <v>5.5</v>
      </c>
      <c r="M178" s="17">
        <v>19.3</v>
      </c>
      <c r="N178" s="17" t="s">
        <v>100</v>
      </c>
      <c r="O178" s="35" t="s">
        <v>100</v>
      </c>
      <c r="Q178" s="36" t="s">
        <v>100</v>
      </c>
      <c r="U178" s="37"/>
      <c r="Y178" s="38"/>
      <c r="Z178" s="39"/>
      <c r="AA178" s="33"/>
      <c r="AB178" s="39"/>
      <c r="AC178" s="40"/>
      <c r="AD178" s="44" t="s">
        <v>107</v>
      </c>
      <c r="AE178" s="41" t="s">
        <v>107</v>
      </c>
      <c r="AF178" s="44" t="s">
        <v>107</v>
      </c>
      <c r="AG178" s="44" t="s">
        <v>107</v>
      </c>
      <c r="AI178" s="44" t="s">
        <v>107</v>
      </c>
      <c r="AK178" s="46"/>
    </row>
    <row r="179">
      <c r="A179" s="17" t="s">
        <v>509</v>
      </c>
      <c r="B179" s="17" t="s">
        <v>195</v>
      </c>
      <c r="C179" s="17" t="s">
        <v>350</v>
      </c>
      <c r="G179" s="17" t="s">
        <v>350</v>
      </c>
      <c r="I179" s="31" t="s">
        <v>161</v>
      </c>
      <c r="J179" s="32" t="s">
        <v>510</v>
      </c>
      <c r="K179" s="32">
        <v>144.9</v>
      </c>
      <c r="L179" s="32">
        <v>5.7</v>
      </c>
      <c r="M179" s="17">
        <v>13.8</v>
      </c>
      <c r="N179" s="17" t="s">
        <v>100</v>
      </c>
      <c r="O179" s="35" t="s">
        <v>100</v>
      </c>
      <c r="Q179" s="36" t="s">
        <v>100</v>
      </c>
      <c r="U179" s="37"/>
      <c r="Y179" s="38"/>
      <c r="Z179" s="39"/>
      <c r="AA179" s="33"/>
      <c r="AB179" s="39"/>
      <c r="AC179" s="40"/>
      <c r="AD179" s="44" t="s">
        <v>107</v>
      </c>
      <c r="AE179" s="44" t="s">
        <v>107</v>
      </c>
      <c r="AF179" s="44" t="s">
        <v>107</v>
      </c>
      <c r="AG179" s="44" t="s">
        <v>107</v>
      </c>
      <c r="AI179" s="44" t="s">
        <v>107</v>
      </c>
      <c r="AK179" s="46"/>
    </row>
    <row r="180">
      <c r="A180" s="17" t="s">
        <v>511</v>
      </c>
      <c r="B180" s="17" t="s">
        <v>195</v>
      </c>
      <c r="C180" s="17" t="s">
        <v>350</v>
      </c>
      <c r="G180" s="17" t="s">
        <v>350</v>
      </c>
      <c r="I180" s="31" t="s">
        <v>161</v>
      </c>
      <c r="J180" s="32" t="s">
        <v>512</v>
      </c>
      <c r="K180" s="32">
        <v>143.0</v>
      </c>
      <c r="L180" s="32">
        <v>5.7</v>
      </c>
      <c r="M180" s="17">
        <v>6.2</v>
      </c>
      <c r="N180" s="17" t="s">
        <v>100</v>
      </c>
      <c r="O180" s="35" t="s">
        <v>100</v>
      </c>
      <c r="Q180" s="36" t="s">
        <v>100</v>
      </c>
      <c r="U180" s="37"/>
      <c r="Y180" s="38"/>
      <c r="Z180" s="39"/>
      <c r="AA180" s="33"/>
      <c r="AB180" s="39"/>
      <c r="AC180" s="40"/>
      <c r="AD180" s="44" t="s">
        <v>107</v>
      </c>
      <c r="AE180" s="44" t="s">
        <v>107</v>
      </c>
      <c r="AF180" s="44" t="s">
        <v>107</v>
      </c>
      <c r="AG180" s="44" t="s">
        <v>107</v>
      </c>
      <c r="AI180" s="44" t="s">
        <v>107</v>
      </c>
      <c r="AK180" s="46"/>
    </row>
    <row r="181">
      <c r="A181" s="24" t="s">
        <v>513</v>
      </c>
      <c r="B181" s="17" t="s">
        <v>97</v>
      </c>
      <c r="D181" s="17" t="s">
        <v>514</v>
      </c>
      <c r="I181" s="31" t="s">
        <v>98</v>
      </c>
      <c r="J181" s="32" t="s">
        <v>515</v>
      </c>
      <c r="K181" s="32">
        <v>176.7</v>
      </c>
      <c r="L181" s="32">
        <v>4.6</v>
      </c>
      <c r="M181" s="34"/>
      <c r="N181" s="34"/>
      <c r="O181" s="35" t="s">
        <v>100</v>
      </c>
      <c r="Q181" s="36" t="s">
        <v>100</v>
      </c>
      <c r="U181" s="37"/>
      <c r="Y181" s="47">
        <v>23.2</v>
      </c>
      <c r="Z181" s="35">
        <v>44866.0</v>
      </c>
      <c r="AA181" s="33"/>
      <c r="AB181" s="39"/>
      <c r="AC181" s="40"/>
      <c r="AI181" s="44" t="s">
        <v>107</v>
      </c>
      <c r="AJ181" s="41" t="s">
        <v>107</v>
      </c>
    </row>
    <row r="182">
      <c r="A182" s="24" t="s">
        <v>516</v>
      </c>
      <c r="B182" s="17" t="s">
        <v>97</v>
      </c>
      <c r="D182" s="17" t="s">
        <v>514</v>
      </c>
      <c r="I182" s="31" t="s">
        <v>98</v>
      </c>
      <c r="J182" s="32" t="s">
        <v>517</v>
      </c>
      <c r="K182" s="32">
        <v>168.6</v>
      </c>
      <c r="L182" s="32">
        <v>5.3</v>
      </c>
      <c r="M182" s="34"/>
      <c r="N182" s="34"/>
      <c r="O182" s="35" t="s">
        <v>100</v>
      </c>
      <c r="Q182" s="36" t="s">
        <v>100</v>
      </c>
      <c r="U182" s="37"/>
      <c r="Y182" s="47">
        <v>28.0</v>
      </c>
      <c r="Z182" s="35">
        <v>45231.0</v>
      </c>
      <c r="AA182" s="33"/>
      <c r="AB182" s="39"/>
      <c r="AC182" s="40"/>
      <c r="AI182" s="44" t="s">
        <v>107</v>
      </c>
      <c r="AJ182" s="41" t="s">
        <v>107</v>
      </c>
    </row>
    <row r="183">
      <c r="A183" s="24" t="s">
        <v>518</v>
      </c>
      <c r="B183" s="17" t="s">
        <v>97</v>
      </c>
      <c r="D183" s="17" t="s">
        <v>514</v>
      </c>
      <c r="I183" s="31" t="s">
        <v>98</v>
      </c>
      <c r="J183" s="32" t="s">
        <v>519</v>
      </c>
      <c r="K183" s="32">
        <v>164.4</v>
      </c>
      <c r="L183" s="32">
        <v>5.9</v>
      </c>
      <c r="M183" s="34"/>
      <c r="N183" s="34"/>
      <c r="O183" s="35" t="s">
        <v>100</v>
      </c>
      <c r="Q183" s="36" t="s">
        <v>100</v>
      </c>
      <c r="U183" s="37"/>
      <c r="Y183" s="47">
        <v>25.1</v>
      </c>
      <c r="Z183" s="35">
        <v>45231.0</v>
      </c>
      <c r="AA183" s="33"/>
      <c r="AB183" s="39"/>
      <c r="AC183" s="40"/>
      <c r="AI183" s="44" t="s">
        <v>107</v>
      </c>
      <c r="AJ183" s="41" t="s">
        <v>107</v>
      </c>
    </row>
    <row r="184">
      <c r="A184" s="24" t="s">
        <v>520</v>
      </c>
      <c r="B184" s="17" t="s">
        <v>97</v>
      </c>
      <c r="D184" s="17" t="s">
        <v>514</v>
      </c>
      <c r="I184" s="31" t="s">
        <v>98</v>
      </c>
      <c r="J184" s="32" t="s">
        <v>521</v>
      </c>
      <c r="K184" s="32">
        <v>160.9</v>
      </c>
      <c r="L184" s="32">
        <v>4.2</v>
      </c>
      <c r="M184" s="34"/>
      <c r="N184" s="34"/>
      <c r="O184" s="35" t="s">
        <v>100</v>
      </c>
      <c r="Q184" s="36" t="s">
        <v>100</v>
      </c>
      <c r="U184" s="37"/>
      <c r="Y184" s="38"/>
      <c r="Z184" s="39"/>
      <c r="AA184" s="33"/>
      <c r="AB184" s="39"/>
      <c r="AC184" s="40"/>
      <c r="AI184" s="44" t="s">
        <v>107</v>
      </c>
      <c r="AJ184" s="41" t="s">
        <v>107</v>
      </c>
    </row>
    <row r="185">
      <c r="A185" s="24" t="s">
        <v>522</v>
      </c>
      <c r="B185" s="17" t="s">
        <v>97</v>
      </c>
      <c r="D185" s="17" t="s">
        <v>514</v>
      </c>
      <c r="I185" s="31" t="s">
        <v>98</v>
      </c>
      <c r="J185" s="32" t="s">
        <v>523</v>
      </c>
      <c r="K185" s="32">
        <v>155.3</v>
      </c>
      <c r="L185" s="32">
        <v>6.2</v>
      </c>
      <c r="M185" s="34"/>
      <c r="N185" s="34"/>
      <c r="O185" s="35" t="s">
        <v>100</v>
      </c>
      <c r="Q185" s="36" t="s">
        <v>100</v>
      </c>
      <c r="U185" s="37"/>
      <c r="Y185" s="47">
        <v>19.0</v>
      </c>
      <c r="Z185" s="35">
        <v>45231.0</v>
      </c>
      <c r="AA185" s="33"/>
      <c r="AB185" s="39"/>
      <c r="AC185" s="40"/>
      <c r="AI185" s="44" t="s">
        <v>107</v>
      </c>
      <c r="AJ185" s="41" t="s">
        <v>107</v>
      </c>
    </row>
    <row r="186">
      <c r="A186" s="17" t="s">
        <v>524</v>
      </c>
      <c r="B186" s="17" t="s">
        <v>97</v>
      </c>
      <c r="D186" s="17" t="s">
        <v>514</v>
      </c>
      <c r="I186" s="31" t="s">
        <v>161</v>
      </c>
      <c r="J186" s="32"/>
      <c r="K186" s="32"/>
      <c r="L186" s="32">
        <v>3.9</v>
      </c>
      <c r="M186" s="34"/>
      <c r="N186" s="34"/>
      <c r="O186" s="35" t="s">
        <v>100</v>
      </c>
      <c r="Q186" s="36" t="s">
        <v>100</v>
      </c>
      <c r="U186" s="37"/>
      <c r="Y186" s="47">
        <v>24.2</v>
      </c>
      <c r="Z186" s="35">
        <v>45261.0</v>
      </c>
      <c r="AA186" s="33"/>
      <c r="AB186" s="39"/>
      <c r="AC186" s="40"/>
      <c r="AI186" s="44" t="s">
        <v>107</v>
      </c>
      <c r="AJ186" s="41" t="s">
        <v>107</v>
      </c>
    </row>
    <row r="187">
      <c r="A187" s="17" t="s">
        <v>525</v>
      </c>
      <c r="B187" s="17" t="s">
        <v>97</v>
      </c>
      <c r="D187" s="17" t="s">
        <v>514</v>
      </c>
      <c r="I187" s="31" t="s">
        <v>161</v>
      </c>
      <c r="J187" s="32"/>
      <c r="K187" s="32"/>
      <c r="L187" s="32">
        <v>4.5</v>
      </c>
      <c r="M187" s="34"/>
      <c r="N187" s="34"/>
      <c r="O187" s="35" t="s">
        <v>100</v>
      </c>
      <c r="Q187" s="36" t="s">
        <v>100</v>
      </c>
      <c r="U187" s="37"/>
      <c r="Y187" s="47">
        <v>26.0</v>
      </c>
      <c r="Z187" s="35">
        <v>45261.0</v>
      </c>
      <c r="AA187" s="33"/>
      <c r="AB187" s="39"/>
      <c r="AC187" s="40"/>
      <c r="AI187" s="44" t="s">
        <v>107</v>
      </c>
      <c r="AJ187" s="41" t="s">
        <v>107</v>
      </c>
    </row>
    <row r="188">
      <c r="A188" s="17" t="s">
        <v>526</v>
      </c>
      <c r="B188" s="17" t="s">
        <v>97</v>
      </c>
      <c r="D188" s="17" t="s">
        <v>514</v>
      </c>
      <c r="I188" s="31" t="s">
        <v>161</v>
      </c>
      <c r="J188" s="32"/>
      <c r="K188" s="32"/>
      <c r="L188" s="32">
        <v>4.7</v>
      </c>
      <c r="M188" s="34"/>
      <c r="N188" s="34"/>
      <c r="O188" s="35" t="s">
        <v>100</v>
      </c>
      <c r="Q188" s="36" t="s">
        <v>100</v>
      </c>
      <c r="R188" s="17"/>
      <c r="S188" s="17"/>
      <c r="T188" s="17"/>
      <c r="U188" s="42"/>
      <c r="V188" s="17"/>
      <c r="W188" s="17"/>
      <c r="X188" s="17" t="s">
        <v>527</v>
      </c>
      <c r="Y188" s="47">
        <v>24.4</v>
      </c>
      <c r="Z188" s="35"/>
      <c r="AA188" s="33"/>
      <c r="AB188" s="39"/>
      <c r="AC188" s="40"/>
      <c r="AI188" s="44" t="s">
        <v>107</v>
      </c>
    </row>
    <row r="189">
      <c r="A189" s="17" t="s">
        <v>528</v>
      </c>
      <c r="B189" s="17"/>
      <c r="D189" s="17" t="s">
        <v>529</v>
      </c>
      <c r="I189" s="31" t="s">
        <v>436</v>
      </c>
      <c r="J189" s="32"/>
      <c r="K189" s="32"/>
      <c r="L189" s="32"/>
      <c r="M189" s="34"/>
      <c r="N189" s="34"/>
      <c r="O189" s="35" t="s">
        <v>100</v>
      </c>
      <c r="Q189" s="36" t="s">
        <v>100</v>
      </c>
      <c r="U189" s="37"/>
      <c r="Y189" s="47"/>
      <c r="Z189" s="35"/>
      <c r="AA189" s="33"/>
      <c r="AB189" s="39"/>
      <c r="AC189" s="40"/>
      <c r="AI189" s="45" t="s">
        <v>107</v>
      </c>
    </row>
    <row r="190">
      <c r="A190" s="17" t="s">
        <v>530</v>
      </c>
      <c r="B190" s="17"/>
      <c r="D190" s="17" t="s">
        <v>529</v>
      </c>
      <c r="I190" s="31" t="s">
        <v>436</v>
      </c>
      <c r="J190" s="32"/>
      <c r="K190" s="32"/>
      <c r="L190" s="32"/>
      <c r="M190" s="34"/>
      <c r="N190" s="34"/>
      <c r="O190" s="35" t="s">
        <v>100</v>
      </c>
      <c r="Q190" s="36" t="s">
        <v>100</v>
      </c>
      <c r="U190" s="37"/>
      <c r="Y190" s="47"/>
      <c r="Z190" s="35"/>
      <c r="AA190" s="33"/>
      <c r="AB190" s="39"/>
      <c r="AC190" s="40"/>
      <c r="AI190" s="45" t="s">
        <v>107</v>
      </c>
    </row>
    <row r="191">
      <c r="A191" s="17" t="s">
        <v>531</v>
      </c>
      <c r="B191" s="17"/>
      <c r="D191" s="17" t="s">
        <v>529</v>
      </c>
      <c r="I191" s="31" t="s">
        <v>436</v>
      </c>
      <c r="J191" s="32"/>
      <c r="K191" s="32"/>
      <c r="L191" s="32"/>
      <c r="M191" s="34"/>
      <c r="N191" s="34"/>
      <c r="O191" s="35" t="s">
        <v>100</v>
      </c>
      <c r="Q191" s="36" t="s">
        <v>100</v>
      </c>
      <c r="U191" s="37"/>
      <c r="Y191" s="47"/>
      <c r="Z191" s="35"/>
      <c r="AA191" s="33"/>
      <c r="AB191" s="39"/>
      <c r="AC191" s="40"/>
      <c r="AI191" s="45" t="s">
        <v>107</v>
      </c>
    </row>
    <row r="192">
      <c r="A192" s="17" t="s">
        <v>532</v>
      </c>
      <c r="B192" s="17"/>
      <c r="D192" s="17" t="s">
        <v>529</v>
      </c>
      <c r="I192" s="31" t="s">
        <v>436</v>
      </c>
      <c r="J192" s="32"/>
      <c r="K192" s="32"/>
      <c r="L192" s="32"/>
      <c r="M192" s="34"/>
      <c r="N192" s="34"/>
      <c r="O192" s="35" t="s">
        <v>100</v>
      </c>
      <c r="Q192" s="36" t="s">
        <v>100</v>
      </c>
      <c r="U192" s="37"/>
      <c r="Y192" s="47"/>
      <c r="Z192" s="35"/>
      <c r="AA192" s="33"/>
      <c r="AB192" s="39"/>
      <c r="AC192" s="40"/>
      <c r="AI192" s="45" t="s">
        <v>107</v>
      </c>
    </row>
    <row r="193">
      <c r="A193" s="17" t="s">
        <v>533</v>
      </c>
      <c r="B193" s="17"/>
      <c r="D193" s="17" t="s">
        <v>529</v>
      </c>
      <c r="I193" s="31" t="s">
        <v>436</v>
      </c>
      <c r="J193" s="32"/>
      <c r="K193" s="32"/>
      <c r="L193" s="32"/>
      <c r="M193" s="34"/>
      <c r="N193" s="34"/>
      <c r="O193" s="35" t="s">
        <v>100</v>
      </c>
      <c r="Q193" s="36" t="s">
        <v>100</v>
      </c>
      <c r="U193" s="37"/>
      <c r="Y193" s="47"/>
      <c r="Z193" s="35"/>
      <c r="AA193" s="33"/>
      <c r="AB193" s="39"/>
      <c r="AC193" s="40"/>
      <c r="AI193" s="45" t="s">
        <v>107</v>
      </c>
    </row>
    <row r="194">
      <c r="A194" s="17" t="s">
        <v>534</v>
      </c>
      <c r="B194" s="17"/>
      <c r="D194" s="17" t="s">
        <v>529</v>
      </c>
      <c r="I194" s="31" t="s">
        <v>436</v>
      </c>
      <c r="J194" s="32"/>
      <c r="K194" s="32"/>
      <c r="L194" s="32"/>
      <c r="M194" s="34"/>
      <c r="N194" s="34"/>
      <c r="O194" s="35" t="s">
        <v>100</v>
      </c>
      <c r="Q194" s="36" t="s">
        <v>100</v>
      </c>
      <c r="U194" s="37"/>
      <c r="Y194" s="47"/>
      <c r="Z194" s="35"/>
      <c r="AA194" s="33"/>
      <c r="AB194" s="39"/>
      <c r="AC194" s="40"/>
      <c r="AI194" s="45" t="s">
        <v>107</v>
      </c>
    </row>
    <row r="195">
      <c r="A195" s="17" t="s">
        <v>535</v>
      </c>
      <c r="B195" s="17"/>
      <c r="D195" s="17" t="s">
        <v>529</v>
      </c>
      <c r="I195" s="31" t="s">
        <v>436</v>
      </c>
      <c r="J195" s="32"/>
      <c r="K195" s="32"/>
      <c r="L195" s="32"/>
      <c r="M195" s="34"/>
      <c r="N195" s="34"/>
      <c r="O195" s="35" t="s">
        <v>100</v>
      </c>
      <c r="Q195" s="36" t="s">
        <v>100</v>
      </c>
      <c r="U195" s="37"/>
      <c r="Y195" s="47"/>
      <c r="Z195" s="35"/>
      <c r="AA195" s="33"/>
      <c r="AB195" s="39"/>
      <c r="AC195" s="40"/>
      <c r="AI195" s="45" t="s">
        <v>107</v>
      </c>
    </row>
    <row r="196">
      <c r="A196" s="17" t="s">
        <v>536</v>
      </c>
      <c r="B196" s="17"/>
      <c r="D196" s="17" t="s">
        <v>529</v>
      </c>
      <c r="I196" s="31" t="s">
        <v>436</v>
      </c>
      <c r="J196" s="32"/>
      <c r="K196" s="32"/>
      <c r="L196" s="32"/>
      <c r="M196" s="34"/>
      <c r="N196" s="34"/>
      <c r="O196" s="35" t="s">
        <v>100</v>
      </c>
      <c r="Q196" s="36" t="s">
        <v>100</v>
      </c>
      <c r="U196" s="37"/>
      <c r="Y196" s="47"/>
      <c r="Z196" s="35"/>
      <c r="AA196" s="33"/>
      <c r="AB196" s="39"/>
      <c r="AC196" s="40"/>
      <c r="AI196" s="45" t="s">
        <v>107</v>
      </c>
    </row>
    <row r="197">
      <c r="A197" s="24" t="s">
        <v>537</v>
      </c>
      <c r="B197" s="17" t="s">
        <v>97</v>
      </c>
      <c r="D197" s="17" t="s">
        <v>538</v>
      </c>
      <c r="I197" s="31" t="s">
        <v>98</v>
      </c>
      <c r="J197" s="32" t="s">
        <v>539</v>
      </c>
      <c r="K197" s="32">
        <v>178.4</v>
      </c>
      <c r="L197" s="32">
        <v>3.2</v>
      </c>
      <c r="M197" s="34"/>
      <c r="N197" s="34"/>
      <c r="O197" s="35" t="s">
        <v>100</v>
      </c>
      <c r="Q197" s="36" t="s">
        <v>100</v>
      </c>
      <c r="U197" s="37"/>
      <c r="Y197" s="47">
        <v>41.0</v>
      </c>
      <c r="Z197" s="35">
        <v>45231.0</v>
      </c>
      <c r="AA197" s="33"/>
      <c r="AB197" s="39"/>
      <c r="AC197" s="40"/>
      <c r="AI197" s="44" t="s">
        <v>107</v>
      </c>
      <c r="AJ197" s="41" t="s">
        <v>107</v>
      </c>
    </row>
    <row r="198">
      <c r="A198" s="24" t="s">
        <v>540</v>
      </c>
      <c r="B198" s="17" t="s">
        <v>97</v>
      </c>
      <c r="C198" s="17" t="s">
        <v>538</v>
      </c>
      <c r="D198" s="17" t="s">
        <v>538</v>
      </c>
      <c r="I198" s="31" t="s">
        <v>98</v>
      </c>
      <c r="J198" s="33"/>
      <c r="K198" s="33"/>
      <c r="L198" s="32">
        <v>3.4</v>
      </c>
      <c r="M198" s="34"/>
      <c r="N198" s="34"/>
      <c r="O198" s="35" t="s">
        <v>100</v>
      </c>
      <c r="Q198" s="36" t="s">
        <v>100</v>
      </c>
      <c r="U198" s="37"/>
      <c r="Y198" s="47">
        <v>44.0</v>
      </c>
      <c r="Z198" s="35">
        <v>45261.0</v>
      </c>
      <c r="AA198" s="33"/>
      <c r="AB198" s="39"/>
      <c r="AC198" s="40"/>
      <c r="AI198" s="44" t="s">
        <v>107</v>
      </c>
      <c r="AJ198" s="41" t="s">
        <v>107</v>
      </c>
    </row>
    <row r="199">
      <c r="A199" s="24" t="s">
        <v>541</v>
      </c>
      <c r="B199" s="17" t="s">
        <v>97</v>
      </c>
      <c r="C199" s="17" t="s">
        <v>538</v>
      </c>
      <c r="D199" s="17" t="s">
        <v>538</v>
      </c>
      <c r="I199" s="31" t="s">
        <v>98</v>
      </c>
      <c r="J199" s="33"/>
      <c r="K199" s="33"/>
      <c r="L199" s="32">
        <v>2.2</v>
      </c>
      <c r="M199" s="34"/>
      <c r="N199" s="34"/>
      <c r="O199" s="35" t="s">
        <v>100</v>
      </c>
      <c r="Q199" s="36" t="s">
        <v>100</v>
      </c>
      <c r="U199" s="37"/>
      <c r="Y199" s="38"/>
      <c r="Z199" s="39"/>
      <c r="AA199" s="33"/>
      <c r="AB199" s="39"/>
      <c r="AC199" s="40"/>
      <c r="AI199" s="44" t="s">
        <v>107</v>
      </c>
      <c r="AJ199" s="41" t="s">
        <v>107</v>
      </c>
    </row>
    <row r="200">
      <c r="A200" s="24" t="s">
        <v>542</v>
      </c>
      <c r="B200" s="17" t="s">
        <v>97</v>
      </c>
      <c r="C200" s="17" t="s">
        <v>538</v>
      </c>
      <c r="D200" s="17" t="s">
        <v>538</v>
      </c>
      <c r="I200" s="31" t="s">
        <v>98</v>
      </c>
      <c r="J200" s="33"/>
      <c r="K200" s="33"/>
      <c r="L200" s="32">
        <v>3.5</v>
      </c>
      <c r="M200" s="34"/>
      <c r="N200" s="34"/>
      <c r="O200" s="35" t="s">
        <v>100</v>
      </c>
      <c r="Q200" s="36" t="s">
        <v>100</v>
      </c>
      <c r="R200" s="17"/>
      <c r="S200" s="17"/>
      <c r="T200" s="17"/>
      <c r="U200" s="42"/>
      <c r="V200" s="17"/>
      <c r="W200" s="17"/>
      <c r="X200" s="17" t="s">
        <v>543</v>
      </c>
      <c r="Y200" s="47">
        <v>48.0</v>
      </c>
      <c r="Z200" s="35">
        <v>45262.0</v>
      </c>
      <c r="AA200" s="33"/>
      <c r="AB200" s="39"/>
      <c r="AC200" s="40"/>
      <c r="AI200" s="44" t="s">
        <v>107</v>
      </c>
      <c r="AJ200" s="41" t="s">
        <v>107</v>
      </c>
    </row>
    <row r="201">
      <c r="A201" s="24" t="s">
        <v>544</v>
      </c>
      <c r="B201" s="17" t="s">
        <v>97</v>
      </c>
      <c r="C201" s="17" t="s">
        <v>538</v>
      </c>
      <c r="D201" s="17" t="s">
        <v>538</v>
      </c>
      <c r="I201" s="31" t="s">
        <v>98</v>
      </c>
      <c r="J201" s="33"/>
      <c r="K201" s="33"/>
      <c r="L201" s="32">
        <v>2.7</v>
      </c>
      <c r="M201" s="34"/>
      <c r="N201" s="34"/>
      <c r="O201" s="35" t="s">
        <v>100</v>
      </c>
      <c r="Q201" s="36" t="s">
        <v>100</v>
      </c>
      <c r="U201" s="37"/>
      <c r="Y201" s="38"/>
      <c r="Z201" s="39"/>
      <c r="AA201" s="33"/>
      <c r="AB201" s="39"/>
      <c r="AC201" s="40"/>
      <c r="AI201" s="44" t="s">
        <v>107</v>
      </c>
      <c r="AJ201" s="41" t="s">
        <v>107</v>
      </c>
    </row>
    <row r="202">
      <c r="A202" s="24" t="s">
        <v>545</v>
      </c>
      <c r="B202" s="17" t="s">
        <v>97</v>
      </c>
      <c r="C202" s="17" t="s">
        <v>538</v>
      </c>
      <c r="D202" s="17" t="s">
        <v>538</v>
      </c>
      <c r="I202" s="31" t="s">
        <v>98</v>
      </c>
      <c r="J202" s="33"/>
      <c r="K202" s="33"/>
      <c r="L202" s="32">
        <v>2.2</v>
      </c>
      <c r="M202" s="34"/>
      <c r="N202" s="34"/>
      <c r="O202" s="35" t="s">
        <v>100</v>
      </c>
      <c r="Q202" s="36" t="s">
        <v>100</v>
      </c>
      <c r="U202" s="37"/>
      <c r="Y202" s="47">
        <v>50.0</v>
      </c>
      <c r="Z202" s="35">
        <v>45261.0</v>
      </c>
      <c r="AA202" s="33"/>
      <c r="AB202" s="39"/>
      <c r="AC202" s="40"/>
      <c r="AI202" s="44" t="s">
        <v>107</v>
      </c>
      <c r="AJ202" s="41" t="s">
        <v>107</v>
      </c>
    </row>
    <row r="203">
      <c r="A203" s="17" t="s">
        <v>546</v>
      </c>
      <c r="B203" s="17" t="s">
        <v>97</v>
      </c>
      <c r="C203" s="17" t="s">
        <v>538</v>
      </c>
      <c r="D203" s="17" t="s">
        <v>538</v>
      </c>
      <c r="I203" s="31" t="s">
        <v>98</v>
      </c>
      <c r="J203" s="33"/>
      <c r="K203" s="33"/>
      <c r="L203" s="32">
        <v>2.2</v>
      </c>
      <c r="M203" s="34"/>
      <c r="N203" s="34"/>
      <c r="O203" s="35" t="s">
        <v>100</v>
      </c>
      <c r="Q203" s="36" t="s">
        <v>100</v>
      </c>
      <c r="U203" s="37"/>
      <c r="Y203" s="38"/>
      <c r="Z203" s="39"/>
      <c r="AA203" s="33"/>
      <c r="AB203" s="39"/>
      <c r="AC203" s="40"/>
      <c r="AI203" s="44" t="s">
        <v>107</v>
      </c>
      <c r="AJ203" s="41" t="s">
        <v>107</v>
      </c>
    </row>
    <row r="204">
      <c r="A204" s="24" t="s">
        <v>547</v>
      </c>
      <c r="B204" s="17" t="s">
        <v>97</v>
      </c>
      <c r="C204" s="17" t="s">
        <v>538</v>
      </c>
      <c r="D204" s="17" t="s">
        <v>538</v>
      </c>
      <c r="I204" s="31" t="s">
        <v>98</v>
      </c>
      <c r="J204" s="33"/>
      <c r="K204" s="33"/>
      <c r="L204" s="32">
        <v>3.9</v>
      </c>
      <c r="M204" s="34"/>
      <c r="N204" s="34"/>
      <c r="O204" s="35" t="s">
        <v>100</v>
      </c>
      <c r="Q204" s="36" t="s">
        <v>100</v>
      </c>
      <c r="U204" s="37"/>
      <c r="Y204" s="47"/>
      <c r="Z204" s="39"/>
      <c r="AA204" s="33"/>
      <c r="AB204" s="39"/>
      <c r="AC204" s="40"/>
      <c r="AI204" s="44" t="s">
        <v>107</v>
      </c>
      <c r="AJ204" s="41" t="s">
        <v>107</v>
      </c>
    </row>
    <row r="205">
      <c r="A205" s="17" t="s">
        <v>548</v>
      </c>
      <c r="B205" s="17" t="s">
        <v>97</v>
      </c>
      <c r="C205" s="17" t="s">
        <v>129</v>
      </c>
      <c r="D205" s="17" t="s">
        <v>549</v>
      </c>
      <c r="I205" s="31" t="s">
        <v>98</v>
      </c>
      <c r="J205" s="32" t="s">
        <v>550</v>
      </c>
      <c r="K205" s="32">
        <v>174.4</v>
      </c>
      <c r="L205" s="32">
        <v>5.3</v>
      </c>
      <c r="M205" s="34"/>
      <c r="N205" s="34"/>
      <c r="O205" s="35" t="s">
        <v>100</v>
      </c>
      <c r="Q205" s="36" t="s">
        <v>100</v>
      </c>
      <c r="U205" s="37"/>
      <c r="Y205" s="47">
        <v>12.6</v>
      </c>
      <c r="Z205" s="35">
        <v>45231.0</v>
      </c>
      <c r="AA205" s="33"/>
      <c r="AB205" s="39"/>
      <c r="AC205" s="40"/>
      <c r="AI205" s="44" t="s">
        <v>107</v>
      </c>
      <c r="AJ205" s="46"/>
    </row>
    <row r="206">
      <c r="A206" s="17" t="s">
        <v>551</v>
      </c>
      <c r="B206" s="17" t="s">
        <v>97</v>
      </c>
      <c r="C206" s="17" t="s">
        <v>129</v>
      </c>
      <c r="D206" s="17" t="s">
        <v>549</v>
      </c>
      <c r="E206" s="17" t="s">
        <v>97</v>
      </c>
      <c r="I206" s="31" t="s">
        <v>98</v>
      </c>
      <c r="J206" s="32"/>
      <c r="K206" s="32">
        <v>174.2</v>
      </c>
      <c r="L206" s="32">
        <v>5.4</v>
      </c>
      <c r="M206" s="34"/>
      <c r="N206" s="34"/>
      <c r="O206" s="35" t="s">
        <v>100</v>
      </c>
      <c r="P206" s="17">
        <v>16.0</v>
      </c>
      <c r="Q206" s="36" t="s">
        <v>100</v>
      </c>
      <c r="R206" s="17"/>
      <c r="S206" s="17"/>
      <c r="T206" s="17"/>
      <c r="U206" s="42"/>
      <c r="V206" s="17"/>
      <c r="W206" s="17"/>
      <c r="X206" s="17" t="s">
        <v>552</v>
      </c>
      <c r="Y206" s="47">
        <v>11.2</v>
      </c>
      <c r="Z206" s="35">
        <v>45231.0</v>
      </c>
      <c r="AA206" s="33"/>
      <c r="AB206" s="39"/>
      <c r="AC206" s="40"/>
      <c r="AI206" s="44" t="s">
        <v>107</v>
      </c>
      <c r="AJ206" s="46"/>
    </row>
    <row r="207">
      <c r="A207" s="17" t="s">
        <v>553</v>
      </c>
      <c r="B207" s="17" t="s">
        <v>97</v>
      </c>
      <c r="I207" s="40"/>
      <c r="J207" s="33"/>
      <c r="K207" s="33"/>
      <c r="L207" s="33"/>
      <c r="M207" s="34"/>
      <c r="N207" s="34"/>
      <c r="O207" s="35" t="s">
        <v>100</v>
      </c>
      <c r="Q207" s="36" t="s">
        <v>100</v>
      </c>
      <c r="U207" s="37"/>
      <c r="Y207" s="38"/>
      <c r="Z207" s="39"/>
      <c r="AA207" s="33"/>
      <c r="AB207" s="39"/>
      <c r="AC207" s="40"/>
    </row>
    <row r="208">
      <c r="A208" s="17" t="s">
        <v>554</v>
      </c>
      <c r="B208" s="17" t="s">
        <v>97</v>
      </c>
      <c r="C208" s="17" t="s">
        <v>129</v>
      </c>
      <c r="D208" s="17" t="s">
        <v>549</v>
      </c>
      <c r="E208" s="17" t="s">
        <v>97</v>
      </c>
      <c r="I208" s="31" t="s">
        <v>98</v>
      </c>
      <c r="J208" s="32" t="s">
        <v>555</v>
      </c>
      <c r="K208" s="32">
        <v>172.4</v>
      </c>
      <c r="L208" s="32">
        <v>4.5</v>
      </c>
      <c r="M208" s="34"/>
      <c r="N208" s="34"/>
      <c r="O208" s="35" t="s">
        <v>100</v>
      </c>
      <c r="P208" s="17">
        <v>16.0</v>
      </c>
      <c r="Q208" s="36" t="s">
        <v>100</v>
      </c>
      <c r="U208" s="37"/>
      <c r="Y208" s="47">
        <v>13.3</v>
      </c>
      <c r="Z208" s="35">
        <v>45231.0</v>
      </c>
      <c r="AA208" s="33"/>
      <c r="AB208" s="39"/>
      <c r="AC208" s="40"/>
      <c r="AI208" s="44" t="s">
        <v>107</v>
      </c>
      <c r="AJ208" s="46"/>
    </row>
    <row r="209">
      <c r="A209" s="17" t="s">
        <v>556</v>
      </c>
      <c r="B209" s="17" t="s">
        <v>97</v>
      </c>
      <c r="C209" s="17" t="s">
        <v>129</v>
      </c>
      <c r="D209" s="17" t="s">
        <v>549</v>
      </c>
      <c r="I209" s="31" t="s">
        <v>98</v>
      </c>
      <c r="J209" s="32" t="s">
        <v>557</v>
      </c>
      <c r="K209" s="32">
        <v>170.1</v>
      </c>
      <c r="L209" s="32">
        <v>5.7</v>
      </c>
      <c r="M209" s="34"/>
      <c r="N209" s="34"/>
      <c r="O209" s="35" t="s">
        <v>100</v>
      </c>
      <c r="Q209" s="36" t="s">
        <v>100</v>
      </c>
      <c r="U209" s="37"/>
      <c r="Y209" s="38"/>
      <c r="Z209" s="39"/>
      <c r="AA209" s="33"/>
      <c r="AB209" s="39"/>
      <c r="AC209" s="40"/>
      <c r="AI209" s="44" t="s">
        <v>107</v>
      </c>
      <c r="AJ209" s="46"/>
    </row>
    <row r="210">
      <c r="A210" s="17" t="s">
        <v>558</v>
      </c>
      <c r="B210" s="17" t="s">
        <v>97</v>
      </c>
      <c r="C210" s="17" t="s">
        <v>129</v>
      </c>
      <c r="D210" s="17" t="s">
        <v>549</v>
      </c>
      <c r="I210" s="31" t="s">
        <v>98</v>
      </c>
      <c r="J210" s="32"/>
      <c r="K210" s="32"/>
      <c r="L210" s="32">
        <v>5.2</v>
      </c>
      <c r="M210" s="34"/>
      <c r="N210" s="34"/>
      <c r="O210" s="35" t="s">
        <v>100</v>
      </c>
      <c r="P210" s="17">
        <v>16.0</v>
      </c>
      <c r="Q210" s="36" t="s">
        <v>100</v>
      </c>
      <c r="U210" s="37"/>
      <c r="Y210" s="47">
        <v>16.1</v>
      </c>
      <c r="Z210" s="35">
        <v>45261.0</v>
      </c>
      <c r="AA210" s="33"/>
      <c r="AB210" s="39"/>
      <c r="AC210" s="40"/>
      <c r="AI210" s="44" t="s">
        <v>107</v>
      </c>
      <c r="AJ210" s="46"/>
    </row>
    <row r="211">
      <c r="A211" s="17" t="s">
        <v>559</v>
      </c>
      <c r="B211" s="17" t="s">
        <v>97</v>
      </c>
      <c r="C211" s="17" t="s">
        <v>129</v>
      </c>
      <c r="D211" s="17" t="s">
        <v>549</v>
      </c>
      <c r="E211" s="24" t="s">
        <v>97</v>
      </c>
      <c r="I211" s="31" t="s">
        <v>98</v>
      </c>
      <c r="J211" s="32" t="s">
        <v>560</v>
      </c>
      <c r="K211" s="32">
        <v>164.8</v>
      </c>
      <c r="L211" s="32">
        <v>5.5</v>
      </c>
      <c r="M211" s="34"/>
      <c r="N211" s="34"/>
      <c r="O211" s="35" t="s">
        <v>100</v>
      </c>
      <c r="P211" s="17">
        <v>16.0</v>
      </c>
      <c r="Q211" s="36" t="s">
        <v>100</v>
      </c>
      <c r="U211" s="37"/>
      <c r="Y211" s="38"/>
      <c r="Z211" s="39"/>
      <c r="AA211" s="33"/>
      <c r="AB211" s="39"/>
      <c r="AC211" s="40"/>
      <c r="AI211" s="44" t="s">
        <v>107</v>
      </c>
      <c r="AJ211" s="46"/>
    </row>
    <row r="212">
      <c r="A212" s="17" t="s">
        <v>561</v>
      </c>
      <c r="B212" s="17" t="s">
        <v>97</v>
      </c>
      <c r="C212" s="17" t="s">
        <v>129</v>
      </c>
      <c r="D212" s="17" t="s">
        <v>549</v>
      </c>
      <c r="I212" s="31" t="s">
        <v>98</v>
      </c>
      <c r="J212" s="32" t="s">
        <v>562</v>
      </c>
      <c r="K212" s="32">
        <v>157.9</v>
      </c>
      <c r="L212" s="32">
        <v>5.5</v>
      </c>
      <c r="M212" s="34"/>
      <c r="N212" s="34"/>
      <c r="O212" s="35" t="s">
        <v>100</v>
      </c>
      <c r="Q212" s="36" t="s">
        <v>100</v>
      </c>
      <c r="U212" s="37"/>
      <c r="Y212" s="47">
        <v>14.3</v>
      </c>
      <c r="Z212" s="35">
        <v>44959.0</v>
      </c>
      <c r="AA212" s="33"/>
      <c r="AB212" s="39"/>
      <c r="AC212" s="40"/>
      <c r="AI212" s="44" t="s">
        <v>107</v>
      </c>
      <c r="AJ212" s="46"/>
    </row>
    <row r="213">
      <c r="A213" s="17" t="s">
        <v>563</v>
      </c>
      <c r="B213" s="17"/>
      <c r="C213" s="17"/>
      <c r="D213" s="17"/>
      <c r="I213" s="31" t="s">
        <v>98</v>
      </c>
      <c r="J213" s="32"/>
      <c r="K213" s="32">
        <v>159.7</v>
      </c>
      <c r="L213" s="32"/>
      <c r="M213" s="34"/>
      <c r="N213" s="34"/>
      <c r="O213" s="35" t="s">
        <v>100</v>
      </c>
      <c r="Q213" s="36" t="s">
        <v>100</v>
      </c>
      <c r="U213" s="37"/>
      <c r="Y213" s="47"/>
      <c r="Z213" s="35"/>
      <c r="AA213" s="33"/>
      <c r="AB213" s="39"/>
      <c r="AC213" s="40"/>
      <c r="AI213" s="44" t="s">
        <v>107</v>
      </c>
      <c r="AJ213" s="46"/>
    </row>
    <row r="214">
      <c r="A214" s="17" t="s">
        <v>564</v>
      </c>
      <c r="B214" s="17" t="s">
        <v>97</v>
      </c>
      <c r="C214" s="17" t="s">
        <v>129</v>
      </c>
      <c r="D214" s="17" t="s">
        <v>549</v>
      </c>
      <c r="I214" s="31" t="s">
        <v>98</v>
      </c>
      <c r="J214" s="32"/>
      <c r="K214" s="32"/>
      <c r="L214" s="32">
        <v>3.1</v>
      </c>
      <c r="M214" s="34"/>
      <c r="N214" s="34"/>
      <c r="O214" s="35" t="s">
        <v>100</v>
      </c>
      <c r="P214" s="17">
        <v>16.0</v>
      </c>
      <c r="Q214" s="36" t="s">
        <v>100</v>
      </c>
      <c r="U214" s="37"/>
      <c r="Y214" s="47">
        <v>14.5</v>
      </c>
      <c r="Z214" s="35">
        <v>45261.0</v>
      </c>
      <c r="AA214" s="33"/>
      <c r="AB214" s="39"/>
      <c r="AC214" s="40"/>
      <c r="AI214" s="17" t="s">
        <v>565</v>
      </c>
      <c r="AJ214" s="17" t="s">
        <v>107</v>
      </c>
    </row>
    <row r="215">
      <c r="A215" s="17" t="s">
        <v>566</v>
      </c>
      <c r="B215" s="17" t="s">
        <v>97</v>
      </c>
      <c r="E215" s="24" t="s">
        <v>97</v>
      </c>
      <c r="I215" s="31" t="s">
        <v>161</v>
      </c>
      <c r="J215" s="32" t="s">
        <v>567</v>
      </c>
      <c r="K215" s="32">
        <v>137.0</v>
      </c>
      <c r="L215" s="32">
        <v>4.8</v>
      </c>
      <c r="M215" s="34"/>
      <c r="N215" s="34"/>
      <c r="O215" s="35" t="s">
        <v>100</v>
      </c>
      <c r="P215" s="17">
        <v>16.0</v>
      </c>
      <c r="Q215" s="36" t="s">
        <v>100</v>
      </c>
      <c r="U215" s="37"/>
      <c r="Y215" s="38"/>
      <c r="Z215" s="39"/>
      <c r="AA215" s="33"/>
      <c r="AB215" s="39"/>
      <c r="AC215" s="40"/>
      <c r="AI215" s="44" t="s">
        <v>107</v>
      </c>
      <c r="AJ215" s="46"/>
    </row>
    <row r="216">
      <c r="A216" s="17" t="s">
        <v>568</v>
      </c>
      <c r="B216" s="17" t="s">
        <v>97</v>
      </c>
      <c r="E216" s="24" t="s">
        <v>97</v>
      </c>
      <c r="I216" s="31" t="s">
        <v>161</v>
      </c>
      <c r="J216" s="32" t="s">
        <v>569</v>
      </c>
      <c r="K216" s="32">
        <v>133.3</v>
      </c>
      <c r="L216" s="32">
        <v>5.2</v>
      </c>
      <c r="M216" s="34"/>
      <c r="N216" s="34"/>
      <c r="O216" s="35" t="s">
        <v>100</v>
      </c>
      <c r="P216" s="17">
        <v>16.0</v>
      </c>
      <c r="Q216" s="36" t="s">
        <v>100</v>
      </c>
      <c r="U216" s="37"/>
      <c r="Y216" s="38"/>
      <c r="Z216" s="39"/>
      <c r="AA216" s="33"/>
      <c r="AB216" s="39"/>
      <c r="AC216" s="40"/>
      <c r="AI216" s="44" t="s">
        <v>107</v>
      </c>
      <c r="AJ216" s="46"/>
    </row>
    <row r="217">
      <c r="A217" s="17" t="s">
        <v>570</v>
      </c>
      <c r="B217" s="17" t="s">
        <v>97</v>
      </c>
      <c r="E217" s="24" t="s">
        <v>97</v>
      </c>
      <c r="I217" s="31" t="s">
        <v>161</v>
      </c>
      <c r="J217" s="32" t="s">
        <v>571</v>
      </c>
      <c r="K217" s="32">
        <v>126.1</v>
      </c>
      <c r="L217" s="32">
        <v>5.2</v>
      </c>
      <c r="M217" s="34"/>
      <c r="N217" s="34"/>
      <c r="O217" s="35" t="s">
        <v>100</v>
      </c>
      <c r="P217" s="17">
        <v>16.0</v>
      </c>
      <c r="Q217" s="36" t="s">
        <v>100</v>
      </c>
      <c r="U217" s="37"/>
      <c r="Y217" s="38"/>
      <c r="Z217" s="39"/>
      <c r="AA217" s="33"/>
      <c r="AB217" s="39"/>
      <c r="AC217" s="40"/>
      <c r="AI217" s="44" t="s">
        <v>107</v>
      </c>
      <c r="AJ217" s="46"/>
    </row>
    <row r="218">
      <c r="A218" s="17" t="s">
        <v>572</v>
      </c>
      <c r="B218" s="17" t="s">
        <v>97</v>
      </c>
      <c r="E218" s="17" t="s">
        <v>97</v>
      </c>
      <c r="I218" s="31" t="s">
        <v>125</v>
      </c>
      <c r="J218" s="32" t="s">
        <v>573</v>
      </c>
      <c r="K218" s="32">
        <v>87.8</v>
      </c>
      <c r="L218" s="32">
        <v>2.5</v>
      </c>
      <c r="M218" s="34"/>
      <c r="N218" s="34"/>
      <c r="O218" s="35" t="s">
        <v>100</v>
      </c>
      <c r="P218" s="17">
        <v>16.0</v>
      </c>
      <c r="Q218" s="36" t="s">
        <v>100</v>
      </c>
      <c r="U218" s="37"/>
      <c r="Y218" s="38"/>
      <c r="Z218" s="39"/>
      <c r="AA218" s="33"/>
      <c r="AB218" s="39"/>
      <c r="AC218" s="40"/>
      <c r="AI218" s="44" t="s">
        <v>107</v>
      </c>
      <c r="AJ218" s="46"/>
    </row>
    <row r="219">
      <c r="A219" s="17" t="s">
        <v>574</v>
      </c>
      <c r="B219" s="17" t="s">
        <v>97</v>
      </c>
      <c r="I219" s="40"/>
      <c r="J219" s="33"/>
      <c r="K219" s="33"/>
      <c r="L219" s="33"/>
      <c r="M219" s="34"/>
      <c r="N219" s="34"/>
      <c r="O219" s="35" t="s">
        <v>100</v>
      </c>
      <c r="Q219" s="36" t="s">
        <v>100</v>
      </c>
      <c r="U219" s="37"/>
      <c r="Y219" s="38"/>
      <c r="Z219" s="39"/>
      <c r="AA219" s="33"/>
      <c r="AB219" s="39"/>
      <c r="AC219" s="40"/>
    </row>
    <row r="220">
      <c r="A220" s="17" t="s">
        <v>575</v>
      </c>
      <c r="B220" s="17" t="s">
        <v>97</v>
      </c>
      <c r="I220" s="40"/>
      <c r="J220" s="33"/>
      <c r="K220" s="33"/>
      <c r="L220" s="33"/>
      <c r="M220" s="34"/>
      <c r="N220" s="34"/>
      <c r="O220" s="35" t="s">
        <v>100</v>
      </c>
      <c r="Q220" s="36" t="s">
        <v>100</v>
      </c>
      <c r="U220" s="37"/>
      <c r="Y220" s="38"/>
      <c r="Z220" s="39"/>
      <c r="AA220" s="33"/>
      <c r="AB220" s="39"/>
      <c r="AC220" s="40"/>
    </row>
    <row r="221">
      <c r="A221" s="17" t="s">
        <v>576</v>
      </c>
      <c r="B221" s="17" t="s">
        <v>97</v>
      </c>
      <c r="H221" s="17" t="s">
        <v>97</v>
      </c>
      <c r="I221" s="31" t="s">
        <v>125</v>
      </c>
      <c r="J221" s="32" t="s">
        <v>577</v>
      </c>
      <c r="K221" s="32">
        <v>106.8</v>
      </c>
      <c r="L221" s="32">
        <v>3.7</v>
      </c>
      <c r="M221" s="34"/>
      <c r="N221" s="34"/>
      <c r="O221" s="35" t="s">
        <v>100</v>
      </c>
      <c r="Q221" s="36" t="s">
        <v>100</v>
      </c>
      <c r="U221" s="37"/>
      <c r="Y221" s="38"/>
      <c r="Z221" s="39"/>
      <c r="AA221" s="33"/>
      <c r="AB221" s="39"/>
      <c r="AC221" s="40"/>
    </row>
    <row r="222">
      <c r="A222" s="17" t="s">
        <v>578</v>
      </c>
      <c r="B222" s="17" t="s">
        <v>97</v>
      </c>
      <c r="H222" s="17" t="s">
        <v>97</v>
      </c>
      <c r="I222" s="31" t="s">
        <v>125</v>
      </c>
      <c r="J222" s="32" t="s">
        <v>579</v>
      </c>
      <c r="K222" s="32">
        <v>102.6</v>
      </c>
      <c r="L222" s="32">
        <v>3.3</v>
      </c>
      <c r="M222" s="34"/>
      <c r="N222" s="34"/>
      <c r="O222" s="35" t="s">
        <v>100</v>
      </c>
      <c r="Q222" s="36" t="s">
        <v>100</v>
      </c>
      <c r="R222" s="17"/>
      <c r="S222" s="17"/>
      <c r="T222" s="17"/>
      <c r="U222" s="42"/>
      <c r="V222" s="17"/>
      <c r="W222" s="17"/>
      <c r="X222" s="17" t="s">
        <v>172</v>
      </c>
      <c r="Y222" s="38"/>
      <c r="Z222" s="39"/>
      <c r="AA222" s="33"/>
      <c r="AB222" s="39"/>
      <c r="AC222" s="40"/>
    </row>
    <row r="223">
      <c r="A223" s="17" t="s">
        <v>580</v>
      </c>
      <c r="B223" s="17" t="s">
        <v>206</v>
      </c>
      <c r="G223" s="17" t="s">
        <v>206</v>
      </c>
      <c r="H223" s="17" t="s">
        <v>206</v>
      </c>
      <c r="I223" s="31" t="s">
        <v>125</v>
      </c>
      <c r="J223" s="32" t="s">
        <v>581</v>
      </c>
      <c r="K223" s="32">
        <v>108.6</v>
      </c>
      <c r="L223" s="33"/>
      <c r="M223" s="34"/>
      <c r="N223" s="34"/>
      <c r="O223" s="35">
        <v>42856.0</v>
      </c>
      <c r="P223">
        <f>Q223/8</f>
        <v>180</v>
      </c>
      <c r="Q223" s="36">
        <v>1440.0</v>
      </c>
      <c r="R223" s="17" t="s">
        <v>22</v>
      </c>
      <c r="S223" s="17"/>
      <c r="T223" s="17"/>
      <c r="U223" s="42">
        <f>Q223*0.25</f>
        <v>360</v>
      </c>
      <c r="V223" s="17">
        <v>2025.0</v>
      </c>
      <c r="W223" s="17"/>
      <c r="X223" s="17" t="s">
        <v>582</v>
      </c>
      <c r="Y223" s="38"/>
      <c r="Z223" s="39"/>
      <c r="AA223" s="33"/>
      <c r="AB223" s="39"/>
      <c r="AC223" s="51" t="s">
        <v>107</v>
      </c>
      <c r="AG223" s="44" t="s">
        <v>107</v>
      </c>
      <c r="AI223" s="45" t="s">
        <v>107</v>
      </c>
    </row>
    <row r="224">
      <c r="A224" s="17" t="s">
        <v>583</v>
      </c>
      <c r="B224" s="17" t="s">
        <v>97</v>
      </c>
      <c r="I224" s="31" t="s">
        <v>284</v>
      </c>
      <c r="J224" s="33"/>
      <c r="K224" s="33"/>
      <c r="L224" s="33"/>
      <c r="M224" s="34"/>
      <c r="N224" s="34"/>
      <c r="O224" s="35" t="s">
        <v>100</v>
      </c>
      <c r="Q224" s="36" t="s">
        <v>100</v>
      </c>
      <c r="U224" s="37"/>
      <c r="Y224" s="38"/>
      <c r="Z224" s="39"/>
      <c r="AA224" s="33"/>
      <c r="AB224" s="39"/>
      <c r="AC224" s="40"/>
      <c r="AI224" s="45" t="s">
        <v>107</v>
      </c>
    </row>
    <row r="225">
      <c r="A225" s="17" t="s">
        <v>584</v>
      </c>
      <c r="B225" s="17" t="s">
        <v>97</v>
      </c>
      <c r="I225" s="31" t="s">
        <v>284</v>
      </c>
      <c r="J225" s="33"/>
      <c r="K225" s="33"/>
      <c r="L225" s="33"/>
      <c r="M225" s="34"/>
      <c r="N225" s="34"/>
      <c r="O225" s="39"/>
      <c r="Q225" s="53"/>
      <c r="U225" s="37"/>
      <c r="Y225" s="38"/>
      <c r="Z225" s="39"/>
      <c r="AA225" s="33"/>
      <c r="AB225" s="39"/>
      <c r="AC225" s="40"/>
      <c r="AI225" s="45" t="s">
        <v>107</v>
      </c>
    </row>
    <row r="226">
      <c r="A226" s="17" t="s">
        <v>585</v>
      </c>
      <c r="B226" s="17" t="s">
        <v>206</v>
      </c>
      <c r="I226" s="31" t="s">
        <v>98</v>
      </c>
      <c r="J226" s="33"/>
      <c r="K226" s="33"/>
      <c r="L226" s="33"/>
      <c r="M226" s="34"/>
      <c r="N226" s="34"/>
      <c r="O226" s="35">
        <v>45047.0</v>
      </c>
      <c r="P226">
        <f t="shared" ref="P226:P228" si="15">Q226/12.5</f>
        <v>84</v>
      </c>
      <c r="Q226" s="36">
        <v>1050.0</v>
      </c>
      <c r="R226" s="17" t="s">
        <v>22</v>
      </c>
      <c r="S226">
        <f t="shared" ref="S226:S228" si="16">Q226*0.5</f>
        <v>525</v>
      </c>
      <c r="T226" s="17" t="s">
        <v>22</v>
      </c>
      <c r="U226" s="49">
        <f t="shared" ref="U226:U228" si="17">Q226*0.75</f>
        <v>787.5</v>
      </c>
      <c r="V226" s="17">
        <v>2025.0</v>
      </c>
      <c r="Y226" s="38"/>
      <c r="Z226" s="39"/>
      <c r="AA226" s="33"/>
      <c r="AB226" s="39"/>
      <c r="AC226" s="40"/>
    </row>
    <row r="227">
      <c r="A227" s="17" t="s">
        <v>586</v>
      </c>
      <c r="B227" s="17" t="s">
        <v>206</v>
      </c>
      <c r="I227" s="31" t="s">
        <v>98</v>
      </c>
      <c r="J227" s="33"/>
      <c r="K227" s="33"/>
      <c r="L227" s="33"/>
      <c r="M227" s="34"/>
      <c r="N227" s="34"/>
      <c r="O227" s="35">
        <v>45047.0</v>
      </c>
      <c r="P227" s="48">
        <f t="shared" si="15"/>
        <v>79.2</v>
      </c>
      <c r="Q227" s="36">
        <v>990.0</v>
      </c>
      <c r="R227" s="17" t="s">
        <v>22</v>
      </c>
      <c r="S227">
        <f t="shared" si="16"/>
        <v>495</v>
      </c>
      <c r="T227" s="17" t="s">
        <v>22</v>
      </c>
      <c r="U227" s="49">
        <f t="shared" si="17"/>
        <v>742.5</v>
      </c>
      <c r="V227" s="17">
        <v>2025.0</v>
      </c>
      <c r="Y227" s="38"/>
      <c r="Z227" s="39"/>
      <c r="AA227" s="33"/>
      <c r="AB227" s="39"/>
      <c r="AC227" s="40"/>
    </row>
    <row r="228">
      <c r="A228" s="17" t="s">
        <v>587</v>
      </c>
      <c r="B228" s="17" t="s">
        <v>206</v>
      </c>
      <c r="I228" s="31" t="s">
        <v>125</v>
      </c>
      <c r="J228" s="33"/>
      <c r="K228" s="33"/>
      <c r="L228" s="33"/>
      <c r="M228" s="34"/>
      <c r="N228" s="34"/>
      <c r="O228" s="35">
        <v>45047.0</v>
      </c>
      <c r="P228" s="48">
        <f t="shared" si="15"/>
        <v>8</v>
      </c>
      <c r="Q228" s="36">
        <v>100.0</v>
      </c>
      <c r="R228" s="17" t="s">
        <v>22</v>
      </c>
      <c r="S228">
        <f t="shared" si="16"/>
        <v>50</v>
      </c>
      <c r="T228" s="17" t="s">
        <v>22</v>
      </c>
      <c r="U228" s="49">
        <f t="shared" si="17"/>
        <v>75</v>
      </c>
      <c r="V228" s="17">
        <v>2025.0</v>
      </c>
      <c r="Y228" s="38"/>
      <c r="Z228" s="39"/>
      <c r="AA228" s="33"/>
      <c r="AB228" s="39"/>
      <c r="AC228" s="40"/>
    </row>
    <row r="229">
      <c r="A229" s="17" t="s">
        <v>588</v>
      </c>
      <c r="B229" s="17" t="s">
        <v>206</v>
      </c>
      <c r="I229" s="31" t="s">
        <v>284</v>
      </c>
      <c r="J229" s="33"/>
      <c r="K229" s="33"/>
      <c r="L229" s="33"/>
      <c r="M229" s="34"/>
      <c r="N229" s="34"/>
      <c r="O229" s="35">
        <v>44378.0</v>
      </c>
      <c r="P229">
        <f t="shared" ref="P229:P231" si="18">Q229/8</f>
        <v>144</v>
      </c>
      <c r="Q229" s="36">
        <v>1152.0</v>
      </c>
      <c r="R229" s="17" t="s">
        <v>22</v>
      </c>
      <c r="U229" s="37">
        <f>Q229*0.25</f>
        <v>288</v>
      </c>
      <c r="V229" s="17">
        <v>2025.0</v>
      </c>
      <c r="X229" s="17" t="s">
        <v>285</v>
      </c>
      <c r="Y229" s="38"/>
      <c r="Z229" s="39"/>
      <c r="AA229" s="33"/>
      <c r="AB229" s="39"/>
      <c r="AC229" s="40"/>
    </row>
    <row r="230">
      <c r="A230" s="17" t="s">
        <v>589</v>
      </c>
      <c r="B230" s="17" t="s">
        <v>206</v>
      </c>
      <c r="I230" s="31" t="s">
        <v>287</v>
      </c>
      <c r="J230" s="33"/>
      <c r="K230" s="33"/>
      <c r="L230" s="33"/>
      <c r="M230" s="34"/>
      <c r="N230" s="34"/>
      <c r="O230" s="35">
        <v>44562.0</v>
      </c>
      <c r="P230">
        <f t="shared" si="18"/>
        <v>49</v>
      </c>
      <c r="Q230" s="36">
        <v>392.0</v>
      </c>
      <c r="R230" s="17" t="s">
        <v>22</v>
      </c>
      <c r="U230" s="37">
        <f>Q230*0</f>
        <v>0</v>
      </c>
      <c r="V230" s="17">
        <v>2025.0</v>
      </c>
      <c r="Y230" s="38"/>
      <c r="Z230" s="39"/>
      <c r="AA230" s="33"/>
      <c r="AB230" s="39"/>
      <c r="AC230" s="40"/>
    </row>
    <row r="231">
      <c r="A231" s="17" t="s">
        <v>590</v>
      </c>
      <c r="B231" s="17" t="s">
        <v>206</v>
      </c>
      <c r="I231" s="31" t="s">
        <v>98</v>
      </c>
      <c r="J231" s="33"/>
      <c r="K231" s="33"/>
      <c r="L231" s="33"/>
      <c r="M231" s="34"/>
      <c r="N231" s="34"/>
      <c r="O231" s="35">
        <v>44986.0</v>
      </c>
      <c r="P231">
        <f t="shared" si="18"/>
        <v>115</v>
      </c>
      <c r="Q231" s="36">
        <v>920.0</v>
      </c>
      <c r="R231" s="17" t="s">
        <v>424</v>
      </c>
      <c r="U231" s="37">
        <f>Q231*0.25</f>
        <v>230</v>
      </c>
      <c r="V231" s="17">
        <v>2025.0</v>
      </c>
      <c r="Y231" s="38"/>
      <c r="Z231" s="39"/>
      <c r="AA231" s="33"/>
      <c r="AB231" s="39"/>
      <c r="AC231" s="40"/>
    </row>
    <row r="232">
      <c r="A232" s="17" t="s">
        <v>591</v>
      </c>
      <c r="B232" s="17" t="s">
        <v>206</v>
      </c>
      <c r="I232" s="31" t="s">
        <v>284</v>
      </c>
      <c r="J232" s="33"/>
      <c r="K232" s="33"/>
      <c r="L232" s="33"/>
      <c r="M232" s="34"/>
      <c r="N232" s="34"/>
      <c r="O232" s="35">
        <v>44348.0</v>
      </c>
      <c r="P232" s="52">
        <v>87.5</v>
      </c>
      <c r="Q232" s="36">
        <v>1400.0</v>
      </c>
      <c r="R232" s="17" t="s">
        <v>22</v>
      </c>
      <c r="U232" s="37">
        <f t="shared" ref="U232:U233" si="19">Q232*0</f>
        <v>0</v>
      </c>
      <c r="V232" s="17">
        <v>2025.0</v>
      </c>
      <c r="Y232" s="38"/>
      <c r="Z232" s="39"/>
      <c r="AA232" s="33"/>
      <c r="AB232" s="39"/>
      <c r="AC232" s="40"/>
    </row>
    <row r="233">
      <c r="A233" s="17" t="s">
        <v>592</v>
      </c>
      <c r="B233" s="17" t="s">
        <v>206</v>
      </c>
      <c r="I233" s="31" t="s">
        <v>287</v>
      </c>
      <c r="J233" s="33"/>
      <c r="K233" s="33"/>
      <c r="L233" s="33"/>
      <c r="M233" s="34"/>
      <c r="N233" s="34"/>
      <c r="O233" s="35">
        <v>43160.0</v>
      </c>
      <c r="P233" s="17">
        <v>25.0</v>
      </c>
      <c r="Q233" s="36">
        <v>100.0</v>
      </c>
      <c r="R233" s="17" t="s">
        <v>22</v>
      </c>
      <c r="U233" s="37">
        <f t="shared" si="19"/>
        <v>0</v>
      </c>
      <c r="V233" s="17">
        <v>2025.0</v>
      </c>
      <c r="Y233" s="38"/>
      <c r="Z233" s="39"/>
      <c r="AA233" s="33"/>
      <c r="AB233" s="39"/>
      <c r="AC233" s="40"/>
    </row>
    <row r="234">
      <c r="I234" s="40"/>
      <c r="J234" s="33"/>
      <c r="K234" s="33"/>
      <c r="L234" s="33"/>
      <c r="M234" s="34"/>
      <c r="N234" s="34"/>
      <c r="O234" s="39"/>
      <c r="Q234" s="53"/>
      <c r="U234" s="37"/>
      <c r="Y234" s="38"/>
      <c r="Z234" s="39"/>
      <c r="AA234" s="33"/>
      <c r="AB234" s="39"/>
      <c r="AC234" s="40"/>
    </row>
    <row r="235">
      <c r="I235" s="40"/>
      <c r="J235" s="33"/>
      <c r="K235" s="33"/>
      <c r="L235" s="33"/>
      <c r="M235" s="34"/>
      <c r="N235" s="34"/>
      <c r="O235" s="39"/>
      <c r="Q235" s="53"/>
      <c r="U235" s="37"/>
      <c r="Y235" s="38"/>
      <c r="Z235" s="39"/>
      <c r="AA235" s="33"/>
      <c r="AB235" s="39"/>
      <c r="AC235" s="40"/>
    </row>
    <row r="236">
      <c r="I236" s="40"/>
      <c r="J236" s="33"/>
      <c r="K236" s="33"/>
      <c r="L236" s="33"/>
      <c r="M236" s="34"/>
      <c r="N236" s="34"/>
      <c r="O236" s="39"/>
      <c r="Q236" s="53"/>
      <c r="U236" s="37"/>
      <c r="Y236" s="38"/>
      <c r="Z236" s="39"/>
      <c r="AA236" s="33"/>
      <c r="AB236" s="39"/>
      <c r="AC236" s="40"/>
    </row>
    <row r="237">
      <c r="I237" s="40"/>
      <c r="J237" s="33"/>
      <c r="K237" s="33"/>
      <c r="L237" s="33"/>
      <c r="M237" s="34"/>
      <c r="N237" s="34"/>
      <c r="O237" s="39"/>
      <c r="Q237" s="53"/>
      <c r="U237" s="37"/>
      <c r="Y237" s="38"/>
      <c r="Z237" s="39"/>
      <c r="AA237" s="33"/>
      <c r="AB237" s="39"/>
      <c r="AC237" s="40"/>
    </row>
    <row r="238">
      <c r="I238" s="40"/>
      <c r="J238" s="33"/>
      <c r="K238" s="33"/>
      <c r="L238" s="33"/>
      <c r="M238" s="34"/>
      <c r="N238" s="34"/>
      <c r="O238" s="39"/>
      <c r="Q238" s="53"/>
      <c r="U238" s="37"/>
      <c r="Y238" s="38"/>
      <c r="Z238" s="39"/>
      <c r="AA238" s="33"/>
      <c r="AB238" s="39"/>
      <c r="AC238" s="40"/>
    </row>
    <row r="239">
      <c r="I239" s="40"/>
      <c r="J239" s="33"/>
      <c r="K239" s="33"/>
      <c r="L239" s="33"/>
      <c r="M239" s="34"/>
      <c r="N239" s="34"/>
      <c r="O239" s="39"/>
      <c r="Q239" s="53"/>
      <c r="U239" s="37"/>
      <c r="Y239" s="38"/>
      <c r="Z239" s="39"/>
      <c r="AA239" s="33"/>
      <c r="AB239" s="39"/>
      <c r="AC239" s="40"/>
    </row>
    <row r="240">
      <c r="I240" s="40"/>
      <c r="J240" s="33"/>
      <c r="K240" s="33"/>
      <c r="L240" s="33"/>
      <c r="M240" s="34"/>
      <c r="N240" s="34"/>
      <c r="O240" s="39"/>
      <c r="Q240" s="53"/>
      <c r="U240" s="37"/>
      <c r="Y240" s="38"/>
      <c r="Z240" s="39"/>
      <c r="AA240" s="33"/>
      <c r="AB240" s="39"/>
      <c r="AC240" s="40"/>
    </row>
    <row r="241">
      <c r="I241" s="40"/>
      <c r="J241" s="33"/>
      <c r="K241" s="33"/>
      <c r="L241" s="33"/>
      <c r="M241" s="34"/>
      <c r="N241" s="34"/>
      <c r="O241" s="39"/>
      <c r="Q241" s="53"/>
      <c r="U241" s="37"/>
      <c r="Y241" s="38"/>
      <c r="Z241" s="39"/>
      <c r="AA241" s="33"/>
      <c r="AB241" s="39"/>
      <c r="AC241" s="40"/>
    </row>
    <row r="242">
      <c r="I242" s="40"/>
      <c r="J242" s="33"/>
      <c r="K242" s="33"/>
      <c r="L242" s="33"/>
      <c r="M242" s="34"/>
      <c r="N242" s="34"/>
      <c r="O242" s="39"/>
      <c r="Q242" s="53"/>
      <c r="U242" s="37"/>
      <c r="Y242" s="38"/>
      <c r="Z242" s="39"/>
      <c r="AA242" s="33"/>
      <c r="AB242" s="39"/>
      <c r="AC242" s="40"/>
    </row>
    <row r="243">
      <c r="I243" s="40"/>
      <c r="J243" s="33"/>
      <c r="K243" s="33"/>
      <c r="L243" s="33"/>
      <c r="M243" s="34"/>
      <c r="N243" s="34"/>
      <c r="O243" s="39"/>
      <c r="Q243" s="53"/>
      <c r="U243" s="37"/>
      <c r="Y243" s="38"/>
      <c r="Z243" s="39"/>
      <c r="AA243" s="33"/>
      <c r="AB243" s="39"/>
      <c r="AC243" s="40"/>
    </row>
    <row r="244">
      <c r="I244" s="40"/>
      <c r="J244" s="33"/>
      <c r="K244" s="33"/>
      <c r="L244" s="33"/>
      <c r="M244" s="34"/>
      <c r="N244" s="34"/>
      <c r="O244" s="39"/>
      <c r="Q244" s="53"/>
      <c r="U244" s="37"/>
      <c r="Y244" s="38"/>
      <c r="Z244" s="39"/>
      <c r="AA244" s="33"/>
      <c r="AB244" s="39"/>
      <c r="AC244" s="40"/>
    </row>
    <row r="245">
      <c r="I245" s="40"/>
      <c r="J245" s="33"/>
      <c r="K245" s="33"/>
      <c r="L245" s="33"/>
      <c r="M245" s="34"/>
      <c r="N245" s="34"/>
      <c r="O245" s="39"/>
      <c r="Q245" s="53"/>
      <c r="U245" s="37"/>
      <c r="Y245" s="38"/>
      <c r="Z245" s="39"/>
      <c r="AA245" s="33"/>
      <c r="AB245" s="39"/>
      <c r="AC245" s="40"/>
    </row>
    <row r="246">
      <c r="I246" s="40"/>
      <c r="J246" s="33"/>
      <c r="K246" s="33"/>
      <c r="L246" s="33"/>
      <c r="M246" s="34"/>
      <c r="N246" s="34"/>
      <c r="O246" s="39"/>
      <c r="Q246" s="53"/>
      <c r="U246" s="37"/>
      <c r="Y246" s="38"/>
      <c r="Z246" s="39"/>
      <c r="AA246" s="33"/>
      <c r="AB246" s="39"/>
      <c r="AC246" s="40"/>
    </row>
    <row r="247">
      <c r="I247" s="40"/>
      <c r="J247" s="33"/>
      <c r="K247" s="33"/>
      <c r="L247" s="33"/>
      <c r="M247" s="34"/>
      <c r="N247" s="34"/>
      <c r="O247" s="39"/>
      <c r="Q247" s="53"/>
      <c r="U247" s="37"/>
      <c r="Y247" s="38"/>
      <c r="Z247" s="39"/>
      <c r="AA247" s="33"/>
      <c r="AB247" s="39"/>
      <c r="AC247" s="40"/>
    </row>
    <row r="248">
      <c r="I248" s="40"/>
      <c r="J248" s="33"/>
      <c r="K248" s="33"/>
      <c r="L248" s="33"/>
      <c r="M248" s="34"/>
      <c r="N248" s="34"/>
      <c r="O248" s="39"/>
      <c r="Q248" s="53"/>
      <c r="U248" s="37"/>
      <c r="Y248" s="38"/>
      <c r="Z248" s="39"/>
      <c r="AA248" s="33"/>
      <c r="AB248" s="39"/>
      <c r="AC248" s="40"/>
    </row>
    <row r="249">
      <c r="I249" s="40"/>
      <c r="J249" s="33"/>
      <c r="K249" s="33"/>
      <c r="L249" s="33"/>
      <c r="M249" s="34"/>
      <c r="N249" s="34"/>
      <c r="O249" s="39"/>
      <c r="Q249" s="53"/>
      <c r="U249" s="37"/>
      <c r="Y249" s="38"/>
      <c r="Z249" s="39"/>
      <c r="AA249" s="33"/>
      <c r="AB249" s="39"/>
      <c r="AC249" s="40"/>
    </row>
    <row r="250">
      <c r="I250" s="40"/>
      <c r="J250" s="33"/>
      <c r="K250" s="33"/>
      <c r="L250" s="33"/>
      <c r="M250" s="34"/>
      <c r="N250" s="34"/>
      <c r="O250" s="39"/>
      <c r="Q250" s="53"/>
      <c r="U250" s="37"/>
      <c r="Y250" s="38"/>
      <c r="Z250" s="39"/>
      <c r="AA250" s="33"/>
      <c r="AB250" s="39"/>
      <c r="AC250" s="40"/>
    </row>
    <row r="251">
      <c r="I251" s="40"/>
      <c r="J251" s="33"/>
      <c r="K251" s="33"/>
      <c r="L251" s="33"/>
      <c r="M251" s="34"/>
      <c r="N251" s="34"/>
      <c r="O251" s="39"/>
      <c r="Q251" s="53"/>
      <c r="U251" s="37"/>
      <c r="Y251" s="38"/>
      <c r="Z251" s="39"/>
      <c r="AA251" s="33"/>
      <c r="AB251" s="39"/>
      <c r="AC251" s="40"/>
    </row>
    <row r="252">
      <c r="I252" s="40"/>
      <c r="J252" s="33"/>
      <c r="K252" s="33"/>
      <c r="L252" s="33"/>
      <c r="M252" s="34"/>
      <c r="N252" s="34"/>
      <c r="O252" s="39"/>
      <c r="Q252" s="53"/>
      <c r="U252" s="37"/>
      <c r="Y252" s="38"/>
      <c r="Z252" s="39"/>
      <c r="AA252" s="33"/>
      <c r="AB252" s="39"/>
      <c r="AC252" s="40"/>
    </row>
    <row r="253">
      <c r="I253" s="40"/>
      <c r="J253" s="33"/>
      <c r="K253" s="33"/>
      <c r="L253" s="33"/>
      <c r="M253" s="34"/>
      <c r="N253" s="34"/>
      <c r="O253" s="39"/>
      <c r="Q253" s="53"/>
      <c r="U253" s="37"/>
      <c r="Y253" s="38"/>
      <c r="Z253" s="39"/>
      <c r="AA253" s="33"/>
      <c r="AB253" s="39"/>
      <c r="AC253" s="40"/>
    </row>
    <row r="254">
      <c r="I254" s="40"/>
      <c r="J254" s="33"/>
      <c r="K254" s="33"/>
      <c r="L254" s="33"/>
      <c r="M254" s="34"/>
      <c r="N254" s="34"/>
      <c r="O254" s="39"/>
      <c r="Q254" s="53"/>
      <c r="U254" s="37"/>
      <c r="Y254" s="38"/>
      <c r="Z254" s="39"/>
      <c r="AA254" s="33"/>
      <c r="AB254" s="39"/>
      <c r="AC254" s="40"/>
    </row>
    <row r="255">
      <c r="I255" s="40"/>
      <c r="J255" s="33"/>
      <c r="K255" s="33"/>
      <c r="L255" s="33"/>
      <c r="M255" s="34"/>
      <c r="N255" s="34"/>
      <c r="O255" s="39"/>
      <c r="Q255" s="53"/>
      <c r="U255" s="37"/>
      <c r="Y255" s="38"/>
      <c r="Z255" s="39"/>
      <c r="AA255" s="33"/>
      <c r="AB255" s="39"/>
      <c r="AC255" s="40"/>
    </row>
    <row r="256">
      <c r="I256" s="40"/>
      <c r="J256" s="33"/>
      <c r="K256" s="33"/>
      <c r="L256" s="33"/>
      <c r="M256" s="34"/>
      <c r="N256" s="34"/>
      <c r="O256" s="39"/>
      <c r="Q256" s="53"/>
      <c r="U256" s="37"/>
      <c r="Y256" s="38"/>
      <c r="Z256" s="39"/>
      <c r="AA256" s="33"/>
      <c r="AB256" s="39"/>
      <c r="AC256" s="40"/>
    </row>
    <row r="257">
      <c r="I257" s="40"/>
      <c r="J257" s="33"/>
      <c r="K257" s="33"/>
      <c r="L257" s="33"/>
      <c r="M257" s="34"/>
      <c r="N257" s="34"/>
      <c r="O257" s="39"/>
      <c r="Q257" s="53"/>
      <c r="U257" s="37"/>
      <c r="Y257" s="38"/>
      <c r="Z257" s="39"/>
      <c r="AA257" s="33"/>
      <c r="AB257" s="39"/>
      <c r="AC257" s="40"/>
    </row>
    <row r="258">
      <c r="I258" s="40"/>
      <c r="J258" s="33"/>
      <c r="K258" s="33"/>
      <c r="L258" s="33"/>
      <c r="M258" s="34"/>
      <c r="N258" s="34"/>
      <c r="O258" s="39"/>
      <c r="Q258" s="53"/>
      <c r="U258" s="37"/>
      <c r="Y258" s="38"/>
      <c r="Z258" s="39"/>
      <c r="AA258" s="33"/>
      <c r="AB258" s="39"/>
      <c r="AC258" s="40"/>
    </row>
    <row r="259">
      <c r="I259" s="40"/>
      <c r="J259" s="33"/>
      <c r="K259" s="33"/>
      <c r="L259" s="33"/>
      <c r="M259" s="34"/>
      <c r="N259" s="34"/>
      <c r="O259" s="39"/>
      <c r="Q259" s="53"/>
      <c r="U259" s="37"/>
      <c r="Y259" s="38"/>
      <c r="Z259" s="39"/>
      <c r="AA259" s="33"/>
      <c r="AB259" s="39"/>
      <c r="AC259" s="40"/>
    </row>
    <row r="260">
      <c r="I260" s="40"/>
      <c r="J260" s="33"/>
      <c r="K260" s="33"/>
      <c r="L260" s="33"/>
      <c r="M260" s="34"/>
      <c r="N260" s="34"/>
      <c r="O260" s="39"/>
      <c r="Q260" s="53"/>
      <c r="U260" s="37"/>
      <c r="Y260" s="38"/>
      <c r="Z260" s="39"/>
      <c r="AA260" s="33"/>
      <c r="AB260" s="39"/>
      <c r="AC260" s="40"/>
    </row>
    <row r="261">
      <c r="I261" s="40"/>
      <c r="J261" s="33"/>
      <c r="K261" s="33"/>
      <c r="L261" s="33"/>
      <c r="M261" s="34"/>
      <c r="N261" s="34"/>
      <c r="O261" s="39"/>
      <c r="Q261" s="53"/>
      <c r="U261" s="37"/>
      <c r="Y261" s="38"/>
      <c r="Z261" s="39"/>
      <c r="AA261" s="33"/>
      <c r="AB261" s="39"/>
      <c r="AC261" s="40"/>
    </row>
    <row r="262">
      <c r="I262" s="40"/>
      <c r="J262" s="33"/>
      <c r="K262" s="33"/>
      <c r="L262" s="33"/>
      <c r="M262" s="34"/>
      <c r="N262" s="34"/>
      <c r="O262" s="39"/>
      <c r="Q262" s="53"/>
      <c r="U262" s="37"/>
      <c r="Y262" s="38"/>
      <c r="Z262" s="39"/>
      <c r="AA262" s="33"/>
      <c r="AB262" s="39"/>
      <c r="AC262" s="40"/>
    </row>
    <row r="263">
      <c r="I263" s="40"/>
      <c r="J263" s="33"/>
      <c r="K263" s="33"/>
      <c r="L263" s="33"/>
      <c r="M263" s="34"/>
      <c r="N263" s="34"/>
      <c r="O263" s="39"/>
      <c r="Q263" s="53"/>
      <c r="U263" s="37"/>
      <c r="Y263" s="38"/>
      <c r="Z263" s="39"/>
      <c r="AA263" s="33"/>
      <c r="AB263" s="39"/>
      <c r="AC263" s="40"/>
    </row>
    <row r="264">
      <c r="I264" s="40"/>
      <c r="J264" s="33"/>
      <c r="K264" s="33"/>
      <c r="L264" s="33"/>
      <c r="M264" s="34"/>
      <c r="N264" s="34"/>
      <c r="O264" s="39"/>
      <c r="Q264" s="53"/>
      <c r="U264" s="37"/>
      <c r="Y264" s="38"/>
      <c r="Z264" s="39"/>
      <c r="AA264" s="33"/>
      <c r="AB264" s="39"/>
      <c r="AC264" s="40"/>
    </row>
    <row r="265">
      <c r="I265" s="40"/>
      <c r="J265" s="33"/>
      <c r="K265" s="33"/>
      <c r="L265" s="33"/>
      <c r="M265" s="34"/>
      <c r="N265" s="34"/>
      <c r="O265" s="39"/>
      <c r="Q265" s="53"/>
      <c r="U265" s="37"/>
      <c r="Y265" s="38"/>
      <c r="Z265" s="39"/>
      <c r="AA265" s="33"/>
      <c r="AB265" s="39"/>
      <c r="AC265" s="40"/>
    </row>
    <row r="266">
      <c r="I266" s="40"/>
      <c r="J266" s="33"/>
      <c r="K266" s="33"/>
      <c r="L266" s="33"/>
      <c r="M266" s="34"/>
      <c r="N266" s="34"/>
      <c r="O266" s="39"/>
      <c r="Q266" s="53"/>
      <c r="U266" s="37"/>
      <c r="Y266" s="38"/>
      <c r="Z266" s="39"/>
      <c r="AA266" s="33"/>
      <c r="AB266" s="39"/>
      <c r="AC266" s="40"/>
    </row>
    <row r="267">
      <c r="I267" s="40"/>
      <c r="J267" s="33"/>
      <c r="K267" s="33"/>
      <c r="L267" s="33"/>
      <c r="M267" s="34"/>
      <c r="N267" s="34"/>
      <c r="O267" s="39"/>
      <c r="Q267" s="53"/>
      <c r="U267" s="37"/>
      <c r="Y267" s="38"/>
      <c r="Z267" s="39"/>
      <c r="AA267" s="33"/>
      <c r="AB267" s="39"/>
      <c r="AC267" s="40"/>
    </row>
    <row r="268">
      <c r="I268" s="40"/>
      <c r="J268" s="33"/>
      <c r="K268" s="33"/>
      <c r="L268" s="33"/>
      <c r="M268" s="34"/>
      <c r="N268" s="34"/>
      <c r="O268" s="39"/>
      <c r="Q268" s="53"/>
      <c r="U268" s="37"/>
      <c r="Y268" s="38"/>
      <c r="Z268" s="39"/>
      <c r="AA268" s="33"/>
      <c r="AB268" s="39"/>
      <c r="AC268" s="40"/>
    </row>
    <row r="269">
      <c r="I269" s="40"/>
      <c r="J269" s="33"/>
      <c r="K269" s="33"/>
      <c r="L269" s="33"/>
      <c r="M269" s="34"/>
      <c r="N269" s="34"/>
      <c r="O269" s="39"/>
      <c r="Q269" s="53"/>
      <c r="U269" s="37"/>
      <c r="Y269" s="38"/>
      <c r="Z269" s="39"/>
      <c r="AA269" s="33"/>
      <c r="AB269" s="39"/>
      <c r="AC269" s="40"/>
    </row>
    <row r="270">
      <c r="I270" s="40"/>
      <c r="J270" s="33"/>
      <c r="K270" s="33"/>
      <c r="L270" s="33"/>
      <c r="M270" s="34"/>
      <c r="N270" s="34"/>
      <c r="O270" s="39"/>
      <c r="Q270" s="53"/>
      <c r="U270" s="37"/>
      <c r="Y270" s="38"/>
      <c r="Z270" s="39"/>
      <c r="AA270" s="33"/>
      <c r="AB270" s="39"/>
      <c r="AC270" s="40"/>
    </row>
    <row r="271">
      <c r="I271" s="40"/>
      <c r="J271" s="33"/>
      <c r="K271" s="33"/>
      <c r="L271" s="33"/>
      <c r="M271" s="34"/>
      <c r="N271" s="34"/>
      <c r="O271" s="39"/>
      <c r="Q271" s="53"/>
      <c r="U271" s="37"/>
      <c r="Y271" s="38"/>
      <c r="Z271" s="39"/>
      <c r="AA271" s="33"/>
      <c r="AB271" s="39"/>
      <c r="AC271" s="40"/>
    </row>
    <row r="272">
      <c r="I272" s="40"/>
      <c r="J272" s="33"/>
      <c r="K272" s="33"/>
      <c r="L272" s="33"/>
      <c r="M272" s="34"/>
      <c r="N272" s="34"/>
      <c r="O272" s="39"/>
      <c r="Q272" s="53"/>
      <c r="U272" s="37"/>
      <c r="Y272" s="38"/>
      <c r="Z272" s="39"/>
      <c r="AA272" s="33"/>
      <c r="AB272" s="39"/>
      <c r="AC272" s="40"/>
    </row>
    <row r="273">
      <c r="I273" s="40"/>
      <c r="J273" s="33"/>
      <c r="K273" s="33"/>
      <c r="L273" s="33"/>
      <c r="M273" s="34"/>
      <c r="N273" s="34"/>
      <c r="O273" s="39"/>
      <c r="Q273" s="53"/>
      <c r="U273" s="37"/>
      <c r="Y273" s="38"/>
      <c r="Z273" s="39"/>
      <c r="AA273" s="33"/>
      <c r="AB273" s="39"/>
      <c r="AC273" s="40"/>
    </row>
    <row r="274">
      <c r="I274" s="40"/>
      <c r="J274" s="33"/>
      <c r="K274" s="33"/>
      <c r="L274" s="33"/>
      <c r="M274" s="34"/>
      <c r="N274" s="34"/>
      <c r="O274" s="39"/>
      <c r="Q274" s="53"/>
      <c r="U274" s="37"/>
      <c r="Y274" s="38"/>
      <c r="Z274" s="39"/>
      <c r="AA274" s="33"/>
      <c r="AB274" s="39"/>
      <c r="AC274" s="40"/>
    </row>
    <row r="275">
      <c r="I275" s="40"/>
      <c r="J275" s="33"/>
      <c r="K275" s="33"/>
      <c r="L275" s="33"/>
      <c r="M275" s="34"/>
      <c r="N275" s="34"/>
      <c r="O275" s="39"/>
      <c r="Q275" s="53"/>
      <c r="U275" s="37"/>
      <c r="Y275" s="38"/>
      <c r="Z275" s="39"/>
      <c r="AA275" s="33"/>
      <c r="AB275" s="39"/>
      <c r="AC275" s="40"/>
    </row>
    <row r="276">
      <c r="I276" s="40"/>
      <c r="J276" s="33"/>
      <c r="K276" s="33"/>
      <c r="L276" s="33"/>
      <c r="M276" s="34"/>
      <c r="N276" s="34"/>
      <c r="O276" s="39"/>
      <c r="Q276" s="53"/>
      <c r="U276" s="37"/>
      <c r="Y276" s="38"/>
      <c r="Z276" s="39"/>
      <c r="AA276" s="33"/>
      <c r="AB276" s="39"/>
      <c r="AC276" s="40"/>
    </row>
    <row r="277">
      <c r="I277" s="40"/>
      <c r="J277" s="33"/>
      <c r="K277" s="33"/>
      <c r="L277" s="33"/>
      <c r="M277" s="34"/>
      <c r="N277" s="34"/>
      <c r="O277" s="39"/>
      <c r="Q277" s="53"/>
      <c r="U277" s="37"/>
      <c r="Y277" s="38"/>
      <c r="Z277" s="39"/>
      <c r="AA277" s="33"/>
      <c r="AB277" s="39"/>
      <c r="AC277" s="40"/>
    </row>
    <row r="278">
      <c r="I278" s="40"/>
      <c r="J278" s="33"/>
      <c r="K278" s="33"/>
      <c r="L278" s="33"/>
      <c r="M278" s="34"/>
      <c r="N278" s="34"/>
      <c r="O278" s="39"/>
      <c r="Q278" s="53"/>
      <c r="U278" s="37"/>
      <c r="Y278" s="38"/>
      <c r="Z278" s="39"/>
      <c r="AA278" s="33"/>
      <c r="AB278" s="39"/>
      <c r="AC278" s="40"/>
    </row>
    <row r="279">
      <c r="I279" s="40"/>
      <c r="J279" s="33"/>
      <c r="K279" s="33"/>
      <c r="L279" s="33"/>
      <c r="M279" s="34"/>
      <c r="N279" s="34"/>
      <c r="O279" s="39"/>
      <c r="Q279" s="53"/>
      <c r="U279" s="37"/>
      <c r="Y279" s="38"/>
      <c r="Z279" s="39"/>
      <c r="AA279" s="33"/>
      <c r="AB279" s="39"/>
      <c r="AC279" s="40"/>
    </row>
    <row r="280">
      <c r="I280" s="40"/>
      <c r="J280" s="33"/>
      <c r="K280" s="33"/>
      <c r="L280" s="33"/>
      <c r="M280" s="34"/>
      <c r="N280" s="34"/>
      <c r="O280" s="39"/>
      <c r="Q280" s="53"/>
      <c r="U280" s="37"/>
      <c r="Y280" s="38"/>
      <c r="Z280" s="39"/>
      <c r="AA280" s="33"/>
      <c r="AB280" s="39"/>
      <c r="AC280" s="40"/>
    </row>
    <row r="281">
      <c r="I281" s="40"/>
      <c r="J281" s="33"/>
      <c r="K281" s="33"/>
      <c r="L281" s="33"/>
      <c r="M281" s="34"/>
      <c r="N281" s="34"/>
      <c r="O281" s="39"/>
      <c r="Q281" s="53"/>
      <c r="U281" s="37"/>
      <c r="Y281" s="38"/>
      <c r="Z281" s="39"/>
      <c r="AA281" s="33"/>
      <c r="AB281" s="39"/>
      <c r="AC281" s="40"/>
    </row>
    <row r="282">
      <c r="I282" s="40"/>
      <c r="J282" s="33"/>
      <c r="K282" s="33"/>
      <c r="L282" s="33"/>
      <c r="M282" s="34"/>
      <c r="N282" s="34"/>
      <c r="O282" s="39"/>
      <c r="Q282" s="53"/>
      <c r="U282" s="37"/>
      <c r="Y282" s="38"/>
      <c r="Z282" s="39"/>
      <c r="AA282" s="33"/>
      <c r="AB282" s="39"/>
      <c r="AC282" s="40"/>
    </row>
    <row r="283">
      <c r="I283" s="40"/>
      <c r="J283" s="33"/>
      <c r="K283" s="33"/>
      <c r="L283" s="33"/>
      <c r="M283" s="34"/>
      <c r="N283" s="34"/>
      <c r="O283" s="39"/>
      <c r="Q283" s="53"/>
      <c r="U283" s="37"/>
      <c r="Y283" s="38"/>
      <c r="Z283" s="39"/>
      <c r="AA283" s="33"/>
      <c r="AB283" s="39"/>
      <c r="AC283" s="40"/>
    </row>
    <row r="284">
      <c r="I284" s="40"/>
      <c r="J284" s="33"/>
      <c r="K284" s="33"/>
      <c r="L284" s="33"/>
      <c r="M284" s="34"/>
      <c r="N284" s="34"/>
      <c r="O284" s="39"/>
      <c r="Q284" s="53"/>
      <c r="U284" s="37"/>
      <c r="Y284" s="38"/>
      <c r="Z284" s="39"/>
      <c r="AA284" s="33"/>
      <c r="AB284" s="39"/>
      <c r="AC284" s="40"/>
    </row>
    <row r="285">
      <c r="I285" s="40"/>
      <c r="J285" s="33"/>
      <c r="K285" s="33"/>
      <c r="L285" s="33"/>
      <c r="M285" s="34"/>
      <c r="N285" s="34"/>
      <c r="O285" s="39"/>
      <c r="Q285" s="53"/>
      <c r="U285" s="37"/>
      <c r="Y285" s="38"/>
      <c r="Z285" s="39"/>
      <c r="AA285" s="33"/>
      <c r="AB285" s="39"/>
      <c r="AC285" s="40"/>
    </row>
    <row r="286">
      <c r="I286" s="40"/>
      <c r="J286" s="33"/>
      <c r="K286" s="33"/>
      <c r="L286" s="33"/>
      <c r="M286" s="34"/>
      <c r="N286" s="34"/>
      <c r="O286" s="39"/>
      <c r="Q286" s="53"/>
      <c r="U286" s="37"/>
      <c r="Y286" s="38"/>
      <c r="Z286" s="39"/>
      <c r="AA286" s="33"/>
      <c r="AB286" s="39"/>
      <c r="AC286" s="40"/>
    </row>
    <row r="287">
      <c r="I287" s="40"/>
      <c r="J287" s="33"/>
      <c r="K287" s="33"/>
      <c r="L287" s="33"/>
      <c r="M287" s="34"/>
      <c r="N287" s="34"/>
      <c r="O287" s="39"/>
      <c r="Q287" s="53"/>
      <c r="U287" s="37"/>
      <c r="Y287" s="38"/>
      <c r="Z287" s="39"/>
      <c r="AA287" s="33"/>
      <c r="AB287" s="39"/>
      <c r="AC287" s="40"/>
    </row>
    <row r="288">
      <c r="I288" s="40"/>
      <c r="J288" s="33"/>
      <c r="K288" s="33"/>
      <c r="L288" s="33"/>
      <c r="M288" s="34"/>
      <c r="N288" s="34"/>
      <c r="O288" s="39"/>
      <c r="Q288" s="53"/>
      <c r="U288" s="37"/>
      <c r="Y288" s="38"/>
      <c r="Z288" s="39"/>
      <c r="AA288" s="33"/>
      <c r="AB288" s="39"/>
      <c r="AC288" s="40"/>
    </row>
    <row r="289">
      <c r="I289" s="40"/>
      <c r="J289" s="33"/>
      <c r="K289" s="33"/>
      <c r="L289" s="33"/>
      <c r="M289" s="34"/>
      <c r="N289" s="34"/>
      <c r="O289" s="39"/>
      <c r="Q289" s="53"/>
      <c r="U289" s="37"/>
      <c r="Y289" s="38"/>
      <c r="Z289" s="39"/>
      <c r="AA289" s="33"/>
      <c r="AB289" s="39"/>
      <c r="AC289" s="40"/>
    </row>
    <row r="290">
      <c r="I290" s="40"/>
      <c r="J290" s="33"/>
      <c r="K290" s="33"/>
      <c r="L290" s="33"/>
      <c r="M290" s="34"/>
      <c r="N290" s="34"/>
      <c r="O290" s="39"/>
      <c r="Q290" s="53"/>
      <c r="U290" s="37"/>
      <c r="Y290" s="38"/>
      <c r="Z290" s="39"/>
      <c r="AA290" s="33"/>
      <c r="AB290" s="39"/>
      <c r="AC290" s="40"/>
    </row>
    <row r="291">
      <c r="I291" s="40"/>
      <c r="J291" s="33"/>
      <c r="K291" s="33"/>
      <c r="L291" s="33"/>
      <c r="M291" s="34"/>
      <c r="N291" s="34"/>
      <c r="O291" s="39"/>
      <c r="Q291" s="53"/>
      <c r="U291" s="37"/>
      <c r="Y291" s="38"/>
      <c r="Z291" s="39"/>
      <c r="AA291" s="33"/>
      <c r="AB291" s="39"/>
      <c r="AC291" s="40"/>
    </row>
    <row r="292">
      <c r="I292" s="40"/>
      <c r="J292" s="33"/>
      <c r="K292" s="33"/>
      <c r="L292" s="33"/>
      <c r="M292" s="34"/>
      <c r="N292" s="34"/>
      <c r="O292" s="39"/>
      <c r="Q292" s="53"/>
      <c r="U292" s="37"/>
      <c r="Y292" s="38"/>
      <c r="Z292" s="39"/>
      <c r="AA292" s="33"/>
      <c r="AB292" s="39"/>
      <c r="AC292" s="40"/>
    </row>
    <row r="293">
      <c r="I293" s="40"/>
      <c r="J293" s="33"/>
      <c r="K293" s="33"/>
      <c r="L293" s="33"/>
      <c r="M293" s="34"/>
      <c r="N293" s="34"/>
      <c r="O293" s="39"/>
      <c r="Q293" s="53"/>
      <c r="U293" s="37"/>
      <c r="Y293" s="38"/>
      <c r="Z293" s="39"/>
      <c r="AA293" s="33"/>
      <c r="AB293" s="39"/>
      <c r="AC293" s="40"/>
    </row>
    <row r="294">
      <c r="I294" s="40"/>
      <c r="J294" s="33"/>
      <c r="K294" s="33"/>
      <c r="L294" s="33"/>
      <c r="M294" s="34"/>
      <c r="N294" s="34"/>
      <c r="O294" s="39"/>
      <c r="Q294" s="53"/>
      <c r="U294" s="37"/>
      <c r="Y294" s="38"/>
      <c r="Z294" s="39"/>
      <c r="AA294" s="33"/>
      <c r="AB294" s="39"/>
      <c r="AC294" s="40"/>
    </row>
    <row r="295">
      <c r="I295" s="40"/>
      <c r="J295" s="33"/>
      <c r="K295" s="33"/>
      <c r="L295" s="33"/>
      <c r="M295" s="34"/>
      <c r="N295" s="34"/>
      <c r="O295" s="39"/>
      <c r="Q295" s="53"/>
      <c r="U295" s="37"/>
      <c r="Y295" s="38"/>
      <c r="Z295" s="39"/>
      <c r="AA295" s="33"/>
      <c r="AB295" s="39"/>
      <c r="AC295" s="40"/>
    </row>
    <row r="296">
      <c r="I296" s="40"/>
      <c r="J296" s="33"/>
      <c r="K296" s="33"/>
      <c r="L296" s="33"/>
      <c r="M296" s="34"/>
      <c r="N296" s="34"/>
      <c r="O296" s="39"/>
      <c r="Q296" s="53"/>
      <c r="U296" s="37"/>
      <c r="Y296" s="38"/>
      <c r="Z296" s="39"/>
      <c r="AA296" s="33"/>
      <c r="AB296" s="39"/>
      <c r="AC296" s="40"/>
    </row>
    <row r="297">
      <c r="I297" s="40"/>
      <c r="J297" s="33"/>
      <c r="K297" s="33"/>
      <c r="L297" s="33"/>
      <c r="M297" s="34"/>
      <c r="N297" s="34"/>
      <c r="O297" s="39"/>
      <c r="Q297" s="53"/>
      <c r="U297" s="37"/>
      <c r="Y297" s="38"/>
      <c r="Z297" s="39"/>
      <c r="AA297" s="33"/>
      <c r="AB297" s="39"/>
      <c r="AC297" s="40"/>
    </row>
    <row r="298">
      <c r="I298" s="40"/>
      <c r="J298" s="33"/>
      <c r="K298" s="33"/>
      <c r="L298" s="33"/>
      <c r="M298" s="34"/>
      <c r="N298" s="34"/>
      <c r="O298" s="39"/>
      <c r="Q298" s="53"/>
      <c r="U298" s="37"/>
      <c r="Y298" s="38"/>
      <c r="Z298" s="39"/>
      <c r="AA298" s="33"/>
      <c r="AB298" s="39"/>
      <c r="AC298" s="40"/>
    </row>
    <row r="299">
      <c r="I299" s="40"/>
      <c r="J299" s="33"/>
      <c r="K299" s="33"/>
      <c r="L299" s="33"/>
      <c r="M299" s="34"/>
      <c r="N299" s="34"/>
      <c r="O299" s="39"/>
      <c r="Q299" s="53"/>
      <c r="U299" s="37"/>
      <c r="Y299" s="38"/>
      <c r="Z299" s="39"/>
      <c r="AA299" s="33"/>
      <c r="AB299" s="39"/>
      <c r="AC299" s="40"/>
    </row>
    <row r="300">
      <c r="I300" s="40"/>
      <c r="J300" s="33"/>
      <c r="K300" s="33"/>
      <c r="L300" s="33"/>
      <c r="M300" s="34"/>
      <c r="N300" s="34"/>
      <c r="O300" s="39"/>
      <c r="Q300" s="53"/>
      <c r="U300" s="37"/>
      <c r="Y300" s="38"/>
      <c r="Z300" s="39"/>
      <c r="AA300" s="33"/>
      <c r="AB300" s="39"/>
      <c r="AC300" s="40"/>
    </row>
    <row r="301">
      <c r="I301" s="40"/>
      <c r="J301" s="33"/>
      <c r="K301" s="33"/>
      <c r="L301" s="33"/>
      <c r="M301" s="34"/>
      <c r="N301" s="34"/>
      <c r="O301" s="39"/>
      <c r="Q301" s="53"/>
      <c r="U301" s="37"/>
      <c r="Y301" s="38"/>
      <c r="Z301" s="39"/>
      <c r="AA301" s="33"/>
      <c r="AB301" s="39"/>
      <c r="AC301" s="40"/>
    </row>
    <row r="302">
      <c r="I302" s="40"/>
      <c r="J302" s="33"/>
      <c r="K302" s="33"/>
      <c r="L302" s="33"/>
      <c r="M302" s="34"/>
      <c r="N302" s="34"/>
      <c r="O302" s="39"/>
      <c r="Q302" s="53"/>
      <c r="U302" s="37"/>
      <c r="Y302" s="38"/>
      <c r="Z302" s="39"/>
      <c r="AA302" s="33"/>
      <c r="AB302" s="39"/>
      <c r="AC302" s="40"/>
    </row>
    <row r="303">
      <c r="I303" s="40"/>
      <c r="J303" s="33"/>
      <c r="K303" s="33"/>
      <c r="L303" s="33"/>
      <c r="M303" s="34"/>
      <c r="N303" s="34"/>
      <c r="O303" s="39"/>
      <c r="Q303" s="53"/>
      <c r="U303" s="37"/>
      <c r="Y303" s="38"/>
      <c r="Z303" s="39"/>
      <c r="AA303" s="33"/>
      <c r="AB303" s="39"/>
      <c r="AC303" s="40"/>
    </row>
    <row r="304">
      <c r="I304" s="40"/>
      <c r="J304" s="33"/>
      <c r="K304" s="33"/>
      <c r="L304" s="33"/>
      <c r="M304" s="34"/>
      <c r="N304" s="34"/>
      <c r="O304" s="39"/>
      <c r="Q304" s="53"/>
      <c r="U304" s="37"/>
      <c r="Y304" s="38"/>
      <c r="Z304" s="39"/>
      <c r="AA304" s="33"/>
      <c r="AB304" s="39"/>
      <c r="AC304" s="40"/>
    </row>
    <row r="305">
      <c r="I305" s="40"/>
      <c r="J305" s="33"/>
      <c r="K305" s="33"/>
      <c r="L305" s="33"/>
      <c r="M305" s="34"/>
      <c r="N305" s="34"/>
      <c r="O305" s="39"/>
      <c r="Q305" s="53"/>
      <c r="U305" s="37"/>
      <c r="Y305" s="38"/>
      <c r="Z305" s="39"/>
      <c r="AA305" s="33"/>
      <c r="AB305" s="39"/>
      <c r="AC305" s="40"/>
    </row>
    <row r="306">
      <c r="I306" s="40"/>
      <c r="J306" s="33"/>
      <c r="K306" s="33"/>
      <c r="L306" s="33"/>
      <c r="M306" s="34"/>
      <c r="N306" s="34"/>
      <c r="O306" s="39"/>
      <c r="Q306" s="53"/>
      <c r="U306" s="37"/>
      <c r="Y306" s="38"/>
      <c r="Z306" s="39"/>
      <c r="AA306" s="33"/>
      <c r="AB306" s="39"/>
      <c r="AC306" s="40"/>
    </row>
    <row r="307">
      <c r="I307" s="40"/>
      <c r="J307" s="33"/>
      <c r="K307" s="33"/>
      <c r="L307" s="33"/>
      <c r="M307" s="34"/>
      <c r="N307" s="34"/>
      <c r="O307" s="39"/>
      <c r="Q307" s="53"/>
      <c r="U307" s="37"/>
      <c r="Y307" s="38"/>
      <c r="Z307" s="39"/>
      <c r="AA307" s="33"/>
      <c r="AB307" s="39"/>
      <c r="AC307" s="40"/>
    </row>
    <row r="308">
      <c r="I308" s="40"/>
      <c r="J308" s="33"/>
      <c r="K308" s="33"/>
      <c r="L308" s="33"/>
      <c r="M308" s="34"/>
      <c r="N308" s="34"/>
      <c r="O308" s="39"/>
      <c r="Q308" s="53"/>
      <c r="U308" s="37"/>
      <c r="Y308" s="38"/>
      <c r="Z308" s="39"/>
      <c r="AA308" s="33"/>
      <c r="AB308" s="39"/>
      <c r="AC308" s="40"/>
    </row>
    <row r="309">
      <c r="I309" s="40"/>
      <c r="J309" s="33"/>
      <c r="K309" s="33"/>
      <c r="L309" s="33"/>
      <c r="M309" s="34"/>
      <c r="N309" s="34"/>
      <c r="O309" s="39"/>
      <c r="Q309" s="53"/>
      <c r="U309" s="37"/>
      <c r="Y309" s="38"/>
      <c r="Z309" s="39"/>
      <c r="AA309" s="33"/>
      <c r="AB309" s="39"/>
      <c r="AC309" s="40"/>
    </row>
    <row r="310">
      <c r="I310" s="40"/>
      <c r="J310" s="33"/>
      <c r="K310" s="33"/>
      <c r="L310" s="33"/>
      <c r="M310" s="34"/>
      <c r="N310" s="34"/>
      <c r="O310" s="39"/>
      <c r="Q310" s="53"/>
      <c r="U310" s="37"/>
      <c r="Y310" s="38"/>
      <c r="Z310" s="39"/>
      <c r="AA310" s="33"/>
      <c r="AB310" s="39"/>
      <c r="AC310" s="40"/>
    </row>
    <row r="311">
      <c r="I311" s="40"/>
      <c r="J311" s="33"/>
      <c r="K311" s="33"/>
      <c r="L311" s="33"/>
      <c r="M311" s="34"/>
      <c r="N311" s="34"/>
      <c r="O311" s="39"/>
      <c r="Q311" s="53"/>
      <c r="U311" s="37"/>
      <c r="Y311" s="38"/>
      <c r="Z311" s="39"/>
      <c r="AA311" s="33"/>
      <c r="AB311" s="39"/>
      <c r="AC311" s="40"/>
    </row>
    <row r="312">
      <c r="I312" s="40"/>
      <c r="J312" s="33"/>
      <c r="K312" s="33"/>
      <c r="L312" s="33"/>
      <c r="M312" s="34"/>
      <c r="N312" s="34"/>
      <c r="O312" s="39"/>
      <c r="Q312" s="53"/>
      <c r="U312" s="37"/>
      <c r="Y312" s="38"/>
      <c r="Z312" s="39"/>
      <c r="AA312" s="33"/>
      <c r="AB312" s="39"/>
      <c r="AC312" s="40"/>
    </row>
    <row r="313">
      <c r="I313" s="40"/>
      <c r="J313" s="33"/>
      <c r="K313" s="33"/>
      <c r="L313" s="33"/>
      <c r="M313" s="34"/>
      <c r="N313" s="34"/>
      <c r="O313" s="39"/>
      <c r="Q313" s="53"/>
      <c r="U313" s="37"/>
      <c r="Y313" s="38"/>
      <c r="Z313" s="39"/>
      <c r="AA313" s="33"/>
      <c r="AB313" s="39"/>
      <c r="AC313" s="40"/>
    </row>
    <row r="314">
      <c r="I314" s="40"/>
      <c r="J314" s="33"/>
      <c r="K314" s="33"/>
      <c r="L314" s="33"/>
      <c r="M314" s="34"/>
      <c r="N314" s="34"/>
      <c r="O314" s="39"/>
      <c r="Q314" s="53"/>
      <c r="U314" s="37"/>
      <c r="Y314" s="38"/>
      <c r="Z314" s="39"/>
      <c r="AA314" s="33"/>
      <c r="AB314" s="39"/>
      <c r="AC314" s="40"/>
    </row>
    <row r="315">
      <c r="I315" s="40"/>
      <c r="J315" s="33"/>
      <c r="K315" s="33"/>
      <c r="L315" s="33"/>
      <c r="M315" s="34"/>
      <c r="N315" s="34"/>
      <c r="O315" s="39"/>
      <c r="Q315" s="53"/>
      <c r="U315" s="37"/>
      <c r="Y315" s="38"/>
      <c r="Z315" s="39"/>
      <c r="AA315" s="33"/>
      <c r="AB315" s="39"/>
      <c r="AC315" s="40"/>
    </row>
    <row r="316">
      <c r="I316" s="40"/>
      <c r="J316" s="33"/>
      <c r="K316" s="33"/>
      <c r="L316" s="33"/>
      <c r="M316" s="34"/>
      <c r="N316" s="34"/>
      <c r="O316" s="39"/>
      <c r="Q316" s="53"/>
      <c r="U316" s="37"/>
      <c r="Y316" s="38"/>
      <c r="Z316" s="39"/>
      <c r="AA316" s="33"/>
      <c r="AB316" s="39"/>
      <c r="AC316" s="40"/>
    </row>
    <row r="317">
      <c r="I317" s="40"/>
      <c r="J317" s="33"/>
      <c r="K317" s="33"/>
      <c r="L317" s="33"/>
      <c r="M317" s="34"/>
      <c r="N317" s="34"/>
      <c r="O317" s="39"/>
      <c r="Q317" s="53"/>
      <c r="U317" s="37"/>
      <c r="Y317" s="38"/>
      <c r="Z317" s="39"/>
      <c r="AA317" s="33"/>
      <c r="AB317" s="39"/>
      <c r="AC317" s="40"/>
    </row>
    <row r="318">
      <c r="I318" s="40"/>
      <c r="J318" s="33"/>
      <c r="K318" s="33"/>
      <c r="L318" s="33"/>
      <c r="M318" s="34"/>
      <c r="N318" s="34"/>
      <c r="O318" s="39"/>
      <c r="Q318" s="53"/>
      <c r="U318" s="37"/>
      <c r="Y318" s="38"/>
      <c r="Z318" s="39"/>
      <c r="AA318" s="33"/>
      <c r="AB318" s="39"/>
      <c r="AC318" s="40"/>
    </row>
    <row r="319">
      <c r="I319" s="40"/>
      <c r="J319" s="33"/>
      <c r="K319" s="33"/>
      <c r="L319" s="33"/>
      <c r="M319" s="34"/>
      <c r="N319" s="34"/>
      <c r="O319" s="39"/>
      <c r="Q319" s="53"/>
      <c r="U319" s="37"/>
      <c r="Y319" s="38"/>
      <c r="Z319" s="39"/>
      <c r="AA319" s="33"/>
      <c r="AB319" s="39"/>
      <c r="AC319" s="40"/>
    </row>
    <row r="320">
      <c r="I320" s="40"/>
      <c r="J320" s="33"/>
      <c r="K320" s="33"/>
      <c r="L320" s="33"/>
      <c r="M320" s="34"/>
      <c r="N320" s="34"/>
      <c r="O320" s="39"/>
      <c r="Q320" s="53"/>
      <c r="U320" s="37"/>
      <c r="Y320" s="38"/>
      <c r="Z320" s="39"/>
      <c r="AA320" s="33"/>
      <c r="AB320" s="39"/>
      <c r="AC320" s="40"/>
    </row>
    <row r="321">
      <c r="I321" s="40"/>
      <c r="J321" s="33"/>
      <c r="K321" s="33"/>
      <c r="L321" s="33"/>
      <c r="M321" s="34"/>
      <c r="N321" s="34"/>
      <c r="O321" s="39"/>
      <c r="Q321" s="53"/>
      <c r="U321" s="37"/>
      <c r="Y321" s="38"/>
      <c r="Z321" s="39"/>
      <c r="AA321" s="33"/>
      <c r="AB321" s="39"/>
      <c r="AC321" s="40"/>
    </row>
    <row r="322">
      <c r="I322" s="40"/>
      <c r="J322" s="33"/>
      <c r="K322" s="33"/>
      <c r="L322" s="33"/>
      <c r="M322" s="34"/>
      <c r="N322" s="34"/>
      <c r="O322" s="39"/>
      <c r="Q322" s="53"/>
      <c r="U322" s="37"/>
      <c r="Y322" s="38"/>
      <c r="Z322" s="39"/>
      <c r="AA322" s="33"/>
      <c r="AB322" s="39"/>
      <c r="AC322" s="40"/>
    </row>
    <row r="323">
      <c r="I323" s="40"/>
      <c r="J323" s="33"/>
      <c r="K323" s="33"/>
      <c r="L323" s="33"/>
      <c r="M323" s="34"/>
      <c r="N323" s="34"/>
      <c r="O323" s="39"/>
      <c r="Q323" s="53"/>
      <c r="U323" s="37"/>
      <c r="Y323" s="38"/>
      <c r="Z323" s="39"/>
      <c r="AA323" s="33"/>
      <c r="AB323" s="39"/>
      <c r="AC323" s="40"/>
    </row>
    <row r="324">
      <c r="I324" s="40"/>
      <c r="J324" s="33"/>
      <c r="K324" s="33"/>
      <c r="L324" s="33"/>
      <c r="M324" s="34"/>
      <c r="N324" s="34"/>
      <c r="O324" s="39"/>
      <c r="Q324" s="53"/>
      <c r="U324" s="37"/>
      <c r="Y324" s="38"/>
      <c r="Z324" s="39"/>
      <c r="AA324" s="33"/>
      <c r="AB324" s="39"/>
      <c r="AC324" s="40"/>
    </row>
    <row r="325">
      <c r="I325" s="40"/>
      <c r="J325" s="33"/>
      <c r="K325" s="33"/>
      <c r="L325" s="33"/>
      <c r="M325" s="34"/>
      <c r="N325" s="34"/>
      <c r="O325" s="39"/>
      <c r="Q325" s="53"/>
      <c r="U325" s="37"/>
      <c r="Y325" s="38"/>
      <c r="Z325" s="39"/>
      <c r="AA325" s="33"/>
      <c r="AB325" s="39"/>
      <c r="AC325" s="40"/>
    </row>
    <row r="326">
      <c r="I326" s="40"/>
      <c r="J326" s="33"/>
      <c r="K326" s="33"/>
      <c r="L326" s="33"/>
      <c r="M326" s="34"/>
      <c r="N326" s="34"/>
      <c r="O326" s="39"/>
      <c r="Q326" s="53"/>
      <c r="U326" s="37"/>
      <c r="Y326" s="38"/>
      <c r="Z326" s="39"/>
      <c r="AA326" s="33"/>
      <c r="AB326" s="39"/>
      <c r="AC326" s="40"/>
    </row>
    <row r="327">
      <c r="I327" s="40"/>
      <c r="J327" s="33"/>
      <c r="K327" s="33"/>
      <c r="L327" s="33"/>
      <c r="M327" s="34"/>
      <c r="N327" s="34"/>
      <c r="O327" s="39"/>
      <c r="Q327" s="53"/>
      <c r="U327" s="37"/>
      <c r="Y327" s="38"/>
      <c r="Z327" s="39"/>
      <c r="AA327" s="33"/>
      <c r="AB327" s="39"/>
      <c r="AC327" s="40"/>
    </row>
    <row r="328">
      <c r="I328" s="40"/>
      <c r="J328" s="33"/>
      <c r="K328" s="33"/>
      <c r="L328" s="33"/>
      <c r="M328" s="34"/>
      <c r="N328" s="34"/>
      <c r="O328" s="39"/>
      <c r="Q328" s="53"/>
      <c r="U328" s="37"/>
      <c r="Y328" s="38"/>
      <c r="Z328" s="39"/>
      <c r="AA328" s="33"/>
      <c r="AB328" s="39"/>
      <c r="AC328" s="40"/>
    </row>
    <row r="329">
      <c r="I329" s="40"/>
      <c r="J329" s="33"/>
      <c r="K329" s="33"/>
      <c r="L329" s="33"/>
      <c r="M329" s="34"/>
      <c r="N329" s="34"/>
      <c r="O329" s="39"/>
      <c r="Q329" s="53"/>
      <c r="U329" s="37"/>
      <c r="Y329" s="38"/>
      <c r="Z329" s="39"/>
      <c r="AA329" s="33"/>
      <c r="AB329" s="39"/>
      <c r="AC329" s="40"/>
    </row>
    <row r="330">
      <c r="I330" s="40"/>
      <c r="J330" s="33"/>
      <c r="K330" s="33"/>
      <c r="L330" s="33"/>
      <c r="M330" s="34"/>
      <c r="N330" s="34"/>
      <c r="O330" s="39"/>
      <c r="Q330" s="53"/>
      <c r="U330" s="37"/>
      <c r="Y330" s="38"/>
      <c r="Z330" s="39"/>
      <c r="AA330" s="33"/>
      <c r="AB330" s="39"/>
      <c r="AC330" s="40"/>
    </row>
    <row r="331">
      <c r="I331" s="40"/>
      <c r="J331" s="33"/>
      <c r="K331" s="33"/>
      <c r="L331" s="33"/>
      <c r="M331" s="34"/>
      <c r="N331" s="34"/>
      <c r="O331" s="39"/>
      <c r="Q331" s="53"/>
      <c r="U331" s="37"/>
      <c r="Y331" s="38"/>
      <c r="Z331" s="39"/>
      <c r="AA331" s="33"/>
      <c r="AB331" s="39"/>
      <c r="AC331" s="40"/>
    </row>
    <row r="332">
      <c r="I332" s="40"/>
      <c r="J332" s="33"/>
      <c r="K332" s="33"/>
      <c r="L332" s="33"/>
      <c r="M332" s="34"/>
      <c r="N332" s="34"/>
      <c r="O332" s="39"/>
      <c r="Q332" s="53"/>
      <c r="U332" s="37"/>
      <c r="Y332" s="38"/>
      <c r="Z332" s="39"/>
      <c r="AA332" s="33"/>
      <c r="AB332" s="39"/>
      <c r="AC332" s="40"/>
    </row>
    <row r="333">
      <c r="I333" s="40"/>
      <c r="J333" s="33"/>
      <c r="K333" s="33"/>
      <c r="L333" s="33"/>
      <c r="M333" s="34"/>
      <c r="N333" s="34"/>
      <c r="O333" s="39"/>
      <c r="Q333" s="53"/>
      <c r="U333" s="37"/>
      <c r="Y333" s="38"/>
      <c r="Z333" s="39"/>
      <c r="AA333" s="33"/>
      <c r="AB333" s="39"/>
      <c r="AC333" s="40"/>
    </row>
    <row r="334">
      <c r="I334" s="40"/>
      <c r="J334" s="33"/>
      <c r="K334" s="33"/>
      <c r="L334" s="33"/>
      <c r="M334" s="34"/>
      <c r="N334" s="34"/>
      <c r="O334" s="39"/>
      <c r="Q334" s="53"/>
      <c r="U334" s="37"/>
      <c r="Y334" s="38"/>
      <c r="Z334" s="39"/>
      <c r="AA334" s="33"/>
      <c r="AB334" s="39"/>
      <c r="AC334" s="40"/>
    </row>
    <row r="335">
      <c r="I335" s="40"/>
      <c r="J335" s="33"/>
      <c r="K335" s="33"/>
      <c r="L335" s="33"/>
      <c r="M335" s="34"/>
      <c r="N335" s="34"/>
      <c r="O335" s="39"/>
      <c r="Q335" s="53"/>
      <c r="U335" s="37"/>
      <c r="Y335" s="38"/>
      <c r="Z335" s="39"/>
      <c r="AA335" s="33"/>
      <c r="AB335" s="39"/>
      <c r="AC335" s="40"/>
    </row>
    <row r="336">
      <c r="I336" s="40"/>
      <c r="J336" s="33"/>
      <c r="K336" s="33"/>
      <c r="L336" s="33"/>
      <c r="M336" s="34"/>
      <c r="N336" s="34"/>
      <c r="O336" s="39"/>
      <c r="Q336" s="53"/>
      <c r="U336" s="37"/>
      <c r="Y336" s="38"/>
      <c r="Z336" s="39"/>
      <c r="AA336" s="33"/>
      <c r="AB336" s="39"/>
      <c r="AC336" s="40"/>
    </row>
    <row r="337">
      <c r="I337" s="40"/>
      <c r="J337" s="33"/>
      <c r="K337" s="33"/>
      <c r="L337" s="33"/>
      <c r="M337" s="34"/>
      <c r="N337" s="34"/>
      <c r="O337" s="39"/>
      <c r="Q337" s="53"/>
      <c r="U337" s="37"/>
      <c r="Y337" s="38"/>
      <c r="Z337" s="39"/>
      <c r="AA337" s="33"/>
      <c r="AB337" s="39"/>
      <c r="AC337" s="40"/>
    </row>
    <row r="338">
      <c r="I338" s="40"/>
      <c r="J338" s="33"/>
      <c r="K338" s="33"/>
      <c r="L338" s="33"/>
      <c r="M338" s="34"/>
      <c r="N338" s="34"/>
      <c r="O338" s="39"/>
      <c r="Q338" s="53"/>
      <c r="U338" s="37"/>
      <c r="Y338" s="38"/>
      <c r="Z338" s="39"/>
      <c r="AA338" s="33"/>
      <c r="AB338" s="39"/>
      <c r="AC338" s="40"/>
    </row>
    <row r="339">
      <c r="I339" s="40"/>
      <c r="J339" s="33"/>
      <c r="K339" s="33"/>
      <c r="L339" s="33"/>
      <c r="M339" s="34"/>
      <c r="N339" s="34"/>
      <c r="O339" s="39"/>
      <c r="Q339" s="53"/>
      <c r="U339" s="37"/>
      <c r="Y339" s="38"/>
      <c r="Z339" s="39"/>
      <c r="AA339" s="33"/>
      <c r="AB339" s="39"/>
      <c r="AC339" s="40"/>
    </row>
    <row r="340">
      <c r="I340" s="40"/>
      <c r="J340" s="33"/>
      <c r="K340" s="33"/>
      <c r="L340" s="33"/>
      <c r="M340" s="34"/>
      <c r="N340" s="34"/>
      <c r="O340" s="39"/>
      <c r="Q340" s="53"/>
      <c r="U340" s="37"/>
      <c r="Y340" s="38"/>
      <c r="Z340" s="39"/>
      <c r="AA340" s="33"/>
      <c r="AB340" s="39"/>
      <c r="AC340" s="40"/>
    </row>
    <row r="341">
      <c r="I341" s="40"/>
      <c r="J341" s="33"/>
      <c r="K341" s="33"/>
      <c r="L341" s="33"/>
      <c r="M341" s="34"/>
      <c r="N341" s="34"/>
      <c r="O341" s="39"/>
      <c r="Q341" s="53"/>
      <c r="U341" s="37"/>
      <c r="Y341" s="38"/>
      <c r="Z341" s="39"/>
      <c r="AA341" s="33"/>
      <c r="AB341" s="39"/>
      <c r="AC341" s="40"/>
    </row>
    <row r="342">
      <c r="I342" s="40"/>
      <c r="J342" s="33"/>
      <c r="K342" s="33"/>
      <c r="L342" s="33"/>
      <c r="M342" s="34"/>
      <c r="N342" s="34"/>
      <c r="O342" s="39"/>
      <c r="Q342" s="53"/>
      <c r="U342" s="37"/>
      <c r="Y342" s="38"/>
      <c r="Z342" s="39"/>
      <c r="AA342" s="33"/>
      <c r="AB342" s="39"/>
      <c r="AC342" s="40"/>
    </row>
    <row r="343">
      <c r="I343" s="40"/>
      <c r="J343" s="33"/>
      <c r="K343" s="33"/>
      <c r="L343" s="33"/>
      <c r="M343" s="34"/>
      <c r="N343" s="34"/>
      <c r="O343" s="39"/>
      <c r="Q343" s="53"/>
      <c r="U343" s="37"/>
      <c r="Y343" s="38"/>
      <c r="Z343" s="39"/>
      <c r="AA343" s="33"/>
      <c r="AB343" s="39"/>
      <c r="AC343" s="40"/>
    </row>
    <row r="344">
      <c r="I344" s="40"/>
      <c r="J344" s="33"/>
      <c r="K344" s="33"/>
      <c r="L344" s="33"/>
      <c r="M344" s="34"/>
      <c r="N344" s="34"/>
      <c r="O344" s="39"/>
      <c r="Q344" s="53"/>
      <c r="U344" s="37"/>
      <c r="Y344" s="38"/>
      <c r="Z344" s="39"/>
      <c r="AA344" s="33"/>
      <c r="AB344" s="39"/>
      <c r="AC344" s="40"/>
    </row>
    <row r="345">
      <c r="I345" s="40"/>
      <c r="J345" s="33"/>
      <c r="K345" s="33"/>
      <c r="L345" s="33"/>
      <c r="M345" s="34"/>
      <c r="N345" s="34"/>
      <c r="O345" s="39"/>
      <c r="Q345" s="53"/>
      <c r="U345" s="37"/>
      <c r="Y345" s="38"/>
      <c r="Z345" s="39"/>
      <c r="AA345" s="33"/>
      <c r="AB345" s="39"/>
      <c r="AC345" s="40"/>
    </row>
    <row r="346">
      <c r="I346" s="40"/>
      <c r="J346" s="33"/>
      <c r="K346" s="33"/>
      <c r="L346" s="33"/>
      <c r="M346" s="34"/>
      <c r="N346" s="34"/>
      <c r="O346" s="39"/>
      <c r="Q346" s="53"/>
      <c r="U346" s="37"/>
      <c r="Y346" s="38"/>
      <c r="Z346" s="39"/>
      <c r="AA346" s="33"/>
      <c r="AB346" s="39"/>
      <c r="AC346" s="40"/>
    </row>
    <row r="347">
      <c r="I347" s="40"/>
      <c r="J347" s="33"/>
      <c r="K347" s="33"/>
      <c r="L347" s="33"/>
      <c r="M347" s="34"/>
      <c r="N347" s="34"/>
      <c r="O347" s="39"/>
      <c r="Q347" s="53"/>
      <c r="U347" s="37"/>
      <c r="Y347" s="38"/>
      <c r="Z347" s="39"/>
      <c r="AA347" s="33"/>
      <c r="AB347" s="39"/>
      <c r="AC347" s="40"/>
    </row>
    <row r="348">
      <c r="I348" s="40"/>
      <c r="J348" s="33"/>
      <c r="K348" s="33"/>
      <c r="L348" s="33"/>
      <c r="M348" s="34"/>
      <c r="N348" s="34"/>
      <c r="O348" s="39"/>
      <c r="Q348" s="53"/>
      <c r="U348" s="37"/>
      <c r="Y348" s="38"/>
      <c r="Z348" s="39"/>
      <c r="AA348" s="33"/>
      <c r="AB348" s="39"/>
      <c r="AC348" s="40"/>
    </row>
    <row r="349">
      <c r="I349" s="40"/>
      <c r="J349" s="33"/>
      <c r="K349" s="33"/>
      <c r="L349" s="33"/>
      <c r="M349" s="34"/>
      <c r="N349" s="34"/>
      <c r="O349" s="39"/>
      <c r="Q349" s="53"/>
      <c r="U349" s="37"/>
      <c r="Y349" s="38"/>
      <c r="Z349" s="39"/>
      <c r="AA349" s="33"/>
      <c r="AB349" s="39"/>
      <c r="AC349" s="40"/>
    </row>
    <row r="350">
      <c r="I350" s="40"/>
      <c r="J350" s="33"/>
      <c r="K350" s="33"/>
      <c r="L350" s="33"/>
      <c r="M350" s="34"/>
      <c r="N350" s="34"/>
      <c r="O350" s="39"/>
      <c r="Q350" s="53"/>
      <c r="U350" s="37"/>
      <c r="Y350" s="38"/>
      <c r="Z350" s="39"/>
      <c r="AA350" s="33"/>
      <c r="AB350" s="39"/>
      <c r="AC350" s="40"/>
    </row>
    <row r="351">
      <c r="I351" s="40"/>
      <c r="J351" s="33"/>
      <c r="K351" s="33"/>
      <c r="L351" s="33"/>
      <c r="M351" s="34"/>
      <c r="N351" s="34"/>
      <c r="O351" s="39"/>
      <c r="Q351" s="53"/>
      <c r="U351" s="37"/>
      <c r="Y351" s="38"/>
      <c r="Z351" s="39"/>
      <c r="AA351" s="33"/>
      <c r="AB351" s="39"/>
      <c r="AC351" s="40"/>
    </row>
    <row r="352">
      <c r="I352" s="40"/>
      <c r="J352" s="33"/>
      <c r="K352" s="33"/>
      <c r="L352" s="33"/>
      <c r="M352" s="34"/>
      <c r="N352" s="34"/>
      <c r="O352" s="39"/>
      <c r="Q352" s="53"/>
      <c r="U352" s="37"/>
      <c r="Y352" s="38"/>
      <c r="Z352" s="39"/>
      <c r="AA352" s="33"/>
      <c r="AB352" s="39"/>
      <c r="AC352" s="40"/>
    </row>
    <row r="353">
      <c r="I353" s="40"/>
      <c r="J353" s="33"/>
      <c r="K353" s="33"/>
      <c r="L353" s="33"/>
      <c r="M353" s="34"/>
      <c r="N353" s="34"/>
      <c r="O353" s="39"/>
      <c r="Q353" s="53"/>
      <c r="U353" s="37"/>
      <c r="Y353" s="38"/>
      <c r="Z353" s="39"/>
      <c r="AA353" s="33"/>
      <c r="AB353" s="39"/>
      <c r="AC353" s="40"/>
    </row>
    <row r="354">
      <c r="I354" s="40"/>
      <c r="J354" s="33"/>
      <c r="K354" s="33"/>
      <c r="L354" s="33"/>
      <c r="M354" s="34"/>
      <c r="N354" s="34"/>
      <c r="O354" s="39"/>
      <c r="Q354" s="53"/>
      <c r="U354" s="37"/>
      <c r="Y354" s="38"/>
      <c r="Z354" s="39"/>
      <c r="AA354" s="33"/>
      <c r="AB354" s="39"/>
      <c r="AC354" s="40"/>
    </row>
    <row r="355">
      <c r="I355" s="40"/>
      <c r="J355" s="33"/>
      <c r="K355" s="33"/>
      <c r="L355" s="33"/>
      <c r="M355" s="34"/>
      <c r="N355" s="34"/>
      <c r="O355" s="39"/>
      <c r="Q355" s="53"/>
      <c r="U355" s="37"/>
      <c r="Y355" s="38"/>
      <c r="Z355" s="39"/>
      <c r="AA355" s="33"/>
      <c r="AB355" s="39"/>
      <c r="AC355" s="40"/>
    </row>
    <row r="356">
      <c r="I356" s="40"/>
      <c r="J356" s="33"/>
      <c r="K356" s="33"/>
      <c r="L356" s="33"/>
      <c r="M356" s="34"/>
      <c r="N356" s="34"/>
      <c r="O356" s="39"/>
      <c r="Q356" s="53"/>
      <c r="U356" s="37"/>
      <c r="Y356" s="38"/>
      <c r="Z356" s="39"/>
      <c r="AA356" s="33"/>
      <c r="AB356" s="39"/>
      <c r="AC356" s="40"/>
    </row>
    <row r="357">
      <c r="I357" s="40"/>
      <c r="J357" s="33"/>
      <c r="K357" s="33"/>
      <c r="L357" s="33"/>
      <c r="M357" s="34"/>
      <c r="N357" s="34"/>
      <c r="O357" s="39"/>
      <c r="Q357" s="53"/>
      <c r="U357" s="37"/>
      <c r="Y357" s="38"/>
      <c r="Z357" s="39"/>
      <c r="AA357" s="33"/>
      <c r="AB357" s="39"/>
      <c r="AC357" s="40"/>
    </row>
    <row r="358">
      <c r="I358" s="40"/>
      <c r="J358" s="33"/>
      <c r="K358" s="33"/>
      <c r="L358" s="33"/>
      <c r="M358" s="34"/>
      <c r="N358" s="34"/>
      <c r="O358" s="39"/>
      <c r="Q358" s="53"/>
      <c r="U358" s="37"/>
      <c r="Y358" s="38"/>
      <c r="Z358" s="39"/>
      <c r="AA358" s="33"/>
      <c r="AB358" s="39"/>
      <c r="AC358" s="40"/>
    </row>
    <row r="359">
      <c r="I359" s="40"/>
      <c r="J359" s="33"/>
      <c r="K359" s="33"/>
      <c r="L359" s="33"/>
      <c r="M359" s="34"/>
      <c r="N359" s="34"/>
      <c r="O359" s="39"/>
      <c r="Q359" s="53"/>
      <c r="U359" s="37"/>
      <c r="Y359" s="38"/>
      <c r="Z359" s="39"/>
      <c r="AA359" s="33"/>
      <c r="AB359" s="39"/>
      <c r="AC359" s="40"/>
    </row>
    <row r="360">
      <c r="I360" s="40"/>
      <c r="J360" s="33"/>
      <c r="K360" s="33"/>
      <c r="L360" s="33"/>
      <c r="M360" s="34"/>
      <c r="N360" s="34"/>
      <c r="O360" s="39"/>
      <c r="Q360" s="53"/>
      <c r="U360" s="37"/>
      <c r="Y360" s="38"/>
      <c r="Z360" s="39"/>
      <c r="AA360" s="33"/>
      <c r="AB360" s="39"/>
      <c r="AC360" s="40"/>
    </row>
    <row r="361">
      <c r="I361" s="40"/>
      <c r="J361" s="33"/>
      <c r="K361" s="33"/>
      <c r="L361" s="33"/>
      <c r="M361" s="34"/>
      <c r="N361" s="34"/>
      <c r="O361" s="39"/>
      <c r="Q361" s="53"/>
      <c r="U361" s="37"/>
      <c r="Y361" s="38"/>
      <c r="Z361" s="39"/>
      <c r="AA361" s="33"/>
      <c r="AB361" s="39"/>
      <c r="AC361" s="40"/>
    </row>
    <row r="362">
      <c r="I362" s="40"/>
      <c r="J362" s="33"/>
      <c r="K362" s="33"/>
      <c r="L362" s="33"/>
      <c r="M362" s="34"/>
      <c r="N362" s="34"/>
      <c r="O362" s="39"/>
      <c r="Q362" s="53"/>
      <c r="U362" s="37"/>
      <c r="Y362" s="38"/>
      <c r="Z362" s="39"/>
      <c r="AA362" s="33"/>
      <c r="AB362" s="39"/>
      <c r="AC362" s="40"/>
    </row>
    <row r="363">
      <c r="I363" s="40"/>
      <c r="J363" s="33"/>
      <c r="K363" s="33"/>
      <c r="L363" s="33"/>
      <c r="M363" s="34"/>
      <c r="N363" s="34"/>
      <c r="O363" s="39"/>
      <c r="Q363" s="53"/>
      <c r="U363" s="37"/>
      <c r="Y363" s="38"/>
      <c r="Z363" s="39"/>
      <c r="AA363" s="33"/>
      <c r="AB363" s="39"/>
      <c r="AC363" s="40"/>
    </row>
    <row r="364">
      <c r="I364" s="40"/>
      <c r="J364" s="33"/>
      <c r="K364" s="33"/>
      <c r="L364" s="33"/>
      <c r="M364" s="34"/>
      <c r="N364" s="34"/>
      <c r="O364" s="39"/>
      <c r="Q364" s="53"/>
      <c r="U364" s="37"/>
      <c r="Y364" s="38"/>
      <c r="Z364" s="39"/>
      <c r="AA364" s="33"/>
      <c r="AB364" s="39"/>
      <c r="AC364" s="40"/>
    </row>
    <row r="365">
      <c r="I365" s="40"/>
      <c r="J365" s="33"/>
      <c r="K365" s="33"/>
      <c r="L365" s="33"/>
      <c r="M365" s="34"/>
      <c r="N365" s="34"/>
      <c r="O365" s="39"/>
      <c r="Q365" s="53"/>
      <c r="U365" s="37"/>
      <c r="Y365" s="38"/>
      <c r="Z365" s="39"/>
      <c r="AA365" s="33"/>
      <c r="AB365" s="39"/>
      <c r="AC365" s="40"/>
    </row>
    <row r="366">
      <c r="I366" s="40"/>
      <c r="J366" s="33"/>
      <c r="K366" s="33"/>
      <c r="L366" s="33"/>
      <c r="M366" s="34"/>
      <c r="N366" s="34"/>
      <c r="O366" s="39"/>
      <c r="Q366" s="53"/>
      <c r="U366" s="37"/>
      <c r="Y366" s="38"/>
      <c r="Z366" s="39"/>
      <c r="AA366" s="33"/>
      <c r="AB366" s="39"/>
      <c r="AC366" s="40"/>
    </row>
    <row r="367">
      <c r="I367" s="40"/>
      <c r="J367" s="33"/>
      <c r="K367" s="33"/>
      <c r="L367" s="33"/>
      <c r="M367" s="34"/>
      <c r="N367" s="34"/>
      <c r="O367" s="39"/>
      <c r="Q367" s="53"/>
      <c r="U367" s="37"/>
      <c r="Y367" s="38"/>
      <c r="Z367" s="39"/>
      <c r="AA367" s="33"/>
      <c r="AB367" s="39"/>
      <c r="AC367" s="40"/>
    </row>
    <row r="368">
      <c r="I368" s="40"/>
      <c r="J368" s="33"/>
      <c r="K368" s="33"/>
      <c r="L368" s="33"/>
      <c r="M368" s="34"/>
      <c r="N368" s="34"/>
      <c r="O368" s="39"/>
      <c r="Q368" s="53"/>
      <c r="U368" s="37"/>
      <c r="Y368" s="38"/>
      <c r="Z368" s="39"/>
      <c r="AA368" s="33"/>
      <c r="AB368" s="39"/>
      <c r="AC368" s="40"/>
    </row>
    <row r="369">
      <c r="I369" s="40"/>
      <c r="J369" s="33"/>
      <c r="K369" s="33"/>
      <c r="L369" s="33"/>
      <c r="M369" s="34"/>
      <c r="N369" s="34"/>
      <c r="O369" s="39"/>
      <c r="Q369" s="53"/>
      <c r="U369" s="37"/>
      <c r="Y369" s="38"/>
      <c r="Z369" s="39"/>
      <c r="AA369" s="33"/>
      <c r="AB369" s="39"/>
      <c r="AC369" s="40"/>
    </row>
    <row r="370">
      <c r="I370" s="40"/>
      <c r="J370" s="33"/>
      <c r="K370" s="33"/>
      <c r="L370" s="33"/>
      <c r="M370" s="34"/>
      <c r="N370" s="34"/>
      <c r="O370" s="39"/>
      <c r="Q370" s="53"/>
      <c r="U370" s="37"/>
      <c r="Y370" s="38"/>
      <c r="Z370" s="39"/>
      <c r="AA370" s="33"/>
      <c r="AB370" s="39"/>
      <c r="AC370" s="40"/>
    </row>
    <row r="371">
      <c r="I371" s="40"/>
      <c r="J371" s="33"/>
      <c r="K371" s="33"/>
      <c r="L371" s="33"/>
      <c r="M371" s="34"/>
      <c r="N371" s="34"/>
      <c r="O371" s="39"/>
      <c r="Q371" s="53"/>
      <c r="U371" s="37"/>
      <c r="Y371" s="38"/>
      <c r="Z371" s="39"/>
      <c r="AA371" s="33"/>
      <c r="AB371" s="39"/>
      <c r="AC371" s="40"/>
    </row>
    <row r="372">
      <c r="I372" s="40"/>
      <c r="J372" s="33"/>
      <c r="K372" s="33"/>
      <c r="L372" s="33"/>
      <c r="M372" s="34"/>
      <c r="N372" s="34"/>
      <c r="O372" s="39"/>
      <c r="Q372" s="53"/>
      <c r="U372" s="37"/>
      <c r="Y372" s="38"/>
      <c r="Z372" s="39"/>
      <c r="AA372" s="33"/>
      <c r="AB372" s="39"/>
      <c r="AC372" s="40"/>
    </row>
    <row r="373">
      <c r="I373" s="40"/>
      <c r="J373" s="33"/>
      <c r="K373" s="33"/>
      <c r="L373" s="33"/>
      <c r="M373" s="34"/>
      <c r="N373" s="34"/>
      <c r="O373" s="39"/>
      <c r="Q373" s="53"/>
      <c r="U373" s="37"/>
      <c r="Y373" s="38"/>
      <c r="Z373" s="39"/>
      <c r="AA373" s="33"/>
      <c r="AB373" s="39"/>
      <c r="AC373" s="40"/>
    </row>
    <row r="374">
      <c r="I374" s="40"/>
      <c r="J374" s="33"/>
      <c r="K374" s="33"/>
      <c r="L374" s="33"/>
      <c r="M374" s="34"/>
      <c r="N374" s="34"/>
      <c r="O374" s="39"/>
      <c r="Q374" s="53"/>
      <c r="U374" s="37"/>
      <c r="Y374" s="38"/>
      <c r="Z374" s="39"/>
      <c r="AA374" s="33"/>
      <c r="AB374" s="39"/>
      <c r="AC374" s="40"/>
    </row>
    <row r="375">
      <c r="I375" s="40"/>
      <c r="J375" s="33"/>
      <c r="K375" s="33"/>
      <c r="L375" s="33"/>
      <c r="M375" s="34"/>
      <c r="N375" s="34"/>
      <c r="O375" s="39"/>
      <c r="Q375" s="53"/>
      <c r="U375" s="37"/>
      <c r="Y375" s="38"/>
      <c r="Z375" s="39"/>
      <c r="AA375" s="33"/>
      <c r="AB375" s="39"/>
      <c r="AC375" s="40"/>
    </row>
    <row r="376">
      <c r="I376" s="40"/>
      <c r="J376" s="33"/>
      <c r="K376" s="33"/>
      <c r="L376" s="33"/>
      <c r="M376" s="34"/>
      <c r="N376" s="34"/>
      <c r="O376" s="39"/>
      <c r="Q376" s="53"/>
      <c r="U376" s="37"/>
      <c r="Y376" s="38"/>
      <c r="Z376" s="39"/>
      <c r="AA376" s="33"/>
      <c r="AB376" s="39"/>
      <c r="AC376" s="40"/>
    </row>
    <row r="377">
      <c r="I377" s="40"/>
      <c r="J377" s="33"/>
      <c r="K377" s="33"/>
      <c r="L377" s="33"/>
      <c r="M377" s="34"/>
      <c r="N377" s="34"/>
      <c r="O377" s="39"/>
      <c r="Q377" s="53"/>
      <c r="U377" s="37"/>
      <c r="Y377" s="38"/>
      <c r="Z377" s="39"/>
      <c r="AA377" s="33"/>
      <c r="AB377" s="39"/>
      <c r="AC377" s="40"/>
    </row>
    <row r="378">
      <c r="I378" s="40"/>
      <c r="J378" s="33"/>
      <c r="K378" s="33"/>
      <c r="L378" s="33"/>
      <c r="M378" s="34"/>
      <c r="N378" s="34"/>
      <c r="O378" s="39"/>
      <c r="Q378" s="53"/>
      <c r="U378" s="37"/>
      <c r="Y378" s="38"/>
      <c r="Z378" s="39"/>
      <c r="AA378" s="33"/>
      <c r="AB378" s="39"/>
      <c r="AC378" s="40"/>
    </row>
    <row r="379">
      <c r="I379" s="40"/>
      <c r="J379" s="33"/>
      <c r="K379" s="33"/>
      <c r="L379" s="33"/>
      <c r="M379" s="34"/>
      <c r="N379" s="34"/>
      <c r="O379" s="39"/>
      <c r="Q379" s="53"/>
      <c r="U379" s="37"/>
      <c r="Y379" s="38"/>
      <c r="Z379" s="39"/>
      <c r="AA379" s="33"/>
      <c r="AB379" s="39"/>
      <c r="AC379" s="40"/>
    </row>
    <row r="380">
      <c r="I380" s="40"/>
      <c r="J380" s="33"/>
      <c r="K380" s="33"/>
      <c r="L380" s="33"/>
      <c r="M380" s="34"/>
      <c r="N380" s="34"/>
      <c r="O380" s="39"/>
      <c r="Q380" s="53"/>
      <c r="U380" s="37"/>
      <c r="Y380" s="38"/>
      <c r="Z380" s="39"/>
      <c r="AA380" s="33"/>
      <c r="AB380" s="39"/>
      <c r="AC380" s="40"/>
    </row>
    <row r="381">
      <c r="I381" s="40"/>
      <c r="J381" s="33"/>
      <c r="K381" s="33"/>
      <c r="L381" s="33"/>
      <c r="M381" s="34"/>
      <c r="N381" s="34"/>
      <c r="O381" s="39"/>
      <c r="Q381" s="53"/>
      <c r="U381" s="37"/>
      <c r="Y381" s="38"/>
      <c r="Z381" s="39"/>
      <c r="AA381" s="33"/>
      <c r="AB381" s="39"/>
      <c r="AC381" s="40"/>
    </row>
    <row r="382">
      <c r="I382" s="40"/>
      <c r="J382" s="33"/>
      <c r="K382" s="33"/>
      <c r="L382" s="33"/>
      <c r="M382" s="34"/>
      <c r="N382" s="34"/>
      <c r="O382" s="39"/>
      <c r="Q382" s="53"/>
      <c r="U382" s="37"/>
      <c r="Y382" s="38"/>
      <c r="Z382" s="39"/>
      <c r="AA382" s="33"/>
      <c r="AB382" s="39"/>
      <c r="AC382" s="40"/>
    </row>
    <row r="383">
      <c r="I383" s="40"/>
      <c r="J383" s="33"/>
      <c r="K383" s="33"/>
      <c r="L383" s="33"/>
      <c r="M383" s="34"/>
      <c r="N383" s="34"/>
      <c r="O383" s="39"/>
      <c r="Q383" s="53"/>
      <c r="U383" s="37"/>
      <c r="Y383" s="38"/>
      <c r="Z383" s="39"/>
      <c r="AA383" s="33"/>
      <c r="AB383" s="39"/>
      <c r="AC383" s="40"/>
    </row>
    <row r="384">
      <c r="I384" s="40"/>
      <c r="J384" s="33"/>
      <c r="K384" s="33"/>
      <c r="L384" s="33"/>
      <c r="M384" s="34"/>
      <c r="N384" s="34"/>
      <c r="O384" s="39"/>
      <c r="Q384" s="53"/>
      <c r="U384" s="37"/>
      <c r="Y384" s="38"/>
      <c r="Z384" s="39"/>
      <c r="AA384" s="33"/>
      <c r="AB384" s="39"/>
      <c r="AC384" s="40"/>
    </row>
    <row r="385">
      <c r="I385" s="40"/>
      <c r="J385" s="33"/>
      <c r="K385" s="33"/>
      <c r="L385" s="33"/>
      <c r="M385" s="34"/>
      <c r="N385" s="34"/>
      <c r="O385" s="39"/>
      <c r="Q385" s="53"/>
      <c r="U385" s="37"/>
      <c r="Y385" s="38"/>
      <c r="Z385" s="39"/>
      <c r="AA385" s="33"/>
      <c r="AB385" s="39"/>
      <c r="AC385" s="40"/>
    </row>
    <row r="386">
      <c r="I386" s="40"/>
      <c r="J386" s="33"/>
      <c r="K386" s="33"/>
      <c r="L386" s="33"/>
      <c r="M386" s="34"/>
      <c r="N386" s="34"/>
      <c r="O386" s="39"/>
      <c r="Q386" s="53"/>
      <c r="U386" s="37"/>
      <c r="Y386" s="38"/>
      <c r="Z386" s="39"/>
      <c r="AA386" s="33"/>
      <c r="AB386" s="39"/>
      <c r="AC386" s="40"/>
    </row>
    <row r="387">
      <c r="I387" s="40"/>
      <c r="J387" s="33"/>
      <c r="K387" s="33"/>
      <c r="L387" s="33"/>
      <c r="M387" s="34"/>
      <c r="N387" s="34"/>
      <c r="O387" s="39"/>
      <c r="Q387" s="53"/>
      <c r="U387" s="37"/>
      <c r="Y387" s="38"/>
      <c r="Z387" s="39"/>
      <c r="AA387" s="33"/>
      <c r="AB387" s="39"/>
      <c r="AC387" s="40"/>
    </row>
    <row r="388">
      <c r="I388" s="40"/>
      <c r="J388" s="33"/>
      <c r="K388" s="33"/>
      <c r="L388" s="33"/>
      <c r="M388" s="34"/>
      <c r="N388" s="34"/>
      <c r="O388" s="39"/>
      <c r="Q388" s="53"/>
      <c r="U388" s="37"/>
      <c r="Y388" s="38"/>
      <c r="Z388" s="39"/>
      <c r="AA388" s="33"/>
      <c r="AB388" s="39"/>
      <c r="AC388" s="40"/>
    </row>
    <row r="389">
      <c r="I389" s="40"/>
      <c r="J389" s="33"/>
      <c r="K389" s="33"/>
      <c r="L389" s="33"/>
      <c r="M389" s="34"/>
      <c r="N389" s="34"/>
      <c r="O389" s="39"/>
      <c r="Q389" s="53"/>
      <c r="U389" s="37"/>
      <c r="Y389" s="38"/>
      <c r="Z389" s="39"/>
      <c r="AA389" s="33"/>
      <c r="AB389" s="39"/>
      <c r="AC389" s="40"/>
    </row>
    <row r="390">
      <c r="I390" s="40"/>
      <c r="J390" s="33"/>
      <c r="K390" s="33"/>
      <c r="L390" s="33"/>
      <c r="M390" s="34"/>
      <c r="N390" s="34"/>
      <c r="O390" s="39"/>
      <c r="Q390" s="53"/>
      <c r="U390" s="37"/>
      <c r="Y390" s="38"/>
      <c r="Z390" s="39"/>
      <c r="AA390" s="33"/>
      <c r="AB390" s="39"/>
      <c r="AC390" s="40"/>
    </row>
    <row r="391">
      <c r="I391" s="40"/>
      <c r="J391" s="33"/>
      <c r="K391" s="33"/>
      <c r="L391" s="33"/>
      <c r="M391" s="34"/>
      <c r="N391" s="34"/>
      <c r="O391" s="39"/>
      <c r="Q391" s="53"/>
      <c r="U391" s="37"/>
      <c r="Y391" s="38"/>
      <c r="Z391" s="39"/>
      <c r="AA391" s="33"/>
      <c r="AB391" s="39"/>
      <c r="AC391" s="40"/>
    </row>
    <row r="392">
      <c r="I392" s="40"/>
      <c r="J392" s="33"/>
      <c r="K392" s="33"/>
      <c r="L392" s="33"/>
      <c r="M392" s="34"/>
      <c r="N392" s="34"/>
      <c r="O392" s="39"/>
      <c r="Q392" s="53"/>
      <c r="U392" s="37"/>
      <c r="Y392" s="38"/>
      <c r="Z392" s="39"/>
      <c r="AA392" s="33"/>
      <c r="AB392" s="39"/>
      <c r="AC392" s="40"/>
    </row>
    <row r="393">
      <c r="I393" s="40"/>
      <c r="J393" s="33"/>
      <c r="K393" s="33"/>
      <c r="L393" s="33"/>
      <c r="M393" s="34"/>
      <c r="N393" s="34"/>
      <c r="O393" s="39"/>
      <c r="Q393" s="53"/>
      <c r="U393" s="37"/>
      <c r="Y393" s="38"/>
      <c r="Z393" s="39"/>
      <c r="AA393" s="33"/>
      <c r="AB393" s="39"/>
      <c r="AC393" s="40"/>
    </row>
    <row r="394">
      <c r="I394" s="40"/>
      <c r="J394" s="33"/>
      <c r="K394" s="33"/>
      <c r="L394" s="33"/>
      <c r="M394" s="34"/>
      <c r="N394" s="34"/>
      <c r="O394" s="39"/>
      <c r="Q394" s="53"/>
      <c r="U394" s="37"/>
      <c r="Y394" s="38"/>
      <c r="Z394" s="39"/>
      <c r="AA394" s="33"/>
      <c r="AB394" s="39"/>
      <c r="AC394" s="40"/>
    </row>
    <row r="395">
      <c r="I395" s="40"/>
      <c r="J395" s="33"/>
      <c r="K395" s="33"/>
      <c r="L395" s="33"/>
      <c r="M395" s="34"/>
      <c r="N395" s="34"/>
      <c r="O395" s="39"/>
      <c r="Q395" s="53"/>
      <c r="U395" s="37"/>
      <c r="Y395" s="38"/>
      <c r="Z395" s="39"/>
      <c r="AA395" s="33"/>
      <c r="AB395" s="39"/>
      <c r="AC395" s="40"/>
    </row>
    <row r="396">
      <c r="I396" s="40"/>
      <c r="J396" s="33"/>
      <c r="K396" s="33"/>
      <c r="L396" s="33"/>
      <c r="M396" s="34"/>
      <c r="N396" s="34"/>
      <c r="O396" s="39"/>
      <c r="Q396" s="53"/>
      <c r="U396" s="37"/>
      <c r="Y396" s="38"/>
      <c r="Z396" s="39"/>
      <c r="AA396" s="33"/>
      <c r="AB396" s="39"/>
      <c r="AC396" s="40"/>
    </row>
    <row r="397">
      <c r="I397" s="40"/>
      <c r="J397" s="33"/>
      <c r="K397" s="33"/>
      <c r="L397" s="33"/>
      <c r="M397" s="34"/>
      <c r="N397" s="34"/>
      <c r="O397" s="39"/>
      <c r="Q397" s="53"/>
      <c r="U397" s="37"/>
      <c r="Y397" s="38"/>
      <c r="Z397" s="39"/>
      <c r="AA397" s="33"/>
      <c r="AB397" s="39"/>
      <c r="AC397" s="40"/>
    </row>
    <row r="398">
      <c r="I398" s="40"/>
      <c r="J398" s="33"/>
      <c r="K398" s="33"/>
      <c r="L398" s="33"/>
      <c r="M398" s="34"/>
      <c r="N398" s="34"/>
      <c r="O398" s="39"/>
      <c r="Q398" s="53"/>
      <c r="U398" s="37"/>
      <c r="Y398" s="38"/>
      <c r="Z398" s="39"/>
      <c r="AA398" s="33"/>
      <c r="AB398" s="39"/>
      <c r="AC398" s="40"/>
    </row>
    <row r="399">
      <c r="I399" s="40"/>
      <c r="J399" s="33"/>
      <c r="K399" s="33"/>
      <c r="L399" s="33"/>
      <c r="M399" s="34"/>
      <c r="N399" s="34"/>
      <c r="O399" s="39"/>
      <c r="Q399" s="53"/>
      <c r="U399" s="37"/>
      <c r="Y399" s="38"/>
      <c r="Z399" s="39"/>
      <c r="AA399" s="33"/>
      <c r="AB399" s="39"/>
      <c r="AC399" s="40"/>
    </row>
    <row r="400">
      <c r="I400" s="40"/>
      <c r="J400" s="33"/>
      <c r="K400" s="33"/>
      <c r="L400" s="33"/>
      <c r="M400" s="34"/>
      <c r="N400" s="34"/>
      <c r="O400" s="39"/>
      <c r="Q400" s="53"/>
      <c r="U400" s="37"/>
      <c r="Y400" s="38"/>
      <c r="Z400" s="39"/>
      <c r="AA400" s="33"/>
      <c r="AB400" s="39"/>
      <c r="AC400" s="40"/>
    </row>
    <row r="401">
      <c r="I401" s="40"/>
      <c r="J401" s="33"/>
      <c r="K401" s="33"/>
      <c r="L401" s="33"/>
      <c r="M401" s="34"/>
      <c r="N401" s="34"/>
      <c r="O401" s="39"/>
      <c r="Q401" s="53"/>
      <c r="U401" s="37"/>
      <c r="Y401" s="38"/>
      <c r="Z401" s="39"/>
      <c r="AA401" s="33"/>
      <c r="AB401" s="39"/>
      <c r="AC401" s="40"/>
    </row>
    <row r="402">
      <c r="I402" s="40"/>
      <c r="J402" s="33"/>
      <c r="K402" s="33"/>
      <c r="L402" s="33"/>
      <c r="M402" s="34"/>
      <c r="N402" s="34"/>
      <c r="O402" s="39"/>
      <c r="Q402" s="53"/>
      <c r="U402" s="37"/>
      <c r="Y402" s="38"/>
      <c r="Z402" s="39"/>
      <c r="AA402" s="33"/>
      <c r="AB402" s="39"/>
      <c r="AC402" s="40"/>
    </row>
    <row r="403">
      <c r="I403" s="40"/>
      <c r="J403" s="33"/>
      <c r="K403" s="33"/>
      <c r="L403" s="33"/>
      <c r="M403" s="34"/>
      <c r="N403" s="34"/>
      <c r="O403" s="39"/>
      <c r="Q403" s="53"/>
      <c r="U403" s="37"/>
      <c r="Y403" s="38"/>
      <c r="Z403" s="39"/>
      <c r="AA403" s="33"/>
      <c r="AB403" s="39"/>
      <c r="AC403" s="40"/>
    </row>
    <row r="404">
      <c r="I404" s="40"/>
      <c r="J404" s="33"/>
      <c r="K404" s="33"/>
      <c r="L404" s="33"/>
      <c r="M404" s="34"/>
      <c r="N404" s="34"/>
      <c r="O404" s="39"/>
      <c r="Q404" s="53"/>
      <c r="U404" s="37"/>
      <c r="Y404" s="38"/>
      <c r="Z404" s="39"/>
      <c r="AA404" s="33"/>
      <c r="AB404" s="39"/>
      <c r="AC404" s="40"/>
    </row>
    <row r="405">
      <c r="I405" s="40"/>
      <c r="J405" s="33"/>
      <c r="K405" s="33"/>
      <c r="L405" s="33"/>
      <c r="M405" s="34"/>
      <c r="N405" s="34"/>
      <c r="O405" s="39"/>
      <c r="Q405" s="53"/>
      <c r="U405" s="37"/>
      <c r="Y405" s="38"/>
      <c r="Z405" s="39"/>
      <c r="AA405" s="33"/>
      <c r="AB405" s="39"/>
      <c r="AC405" s="40"/>
    </row>
    <row r="406">
      <c r="I406" s="40"/>
      <c r="J406" s="33"/>
      <c r="K406" s="33"/>
      <c r="L406" s="33"/>
      <c r="M406" s="34"/>
      <c r="N406" s="34"/>
      <c r="O406" s="39"/>
      <c r="Q406" s="53"/>
      <c r="U406" s="37"/>
      <c r="Y406" s="38"/>
      <c r="Z406" s="39"/>
      <c r="AA406" s="33"/>
      <c r="AB406" s="39"/>
      <c r="AC406" s="40"/>
    </row>
    <row r="407">
      <c r="I407" s="40"/>
      <c r="J407" s="33"/>
      <c r="K407" s="33"/>
      <c r="L407" s="33"/>
      <c r="M407" s="34"/>
      <c r="N407" s="34"/>
      <c r="O407" s="39"/>
      <c r="Q407" s="53"/>
      <c r="U407" s="37"/>
      <c r="Y407" s="38"/>
      <c r="Z407" s="39"/>
      <c r="AA407" s="33"/>
      <c r="AB407" s="39"/>
      <c r="AC407" s="40"/>
    </row>
    <row r="408">
      <c r="I408" s="40"/>
      <c r="J408" s="33"/>
      <c r="K408" s="33"/>
      <c r="L408" s="33"/>
      <c r="M408" s="34"/>
      <c r="N408" s="34"/>
      <c r="O408" s="39"/>
      <c r="Q408" s="53"/>
      <c r="U408" s="37"/>
      <c r="Y408" s="38"/>
      <c r="Z408" s="39"/>
      <c r="AA408" s="33"/>
      <c r="AB408" s="39"/>
      <c r="AC408" s="40"/>
    </row>
    <row r="409">
      <c r="I409" s="40"/>
      <c r="J409" s="33"/>
      <c r="K409" s="33"/>
      <c r="L409" s="33"/>
      <c r="M409" s="34"/>
      <c r="N409" s="34"/>
      <c r="O409" s="39"/>
      <c r="Q409" s="53"/>
      <c r="U409" s="37"/>
      <c r="Y409" s="38"/>
      <c r="Z409" s="39"/>
      <c r="AA409" s="33"/>
      <c r="AB409" s="39"/>
      <c r="AC409" s="40"/>
    </row>
    <row r="410">
      <c r="I410" s="40"/>
      <c r="J410" s="33"/>
      <c r="K410" s="33"/>
      <c r="L410" s="33"/>
      <c r="M410" s="34"/>
      <c r="N410" s="34"/>
      <c r="O410" s="39"/>
      <c r="Q410" s="53"/>
      <c r="U410" s="37"/>
      <c r="Y410" s="38"/>
      <c r="Z410" s="39"/>
      <c r="AA410" s="33"/>
      <c r="AB410" s="39"/>
      <c r="AC410" s="40"/>
    </row>
    <row r="411">
      <c r="I411" s="40"/>
      <c r="J411" s="33"/>
      <c r="K411" s="33"/>
      <c r="L411" s="33"/>
      <c r="M411" s="34"/>
      <c r="N411" s="34"/>
      <c r="O411" s="39"/>
      <c r="Q411" s="53"/>
      <c r="U411" s="37"/>
      <c r="Y411" s="38"/>
      <c r="Z411" s="39"/>
      <c r="AA411" s="33"/>
      <c r="AB411" s="39"/>
      <c r="AC411" s="40"/>
    </row>
    <row r="412">
      <c r="I412" s="40"/>
      <c r="J412" s="33"/>
      <c r="K412" s="33"/>
      <c r="L412" s="33"/>
      <c r="M412" s="34"/>
      <c r="N412" s="34"/>
      <c r="O412" s="39"/>
      <c r="Q412" s="53"/>
      <c r="U412" s="37"/>
      <c r="Y412" s="38"/>
      <c r="Z412" s="39"/>
      <c r="AA412" s="33"/>
      <c r="AB412" s="39"/>
      <c r="AC412" s="40"/>
    </row>
    <row r="413">
      <c r="I413" s="40"/>
      <c r="J413" s="33"/>
      <c r="K413" s="33"/>
      <c r="L413" s="33"/>
      <c r="M413" s="34"/>
      <c r="N413" s="34"/>
      <c r="O413" s="39"/>
      <c r="Q413" s="53"/>
      <c r="U413" s="37"/>
      <c r="Y413" s="38"/>
      <c r="Z413" s="39"/>
      <c r="AA413" s="33"/>
      <c r="AB413" s="39"/>
      <c r="AC413" s="40"/>
    </row>
    <row r="414">
      <c r="I414" s="40"/>
      <c r="J414" s="33"/>
      <c r="K414" s="33"/>
      <c r="L414" s="33"/>
      <c r="M414" s="34"/>
      <c r="N414" s="34"/>
      <c r="O414" s="39"/>
      <c r="Q414" s="53"/>
      <c r="U414" s="37"/>
      <c r="Y414" s="38"/>
      <c r="Z414" s="39"/>
      <c r="AA414" s="33"/>
      <c r="AB414" s="39"/>
      <c r="AC414" s="40"/>
    </row>
    <row r="415">
      <c r="I415" s="40"/>
      <c r="J415" s="33"/>
      <c r="K415" s="33"/>
      <c r="L415" s="33"/>
      <c r="M415" s="34"/>
      <c r="N415" s="34"/>
      <c r="O415" s="39"/>
      <c r="Q415" s="53"/>
      <c r="U415" s="37"/>
      <c r="Y415" s="38"/>
      <c r="Z415" s="39"/>
      <c r="AA415" s="33"/>
      <c r="AB415" s="39"/>
      <c r="AC415" s="40"/>
    </row>
    <row r="416">
      <c r="I416" s="40"/>
      <c r="J416" s="33"/>
      <c r="K416" s="33"/>
      <c r="L416" s="33"/>
      <c r="M416" s="34"/>
      <c r="N416" s="34"/>
      <c r="O416" s="39"/>
      <c r="Q416" s="53"/>
      <c r="U416" s="37"/>
      <c r="Y416" s="38"/>
      <c r="Z416" s="39"/>
      <c r="AA416" s="33"/>
      <c r="AB416" s="39"/>
      <c r="AC416" s="40"/>
    </row>
    <row r="417">
      <c r="I417" s="40"/>
      <c r="J417" s="33"/>
      <c r="K417" s="33"/>
      <c r="L417" s="33"/>
      <c r="M417" s="34"/>
      <c r="N417" s="34"/>
      <c r="O417" s="39"/>
      <c r="Q417" s="53"/>
      <c r="U417" s="37"/>
      <c r="Y417" s="38"/>
      <c r="Z417" s="39"/>
      <c r="AA417" s="33"/>
      <c r="AB417" s="39"/>
      <c r="AC417" s="40"/>
    </row>
    <row r="418">
      <c r="I418" s="40"/>
      <c r="J418" s="33"/>
      <c r="K418" s="33"/>
      <c r="L418" s="33"/>
      <c r="M418" s="34"/>
      <c r="N418" s="34"/>
      <c r="O418" s="39"/>
      <c r="Q418" s="53"/>
      <c r="U418" s="37"/>
      <c r="Y418" s="38"/>
      <c r="Z418" s="39"/>
      <c r="AA418" s="33"/>
      <c r="AB418" s="39"/>
      <c r="AC418" s="40"/>
    </row>
    <row r="419">
      <c r="I419" s="40"/>
      <c r="J419" s="33"/>
      <c r="K419" s="33"/>
      <c r="L419" s="33"/>
      <c r="M419" s="34"/>
      <c r="N419" s="34"/>
      <c r="O419" s="39"/>
      <c r="Q419" s="53"/>
      <c r="U419" s="37"/>
      <c r="Y419" s="38"/>
      <c r="Z419" s="39"/>
      <c r="AA419" s="33"/>
      <c r="AB419" s="39"/>
      <c r="AC419" s="40"/>
    </row>
    <row r="420">
      <c r="I420" s="40"/>
      <c r="J420" s="33"/>
      <c r="K420" s="33"/>
      <c r="L420" s="33"/>
      <c r="M420" s="34"/>
      <c r="N420" s="34"/>
      <c r="O420" s="39"/>
      <c r="Q420" s="53"/>
      <c r="U420" s="37"/>
      <c r="Y420" s="38"/>
      <c r="Z420" s="39"/>
      <c r="AA420" s="33"/>
      <c r="AB420" s="39"/>
      <c r="AC420" s="40"/>
    </row>
    <row r="421">
      <c r="I421" s="40"/>
      <c r="J421" s="33"/>
      <c r="K421" s="33"/>
      <c r="L421" s="33"/>
      <c r="M421" s="34"/>
      <c r="N421" s="34"/>
      <c r="O421" s="39"/>
      <c r="Q421" s="53"/>
      <c r="U421" s="37"/>
      <c r="Y421" s="38"/>
      <c r="Z421" s="39"/>
      <c r="AA421" s="33"/>
      <c r="AB421" s="39"/>
      <c r="AC421" s="40"/>
    </row>
    <row r="422">
      <c r="I422" s="40"/>
      <c r="J422" s="33"/>
      <c r="K422" s="33"/>
      <c r="L422" s="33"/>
      <c r="M422" s="34"/>
      <c r="N422" s="34"/>
      <c r="O422" s="39"/>
      <c r="Q422" s="53"/>
      <c r="U422" s="37"/>
      <c r="Y422" s="38"/>
      <c r="Z422" s="39"/>
      <c r="AA422" s="33"/>
      <c r="AB422" s="39"/>
      <c r="AC422" s="40"/>
    </row>
    <row r="423">
      <c r="I423" s="40"/>
      <c r="J423" s="33"/>
      <c r="K423" s="33"/>
      <c r="L423" s="33"/>
      <c r="M423" s="34"/>
      <c r="N423" s="34"/>
      <c r="O423" s="39"/>
      <c r="Q423" s="53"/>
      <c r="U423" s="37"/>
      <c r="Y423" s="38"/>
      <c r="Z423" s="39"/>
      <c r="AA423" s="33"/>
      <c r="AB423" s="39"/>
      <c r="AC423" s="40"/>
    </row>
    <row r="424">
      <c r="I424" s="40"/>
      <c r="J424" s="33"/>
      <c r="K424" s="33"/>
      <c r="L424" s="33"/>
      <c r="M424" s="34"/>
      <c r="N424" s="34"/>
      <c r="O424" s="39"/>
      <c r="Q424" s="53"/>
      <c r="U424" s="37"/>
      <c r="Y424" s="38"/>
      <c r="Z424" s="39"/>
      <c r="AA424" s="33"/>
      <c r="AB424" s="39"/>
      <c r="AC424" s="40"/>
    </row>
    <row r="425">
      <c r="I425" s="40"/>
      <c r="J425" s="33"/>
      <c r="K425" s="33"/>
      <c r="L425" s="33"/>
      <c r="M425" s="34"/>
      <c r="N425" s="34"/>
      <c r="O425" s="39"/>
      <c r="Q425" s="53"/>
      <c r="U425" s="37"/>
      <c r="Y425" s="38"/>
      <c r="Z425" s="39"/>
      <c r="AA425" s="33"/>
      <c r="AB425" s="39"/>
      <c r="AC425" s="40"/>
    </row>
    <row r="426">
      <c r="I426" s="40"/>
      <c r="J426" s="33"/>
      <c r="K426" s="33"/>
      <c r="L426" s="33"/>
      <c r="M426" s="34"/>
      <c r="N426" s="34"/>
      <c r="O426" s="39"/>
      <c r="Q426" s="53"/>
      <c r="U426" s="37"/>
      <c r="Y426" s="38"/>
      <c r="Z426" s="39"/>
      <c r="AA426" s="33"/>
      <c r="AB426" s="39"/>
      <c r="AC426" s="40"/>
    </row>
    <row r="427">
      <c r="I427" s="40"/>
      <c r="J427" s="33"/>
      <c r="K427" s="33"/>
      <c r="L427" s="33"/>
      <c r="M427" s="34"/>
      <c r="N427" s="34"/>
      <c r="O427" s="39"/>
      <c r="Q427" s="53"/>
      <c r="U427" s="37"/>
      <c r="Y427" s="38"/>
      <c r="Z427" s="39"/>
      <c r="AA427" s="33"/>
      <c r="AB427" s="39"/>
      <c r="AC427" s="40"/>
    </row>
    <row r="428">
      <c r="I428" s="40"/>
      <c r="J428" s="33"/>
      <c r="K428" s="33"/>
      <c r="L428" s="33"/>
      <c r="M428" s="34"/>
      <c r="N428" s="34"/>
      <c r="O428" s="39"/>
      <c r="Q428" s="53"/>
      <c r="U428" s="37"/>
      <c r="Y428" s="38"/>
      <c r="Z428" s="39"/>
      <c r="AA428" s="33"/>
      <c r="AB428" s="39"/>
      <c r="AC428" s="40"/>
    </row>
    <row r="429">
      <c r="I429" s="40"/>
      <c r="J429" s="33"/>
      <c r="K429" s="33"/>
      <c r="L429" s="33"/>
      <c r="M429" s="34"/>
      <c r="N429" s="34"/>
      <c r="O429" s="39"/>
      <c r="Q429" s="53"/>
      <c r="U429" s="37"/>
      <c r="Y429" s="38"/>
      <c r="Z429" s="39"/>
      <c r="AA429" s="33"/>
      <c r="AB429" s="39"/>
      <c r="AC429" s="40"/>
    </row>
    <row r="430">
      <c r="I430" s="40"/>
      <c r="J430" s="33"/>
      <c r="K430" s="33"/>
      <c r="L430" s="33"/>
      <c r="M430" s="34"/>
      <c r="N430" s="34"/>
      <c r="O430" s="39"/>
      <c r="Q430" s="53"/>
      <c r="U430" s="37"/>
      <c r="Y430" s="38"/>
      <c r="Z430" s="39"/>
      <c r="AA430" s="33"/>
      <c r="AB430" s="39"/>
      <c r="AC430" s="40"/>
    </row>
    <row r="431">
      <c r="I431" s="40"/>
      <c r="J431" s="33"/>
      <c r="K431" s="33"/>
      <c r="L431" s="33"/>
      <c r="M431" s="34"/>
      <c r="N431" s="34"/>
      <c r="O431" s="39"/>
      <c r="Q431" s="53"/>
      <c r="U431" s="37"/>
      <c r="Y431" s="38"/>
      <c r="Z431" s="39"/>
      <c r="AA431" s="33"/>
      <c r="AB431" s="39"/>
      <c r="AC431" s="40"/>
    </row>
    <row r="432">
      <c r="I432" s="40"/>
      <c r="J432" s="33"/>
      <c r="K432" s="33"/>
      <c r="L432" s="33"/>
      <c r="M432" s="34"/>
      <c r="N432" s="34"/>
      <c r="O432" s="39"/>
      <c r="Q432" s="53"/>
      <c r="U432" s="37"/>
      <c r="Y432" s="38"/>
      <c r="Z432" s="39"/>
      <c r="AA432" s="33"/>
      <c r="AB432" s="39"/>
      <c r="AC432" s="40"/>
    </row>
    <row r="433">
      <c r="I433" s="40"/>
      <c r="J433" s="33"/>
      <c r="K433" s="33"/>
      <c r="L433" s="33"/>
      <c r="M433" s="34"/>
      <c r="N433" s="34"/>
      <c r="O433" s="39"/>
      <c r="Q433" s="53"/>
      <c r="U433" s="37"/>
      <c r="Y433" s="38"/>
      <c r="Z433" s="39"/>
      <c r="AA433" s="33"/>
      <c r="AB433" s="39"/>
      <c r="AC433" s="40"/>
    </row>
    <row r="434">
      <c r="I434" s="40"/>
      <c r="J434" s="33"/>
      <c r="K434" s="33"/>
      <c r="L434" s="33"/>
      <c r="M434" s="34"/>
      <c r="N434" s="34"/>
      <c r="O434" s="39"/>
      <c r="Q434" s="53"/>
      <c r="U434" s="37"/>
      <c r="Y434" s="38"/>
      <c r="Z434" s="39"/>
      <c r="AA434" s="33"/>
      <c r="AB434" s="39"/>
      <c r="AC434" s="40"/>
    </row>
    <row r="435">
      <c r="I435" s="40"/>
      <c r="J435" s="33"/>
      <c r="K435" s="33"/>
      <c r="L435" s="33"/>
      <c r="M435" s="34"/>
      <c r="N435" s="34"/>
      <c r="O435" s="39"/>
      <c r="Q435" s="53"/>
      <c r="U435" s="37"/>
      <c r="Y435" s="38"/>
      <c r="Z435" s="39"/>
      <c r="AA435" s="33"/>
      <c r="AB435" s="39"/>
      <c r="AC435" s="40"/>
    </row>
    <row r="436">
      <c r="I436" s="40"/>
      <c r="J436" s="33"/>
      <c r="K436" s="33"/>
      <c r="L436" s="33"/>
      <c r="M436" s="34"/>
      <c r="N436" s="34"/>
      <c r="O436" s="39"/>
      <c r="Q436" s="53"/>
      <c r="U436" s="37"/>
      <c r="Y436" s="38"/>
      <c r="Z436" s="39"/>
      <c r="AA436" s="33"/>
      <c r="AB436" s="39"/>
      <c r="AC436" s="40"/>
    </row>
    <row r="437">
      <c r="I437" s="40"/>
      <c r="J437" s="33"/>
      <c r="K437" s="33"/>
      <c r="L437" s="33"/>
      <c r="M437" s="34"/>
      <c r="N437" s="34"/>
      <c r="O437" s="39"/>
      <c r="Q437" s="53"/>
      <c r="U437" s="37"/>
      <c r="Y437" s="38"/>
      <c r="Z437" s="39"/>
      <c r="AA437" s="33"/>
      <c r="AB437" s="39"/>
      <c r="AC437" s="40"/>
    </row>
    <row r="438">
      <c r="I438" s="40"/>
      <c r="J438" s="33"/>
      <c r="K438" s="33"/>
      <c r="L438" s="33"/>
      <c r="M438" s="34"/>
      <c r="N438" s="34"/>
      <c r="O438" s="39"/>
      <c r="Q438" s="53"/>
      <c r="U438" s="37"/>
      <c r="Y438" s="38"/>
      <c r="Z438" s="39"/>
      <c r="AA438" s="33"/>
      <c r="AB438" s="39"/>
      <c r="AC438" s="40"/>
    </row>
    <row r="439">
      <c r="I439" s="40"/>
      <c r="J439" s="33"/>
      <c r="K439" s="33"/>
      <c r="L439" s="33"/>
      <c r="M439" s="34"/>
      <c r="N439" s="34"/>
      <c r="O439" s="39"/>
      <c r="Q439" s="53"/>
      <c r="U439" s="37"/>
      <c r="Y439" s="38"/>
      <c r="Z439" s="39"/>
      <c r="AA439" s="33"/>
      <c r="AB439" s="39"/>
      <c r="AC439" s="40"/>
    </row>
    <row r="440">
      <c r="I440" s="40"/>
      <c r="J440" s="33"/>
      <c r="K440" s="33"/>
      <c r="L440" s="33"/>
      <c r="M440" s="34"/>
      <c r="N440" s="34"/>
      <c r="O440" s="39"/>
      <c r="Q440" s="53"/>
      <c r="U440" s="37"/>
      <c r="Y440" s="38"/>
      <c r="Z440" s="39"/>
      <c r="AA440" s="33"/>
      <c r="AB440" s="39"/>
      <c r="AC440" s="40"/>
    </row>
    <row r="441">
      <c r="I441" s="40"/>
      <c r="J441" s="33"/>
      <c r="K441" s="33"/>
      <c r="L441" s="33"/>
      <c r="M441" s="34"/>
      <c r="N441" s="34"/>
      <c r="O441" s="39"/>
      <c r="Q441" s="53"/>
      <c r="U441" s="37"/>
      <c r="Y441" s="38"/>
      <c r="Z441" s="39"/>
      <c r="AA441" s="33"/>
      <c r="AB441" s="39"/>
      <c r="AC441" s="40"/>
    </row>
    <row r="442">
      <c r="I442" s="40"/>
      <c r="J442" s="33"/>
      <c r="K442" s="33"/>
      <c r="L442" s="33"/>
      <c r="M442" s="34"/>
      <c r="N442" s="34"/>
      <c r="O442" s="39"/>
      <c r="Q442" s="53"/>
      <c r="U442" s="37"/>
      <c r="Y442" s="38"/>
      <c r="Z442" s="39"/>
      <c r="AA442" s="33"/>
      <c r="AB442" s="39"/>
      <c r="AC442" s="40"/>
    </row>
    <row r="443">
      <c r="I443" s="40"/>
      <c r="J443" s="33"/>
      <c r="K443" s="33"/>
      <c r="L443" s="33"/>
      <c r="M443" s="34"/>
      <c r="N443" s="34"/>
      <c r="O443" s="39"/>
      <c r="Q443" s="53"/>
      <c r="U443" s="37"/>
      <c r="Y443" s="38"/>
      <c r="Z443" s="39"/>
      <c r="AA443" s="33"/>
      <c r="AB443" s="39"/>
      <c r="AC443" s="40"/>
    </row>
    <row r="444">
      <c r="I444" s="40"/>
      <c r="J444" s="33"/>
      <c r="K444" s="33"/>
      <c r="L444" s="33"/>
      <c r="M444" s="34"/>
      <c r="N444" s="34"/>
      <c r="O444" s="39"/>
      <c r="Q444" s="53"/>
      <c r="U444" s="37"/>
      <c r="Y444" s="38"/>
      <c r="Z444" s="39"/>
      <c r="AA444" s="33"/>
      <c r="AB444" s="39"/>
      <c r="AC444" s="40"/>
    </row>
    <row r="445">
      <c r="I445" s="40"/>
      <c r="J445" s="33"/>
      <c r="K445" s="33"/>
      <c r="L445" s="33"/>
      <c r="M445" s="34"/>
      <c r="N445" s="34"/>
      <c r="O445" s="39"/>
      <c r="Q445" s="53"/>
      <c r="U445" s="37"/>
      <c r="Y445" s="38"/>
      <c r="Z445" s="39"/>
      <c r="AA445" s="33"/>
      <c r="AB445" s="39"/>
      <c r="AC445" s="40"/>
    </row>
    <row r="446">
      <c r="I446" s="40"/>
      <c r="J446" s="33"/>
      <c r="K446" s="33"/>
      <c r="L446" s="33"/>
      <c r="M446" s="34"/>
      <c r="N446" s="34"/>
      <c r="O446" s="39"/>
      <c r="Q446" s="53"/>
      <c r="U446" s="37"/>
      <c r="Y446" s="38"/>
      <c r="Z446" s="39"/>
      <c r="AA446" s="33"/>
      <c r="AB446" s="39"/>
      <c r="AC446" s="40"/>
    </row>
    <row r="447">
      <c r="I447" s="40"/>
      <c r="J447" s="33"/>
      <c r="K447" s="33"/>
      <c r="L447" s="33"/>
      <c r="M447" s="34"/>
      <c r="N447" s="34"/>
      <c r="O447" s="39"/>
      <c r="Q447" s="53"/>
      <c r="U447" s="37"/>
      <c r="Y447" s="38"/>
      <c r="Z447" s="39"/>
      <c r="AA447" s="33"/>
      <c r="AB447" s="39"/>
      <c r="AC447" s="40"/>
    </row>
    <row r="448">
      <c r="I448" s="40"/>
      <c r="J448" s="33"/>
      <c r="K448" s="33"/>
      <c r="L448" s="33"/>
      <c r="M448" s="34"/>
      <c r="N448" s="34"/>
      <c r="O448" s="39"/>
      <c r="Q448" s="53"/>
      <c r="U448" s="37"/>
      <c r="Y448" s="38"/>
      <c r="Z448" s="39"/>
      <c r="AA448" s="33"/>
      <c r="AB448" s="39"/>
      <c r="AC448" s="40"/>
    </row>
    <row r="449">
      <c r="I449" s="40"/>
      <c r="J449" s="33"/>
      <c r="K449" s="33"/>
      <c r="L449" s="33"/>
      <c r="M449" s="34"/>
      <c r="N449" s="34"/>
      <c r="O449" s="39"/>
      <c r="Q449" s="53"/>
      <c r="U449" s="37"/>
      <c r="Y449" s="38"/>
      <c r="Z449" s="39"/>
      <c r="AA449" s="33"/>
      <c r="AB449" s="39"/>
      <c r="AC449" s="40"/>
    </row>
    <row r="450">
      <c r="I450" s="40"/>
      <c r="J450" s="33"/>
      <c r="K450" s="33"/>
      <c r="L450" s="33"/>
      <c r="M450" s="34"/>
      <c r="N450" s="34"/>
      <c r="O450" s="39"/>
      <c r="Q450" s="53"/>
      <c r="U450" s="37"/>
      <c r="Y450" s="38"/>
      <c r="Z450" s="39"/>
      <c r="AA450" s="33"/>
      <c r="AB450" s="39"/>
      <c r="AC450" s="40"/>
    </row>
    <row r="451">
      <c r="I451" s="40"/>
      <c r="J451" s="33"/>
      <c r="K451" s="33"/>
      <c r="L451" s="33"/>
      <c r="M451" s="34"/>
      <c r="N451" s="34"/>
      <c r="O451" s="39"/>
      <c r="Q451" s="53"/>
      <c r="U451" s="37"/>
      <c r="Y451" s="38"/>
      <c r="Z451" s="39"/>
      <c r="AA451" s="33"/>
      <c r="AB451" s="39"/>
      <c r="AC451" s="40"/>
    </row>
    <row r="452">
      <c r="I452" s="40"/>
      <c r="J452" s="33"/>
      <c r="K452" s="33"/>
      <c r="L452" s="33"/>
      <c r="M452" s="34"/>
      <c r="N452" s="34"/>
      <c r="O452" s="39"/>
      <c r="Q452" s="53"/>
      <c r="U452" s="37"/>
      <c r="Y452" s="38"/>
      <c r="Z452" s="39"/>
      <c r="AA452" s="33"/>
      <c r="AB452" s="39"/>
      <c r="AC452" s="40"/>
    </row>
    <row r="453">
      <c r="I453" s="40"/>
      <c r="J453" s="33"/>
      <c r="K453" s="33"/>
      <c r="L453" s="33"/>
      <c r="M453" s="34"/>
      <c r="N453" s="34"/>
      <c r="O453" s="39"/>
      <c r="Q453" s="53"/>
      <c r="U453" s="37"/>
      <c r="Y453" s="38"/>
      <c r="Z453" s="39"/>
      <c r="AA453" s="33"/>
      <c r="AB453" s="39"/>
      <c r="AC453" s="40"/>
    </row>
    <row r="454">
      <c r="I454" s="40"/>
      <c r="J454" s="33"/>
      <c r="K454" s="33"/>
      <c r="L454" s="33"/>
      <c r="M454" s="34"/>
      <c r="N454" s="34"/>
      <c r="O454" s="39"/>
      <c r="Q454" s="53"/>
      <c r="U454" s="37"/>
      <c r="Y454" s="38"/>
      <c r="Z454" s="39"/>
      <c r="AA454" s="33"/>
      <c r="AB454" s="39"/>
      <c r="AC454" s="40"/>
    </row>
    <row r="455">
      <c r="I455" s="40"/>
      <c r="J455" s="33"/>
      <c r="K455" s="33"/>
      <c r="L455" s="33"/>
      <c r="M455" s="34"/>
      <c r="N455" s="34"/>
      <c r="O455" s="39"/>
      <c r="Q455" s="53"/>
      <c r="U455" s="37"/>
      <c r="Y455" s="38"/>
      <c r="Z455" s="39"/>
      <c r="AA455" s="33"/>
      <c r="AB455" s="39"/>
      <c r="AC455" s="40"/>
    </row>
    <row r="456">
      <c r="I456" s="40"/>
      <c r="J456" s="33"/>
      <c r="K456" s="33"/>
      <c r="L456" s="33"/>
      <c r="M456" s="34"/>
      <c r="N456" s="34"/>
      <c r="O456" s="39"/>
      <c r="Q456" s="53"/>
      <c r="U456" s="37"/>
      <c r="Y456" s="38"/>
      <c r="Z456" s="39"/>
      <c r="AA456" s="33"/>
      <c r="AB456" s="39"/>
      <c r="AC456" s="40"/>
    </row>
    <row r="457">
      <c r="I457" s="40"/>
      <c r="J457" s="33"/>
      <c r="K457" s="33"/>
      <c r="L457" s="33"/>
      <c r="M457" s="34"/>
      <c r="N457" s="34"/>
      <c r="O457" s="39"/>
      <c r="Q457" s="53"/>
      <c r="U457" s="37"/>
      <c r="Y457" s="38"/>
      <c r="Z457" s="39"/>
      <c r="AA457" s="33"/>
      <c r="AB457" s="39"/>
      <c r="AC457" s="40"/>
    </row>
    <row r="458">
      <c r="I458" s="40"/>
      <c r="J458" s="33"/>
      <c r="K458" s="33"/>
      <c r="L458" s="33"/>
      <c r="M458" s="34"/>
      <c r="N458" s="34"/>
      <c r="O458" s="39"/>
      <c r="Q458" s="53"/>
      <c r="U458" s="37"/>
      <c r="Y458" s="38"/>
      <c r="Z458" s="39"/>
      <c r="AA458" s="33"/>
      <c r="AB458" s="39"/>
      <c r="AC458" s="40"/>
    </row>
    <row r="459">
      <c r="I459" s="40"/>
      <c r="J459" s="33"/>
      <c r="K459" s="33"/>
      <c r="L459" s="33"/>
      <c r="M459" s="34"/>
      <c r="N459" s="34"/>
      <c r="O459" s="39"/>
      <c r="Q459" s="53"/>
      <c r="U459" s="37"/>
      <c r="Y459" s="38"/>
      <c r="Z459" s="39"/>
      <c r="AA459" s="33"/>
      <c r="AB459" s="39"/>
      <c r="AC459" s="40"/>
    </row>
    <row r="460">
      <c r="I460" s="40"/>
      <c r="J460" s="33"/>
      <c r="K460" s="33"/>
      <c r="L460" s="33"/>
      <c r="M460" s="34"/>
      <c r="N460" s="34"/>
      <c r="O460" s="39"/>
      <c r="Q460" s="53"/>
      <c r="U460" s="37"/>
      <c r="Y460" s="38"/>
      <c r="Z460" s="39"/>
      <c r="AA460" s="33"/>
      <c r="AB460" s="39"/>
      <c r="AC460" s="40"/>
    </row>
    <row r="461">
      <c r="I461" s="40"/>
      <c r="J461" s="33"/>
      <c r="K461" s="33"/>
      <c r="L461" s="33"/>
      <c r="M461" s="34"/>
      <c r="N461" s="34"/>
      <c r="O461" s="39"/>
      <c r="Q461" s="53"/>
      <c r="U461" s="37"/>
      <c r="Y461" s="38"/>
      <c r="Z461" s="39"/>
      <c r="AA461" s="33"/>
      <c r="AB461" s="39"/>
      <c r="AC461" s="40"/>
    </row>
    <row r="462">
      <c r="I462" s="40"/>
      <c r="J462" s="33"/>
      <c r="K462" s="33"/>
      <c r="L462" s="33"/>
      <c r="M462" s="34"/>
      <c r="N462" s="34"/>
      <c r="O462" s="39"/>
      <c r="Q462" s="53"/>
      <c r="U462" s="37"/>
      <c r="Y462" s="38"/>
      <c r="Z462" s="39"/>
      <c r="AA462" s="33"/>
      <c r="AB462" s="39"/>
      <c r="AC462" s="40"/>
    </row>
    <row r="463">
      <c r="I463" s="40"/>
      <c r="J463" s="33"/>
      <c r="K463" s="33"/>
      <c r="L463" s="33"/>
      <c r="M463" s="34"/>
      <c r="N463" s="34"/>
      <c r="O463" s="39"/>
      <c r="Q463" s="53"/>
      <c r="U463" s="37"/>
      <c r="Y463" s="38"/>
      <c r="Z463" s="39"/>
      <c r="AA463" s="33"/>
      <c r="AB463" s="39"/>
      <c r="AC463" s="40"/>
    </row>
    <row r="464">
      <c r="I464" s="40"/>
      <c r="J464" s="33"/>
      <c r="K464" s="33"/>
      <c r="L464" s="33"/>
      <c r="M464" s="34"/>
      <c r="N464" s="34"/>
      <c r="O464" s="39"/>
      <c r="Q464" s="53"/>
      <c r="U464" s="37"/>
      <c r="Y464" s="38"/>
      <c r="Z464" s="39"/>
      <c r="AA464" s="33"/>
      <c r="AB464" s="39"/>
      <c r="AC464" s="40"/>
    </row>
    <row r="465">
      <c r="I465" s="40"/>
      <c r="J465" s="33"/>
      <c r="K465" s="33"/>
      <c r="L465" s="33"/>
      <c r="M465" s="34"/>
      <c r="N465" s="34"/>
      <c r="O465" s="39"/>
      <c r="Q465" s="53"/>
      <c r="U465" s="37"/>
      <c r="Y465" s="38"/>
      <c r="Z465" s="39"/>
      <c r="AA465" s="33"/>
      <c r="AB465" s="39"/>
      <c r="AC465" s="40"/>
    </row>
    <row r="466">
      <c r="I466" s="40"/>
      <c r="J466" s="33"/>
      <c r="K466" s="33"/>
      <c r="L466" s="33"/>
      <c r="M466" s="34"/>
      <c r="N466" s="34"/>
      <c r="O466" s="39"/>
      <c r="Q466" s="53"/>
      <c r="U466" s="37"/>
      <c r="Y466" s="38"/>
      <c r="Z466" s="39"/>
      <c r="AA466" s="33"/>
      <c r="AB466" s="39"/>
      <c r="AC466" s="40"/>
    </row>
    <row r="467">
      <c r="I467" s="40"/>
      <c r="J467" s="33"/>
      <c r="K467" s="33"/>
      <c r="L467" s="33"/>
      <c r="M467" s="34"/>
      <c r="N467" s="34"/>
      <c r="O467" s="39"/>
      <c r="Q467" s="53"/>
      <c r="U467" s="37"/>
      <c r="Y467" s="38"/>
      <c r="Z467" s="39"/>
      <c r="AA467" s="33"/>
      <c r="AB467" s="39"/>
      <c r="AC467" s="40"/>
    </row>
    <row r="468">
      <c r="I468" s="40"/>
      <c r="J468" s="33"/>
      <c r="K468" s="33"/>
      <c r="L468" s="33"/>
      <c r="M468" s="34"/>
      <c r="N468" s="34"/>
      <c r="O468" s="39"/>
      <c r="Q468" s="53"/>
      <c r="U468" s="37"/>
      <c r="Y468" s="38"/>
      <c r="Z468" s="39"/>
      <c r="AA468" s="33"/>
      <c r="AB468" s="39"/>
      <c r="AC468" s="40"/>
    </row>
    <row r="469">
      <c r="I469" s="40"/>
      <c r="J469" s="33"/>
      <c r="K469" s="33"/>
      <c r="L469" s="33"/>
      <c r="M469" s="34"/>
      <c r="N469" s="34"/>
      <c r="O469" s="39"/>
      <c r="Q469" s="53"/>
      <c r="U469" s="37"/>
      <c r="Y469" s="38"/>
      <c r="Z469" s="39"/>
      <c r="AA469" s="33"/>
      <c r="AB469" s="39"/>
      <c r="AC469" s="40"/>
    </row>
    <row r="470">
      <c r="I470" s="40"/>
      <c r="J470" s="33"/>
      <c r="K470" s="33"/>
      <c r="L470" s="33"/>
      <c r="M470" s="34"/>
      <c r="N470" s="34"/>
      <c r="O470" s="39"/>
      <c r="Q470" s="53"/>
      <c r="U470" s="37"/>
      <c r="Y470" s="38"/>
      <c r="Z470" s="39"/>
      <c r="AA470" s="33"/>
      <c r="AB470" s="39"/>
      <c r="AC470" s="40"/>
    </row>
    <row r="471">
      <c r="I471" s="40"/>
      <c r="J471" s="33"/>
      <c r="K471" s="33"/>
      <c r="L471" s="33"/>
      <c r="M471" s="34"/>
      <c r="N471" s="34"/>
      <c r="O471" s="39"/>
      <c r="Q471" s="53"/>
      <c r="U471" s="37"/>
      <c r="Y471" s="38"/>
      <c r="Z471" s="39"/>
      <c r="AA471" s="33"/>
      <c r="AB471" s="39"/>
      <c r="AC471" s="40"/>
    </row>
    <row r="472">
      <c r="I472" s="40"/>
      <c r="J472" s="33"/>
      <c r="K472" s="33"/>
      <c r="L472" s="33"/>
      <c r="M472" s="34"/>
      <c r="N472" s="34"/>
      <c r="O472" s="39"/>
      <c r="Q472" s="53"/>
      <c r="U472" s="37"/>
      <c r="Y472" s="38"/>
      <c r="Z472" s="39"/>
      <c r="AA472" s="33"/>
      <c r="AB472" s="39"/>
      <c r="AC472" s="40"/>
    </row>
    <row r="473">
      <c r="I473" s="40"/>
      <c r="J473" s="33"/>
      <c r="K473" s="33"/>
      <c r="L473" s="33"/>
      <c r="M473" s="34"/>
      <c r="N473" s="34"/>
      <c r="O473" s="39"/>
      <c r="Q473" s="53"/>
      <c r="U473" s="37"/>
      <c r="Y473" s="38"/>
      <c r="Z473" s="39"/>
      <c r="AA473" s="33"/>
      <c r="AB473" s="39"/>
      <c r="AC473" s="40"/>
    </row>
    <row r="474">
      <c r="I474" s="40"/>
      <c r="J474" s="33"/>
      <c r="K474" s="33"/>
      <c r="L474" s="33"/>
      <c r="M474" s="34"/>
      <c r="N474" s="34"/>
      <c r="O474" s="39"/>
      <c r="Q474" s="53"/>
      <c r="U474" s="37"/>
      <c r="Y474" s="38"/>
      <c r="Z474" s="39"/>
      <c r="AA474" s="33"/>
      <c r="AB474" s="39"/>
      <c r="AC474" s="40"/>
    </row>
    <row r="475">
      <c r="I475" s="40"/>
      <c r="J475" s="33"/>
      <c r="K475" s="33"/>
      <c r="L475" s="33"/>
      <c r="M475" s="34"/>
      <c r="N475" s="34"/>
      <c r="O475" s="39"/>
      <c r="Q475" s="53"/>
      <c r="U475" s="37"/>
      <c r="Y475" s="38"/>
      <c r="Z475" s="39"/>
      <c r="AA475" s="33"/>
      <c r="AB475" s="39"/>
      <c r="AC475" s="40"/>
    </row>
    <row r="476">
      <c r="I476" s="40"/>
      <c r="J476" s="33"/>
      <c r="K476" s="33"/>
      <c r="L476" s="33"/>
      <c r="M476" s="34"/>
      <c r="N476" s="34"/>
      <c r="O476" s="39"/>
      <c r="Q476" s="53"/>
      <c r="U476" s="37"/>
      <c r="Y476" s="38"/>
      <c r="Z476" s="39"/>
      <c r="AA476" s="33"/>
      <c r="AB476" s="39"/>
      <c r="AC476" s="40"/>
    </row>
    <row r="477">
      <c r="I477" s="40"/>
      <c r="J477" s="33"/>
      <c r="K477" s="33"/>
      <c r="L477" s="33"/>
      <c r="M477" s="34"/>
      <c r="N477" s="34"/>
      <c r="O477" s="39"/>
      <c r="Q477" s="53"/>
      <c r="U477" s="37"/>
      <c r="Y477" s="38"/>
      <c r="Z477" s="39"/>
      <c r="AA477" s="33"/>
      <c r="AB477" s="39"/>
      <c r="AC477" s="40"/>
    </row>
    <row r="478">
      <c r="I478" s="40"/>
      <c r="J478" s="33"/>
      <c r="K478" s="33"/>
      <c r="L478" s="33"/>
      <c r="M478" s="34"/>
      <c r="N478" s="34"/>
      <c r="O478" s="39"/>
      <c r="Q478" s="53"/>
      <c r="U478" s="37"/>
      <c r="Y478" s="38"/>
      <c r="Z478" s="39"/>
      <c r="AA478" s="33"/>
      <c r="AB478" s="39"/>
      <c r="AC478" s="40"/>
    </row>
    <row r="479">
      <c r="I479" s="40"/>
      <c r="J479" s="33"/>
      <c r="K479" s="33"/>
      <c r="L479" s="33"/>
      <c r="M479" s="34"/>
      <c r="N479" s="34"/>
      <c r="O479" s="39"/>
      <c r="Q479" s="53"/>
      <c r="U479" s="37"/>
      <c r="Y479" s="38"/>
      <c r="Z479" s="39"/>
      <c r="AA479" s="33"/>
      <c r="AB479" s="39"/>
      <c r="AC479" s="40"/>
    </row>
    <row r="480">
      <c r="I480" s="40"/>
      <c r="J480" s="33"/>
      <c r="K480" s="33"/>
      <c r="L480" s="33"/>
      <c r="M480" s="34"/>
      <c r="N480" s="34"/>
      <c r="O480" s="39"/>
      <c r="Q480" s="53"/>
      <c r="U480" s="37"/>
      <c r="Y480" s="38"/>
      <c r="Z480" s="39"/>
      <c r="AA480" s="33"/>
      <c r="AB480" s="39"/>
      <c r="AC480" s="40"/>
    </row>
    <row r="481">
      <c r="I481" s="40"/>
      <c r="J481" s="33"/>
      <c r="K481" s="33"/>
      <c r="L481" s="33"/>
      <c r="M481" s="34"/>
      <c r="N481" s="34"/>
      <c r="O481" s="39"/>
      <c r="Q481" s="53"/>
      <c r="U481" s="37"/>
      <c r="Y481" s="38"/>
      <c r="Z481" s="39"/>
      <c r="AA481" s="33"/>
      <c r="AB481" s="39"/>
      <c r="AC481" s="40"/>
    </row>
    <row r="482">
      <c r="I482" s="40"/>
      <c r="J482" s="33"/>
      <c r="K482" s="33"/>
      <c r="L482" s="33"/>
      <c r="M482" s="34"/>
      <c r="N482" s="34"/>
      <c r="O482" s="39"/>
      <c r="Q482" s="53"/>
      <c r="U482" s="37"/>
      <c r="Y482" s="38"/>
      <c r="Z482" s="39"/>
      <c r="AA482" s="33"/>
      <c r="AB482" s="39"/>
      <c r="AC482" s="40"/>
    </row>
    <row r="483">
      <c r="I483" s="40"/>
      <c r="J483" s="33"/>
      <c r="K483" s="33"/>
      <c r="L483" s="33"/>
      <c r="M483" s="34"/>
      <c r="N483" s="34"/>
      <c r="O483" s="39"/>
      <c r="Q483" s="53"/>
      <c r="U483" s="37"/>
      <c r="Y483" s="38"/>
      <c r="Z483" s="39"/>
      <c r="AA483" s="33"/>
      <c r="AB483" s="39"/>
      <c r="AC483" s="40"/>
    </row>
    <row r="484">
      <c r="I484" s="40"/>
      <c r="J484" s="33"/>
      <c r="K484" s="33"/>
      <c r="L484" s="33"/>
      <c r="M484" s="34"/>
      <c r="N484" s="34"/>
      <c r="O484" s="39"/>
      <c r="Q484" s="53"/>
      <c r="U484" s="37"/>
      <c r="Y484" s="38"/>
      <c r="Z484" s="39"/>
      <c r="AA484" s="33"/>
      <c r="AB484" s="39"/>
      <c r="AC484" s="40"/>
    </row>
    <row r="485">
      <c r="I485" s="40"/>
      <c r="J485" s="33"/>
      <c r="K485" s="33"/>
      <c r="L485" s="33"/>
      <c r="M485" s="34"/>
      <c r="N485" s="34"/>
      <c r="O485" s="39"/>
      <c r="Q485" s="53"/>
      <c r="U485" s="37"/>
      <c r="Y485" s="38"/>
      <c r="Z485" s="39"/>
      <c r="AA485" s="33"/>
      <c r="AB485" s="39"/>
      <c r="AC485" s="40"/>
    </row>
    <row r="486">
      <c r="I486" s="40"/>
      <c r="J486" s="33"/>
      <c r="K486" s="33"/>
      <c r="L486" s="33"/>
      <c r="M486" s="34"/>
      <c r="N486" s="34"/>
      <c r="O486" s="39"/>
      <c r="Q486" s="53"/>
      <c r="U486" s="37"/>
      <c r="Y486" s="38"/>
      <c r="Z486" s="39"/>
      <c r="AA486" s="33"/>
      <c r="AB486" s="39"/>
      <c r="AC486" s="40"/>
    </row>
    <row r="487">
      <c r="I487" s="40"/>
      <c r="J487" s="33"/>
      <c r="K487" s="33"/>
      <c r="L487" s="33"/>
      <c r="M487" s="34"/>
      <c r="N487" s="34"/>
      <c r="O487" s="39"/>
      <c r="Q487" s="53"/>
      <c r="U487" s="37"/>
      <c r="Y487" s="38"/>
      <c r="Z487" s="39"/>
      <c r="AA487" s="33"/>
      <c r="AB487" s="39"/>
      <c r="AC487" s="40"/>
    </row>
    <row r="488">
      <c r="I488" s="40"/>
      <c r="J488" s="33"/>
      <c r="K488" s="33"/>
      <c r="L488" s="33"/>
      <c r="M488" s="34"/>
      <c r="N488" s="34"/>
      <c r="O488" s="39"/>
      <c r="Q488" s="53"/>
      <c r="U488" s="37"/>
      <c r="Y488" s="38"/>
      <c r="Z488" s="39"/>
      <c r="AA488" s="33"/>
      <c r="AB488" s="39"/>
      <c r="AC488" s="40"/>
    </row>
    <row r="489">
      <c r="I489" s="40"/>
      <c r="J489" s="33"/>
      <c r="K489" s="33"/>
      <c r="L489" s="33"/>
      <c r="M489" s="34"/>
      <c r="N489" s="34"/>
      <c r="O489" s="39"/>
      <c r="Q489" s="53"/>
      <c r="U489" s="37"/>
      <c r="Y489" s="38"/>
      <c r="Z489" s="39"/>
      <c r="AA489" s="33"/>
      <c r="AB489" s="39"/>
      <c r="AC489" s="40"/>
    </row>
    <row r="490">
      <c r="I490" s="40"/>
      <c r="J490" s="33"/>
      <c r="K490" s="33"/>
      <c r="L490" s="33"/>
      <c r="M490" s="34"/>
      <c r="N490" s="34"/>
      <c r="O490" s="39"/>
      <c r="Q490" s="53"/>
      <c r="U490" s="37"/>
      <c r="Y490" s="38"/>
      <c r="Z490" s="39"/>
      <c r="AA490" s="33"/>
      <c r="AB490" s="39"/>
      <c r="AC490" s="40"/>
    </row>
    <row r="491">
      <c r="I491" s="40"/>
      <c r="J491" s="33"/>
      <c r="K491" s="33"/>
      <c r="L491" s="33"/>
      <c r="M491" s="34"/>
      <c r="N491" s="34"/>
      <c r="O491" s="39"/>
      <c r="Q491" s="53"/>
      <c r="U491" s="37"/>
      <c r="Y491" s="38"/>
      <c r="Z491" s="39"/>
      <c r="AA491" s="33"/>
      <c r="AB491" s="39"/>
      <c r="AC491" s="40"/>
    </row>
    <row r="492">
      <c r="I492" s="40"/>
      <c r="J492" s="33"/>
      <c r="K492" s="33"/>
      <c r="L492" s="33"/>
      <c r="M492" s="34"/>
      <c r="N492" s="34"/>
      <c r="O492" s="39"/>
      <c r="Q492" s="53"/>
      <c r="U492" s="37"/>
      <c r="Y492" s="38"/>
      <c r="Z492" s="39"/>
      <c r="AA492" s="33"/>
      <c r="AB492" s="39"/>
      <c r="AC492" s="40"/>
    </row>
    <row r="493">
      <c r="I493" s="40"/>
      <c r="J493" s="33"/>
      <c r="K493" s="33"/>
      <c r="L493" s="33"/>
      <c r="M493" s="34"/>
      <c r="N493" s="34"/>
      <c r="O493" s="39"/>
      <c r="Q493" s="53"/>
      <c r="U493" s="37"/>
      <c r="Y493" s="38"/>
      <c r="Z493" s="39"/>
      <c r="AA493" s="33"/>
      <c r="AB493" s="39"/>
      <c r="AC493" s="40"/>
    </row>
    <row r="494">
      <c r="I494" s="40"/>
      <c r="J494" s="33"/>
      <c r="K494" s="33"/>
      <c r="L494" s="33"/>
      <c r="M494" s="34"/>
      <c r="N494" s="34"/>
      <c r="O494" s="39"/>
      <c r="Q494" s="53"/>
      <c r="U494" s="37"/>
      <c r="Y494" s="38"/>
      <c r="Z494" s="39"/>
      <c r="AA494" s="33"/>
      <c r="AB494" s="39"/>
      <c r="AC494" s="40"/>
    </row>
    <row r="495">
      <c r="I495" s="40"/>
      <c r="J495" s="33"/>
      <c r="K495" s="33"/>
      <c r="L495" s="33"/>
      <c r="M495" s="34"/>
      <c r="N495" s="34"/>
      <c r="O495" s="39"/>
      <c r="Q495" s="53"/>
      <c r="U495" s="37"/>
      <c r="Y495" s="38"/>
      <c r="Z495" s="39"/>
      <c r="AA495" s="33"/>
      <c r="AB495" s="39"/>
      <c r="AC495" s="40"/>
    </row>
    <row r="496">
      <c r="I496" s="40"/>
      <c r="J496" s="33"/>
      <c r="K496" s="33"/>
      <c r="L496" s="33"/>
      <c r="M496" s="34"/>
      <c r="N496" s="34"/>
      <c r="O496" s="39"/>
      <c r="Q496" s="53"/>
      <c r="U496" s="37"/>
      <c r="Y496" s="38"/>
      <c r="Z496" s="39"/>
      <c r="AA496" s="33"/>
      <c r="AB496" s="39"/>
      <c r="AC496" s="40"/>
    </row>
    <row r="497">
      <c r="I497" s="40"/>
      <c r="J497" s="33"/>
      <c r="K497" s="33"/>
      <c r="L497" s="33"/>
      <c r="M497" s="34"/>
      <c r="N497" s="34"/>
      <c r="O497" s="39"/>
      <c r="Q497" s="53"/>
      <c r="U497" s="37"/>
      <c r="Y497" s="38"/>
      <c r="Z497" s="39"/>
      <c r="AA497" s="33"/>
      <c r="AB497" s="39"/>
      <c r="AC497" s="40"/>
    </row>
    <row r="498">
      <c r="I498" s="40"/>
      <c r="J498" s="33"/>
      <c r="K498" s="33"/>
      <c r="L498" s="33"/>
      <c r="M498" s="34"/>
      <c r="N498" s="34"/>
      <c r="O498" s="39"/>
      <c r="Q498" s="53"/>
      <c r="U498" s="37"/>
      <c r="Y498" s="38"/>
      <c r="Z498" s="39"/>
      <c r="AA498" s="33"/>
      <c r="AB498" s="39"/>
      <c r="AC498" s="40"/>
    </row>
    <row r="499">
      <c r="I499" s="40"/>
      <c r="J499" s="33"/>
      <c r="K499" s="33"/>
      <c r="L499" s="33"/>
      <c r="M499" s="34"/>
      <c r="N499" s="34"/>
      <c r="O499" s="39"/>
      <c r="Q499" s="53"/>
      <c r="U499" s="37"/>
      <c r="Y499" s="38"/>
      <c r="Z499" s="39"/>
      <c r="AA499" s="33"/>
      <c r="AB499" s="39"/>
      <c r="AC499" s="40"/>
    </row>
    <row r="500">
      <c r="I500" s="40"/>
      <c r="J500" s="33"/>
      <c r="K500" s="33"/>
      <c r="L500" s="33"/>
      <c r="M500" s="34"/>
      <c r="N500" s="34"/>
      <c r="O500" s="39"/>
      <c r="Q500" s="53"/>
      <c r="U500" s="37"/>
      <c r="Y500" s="38"/>
      <c r="Z500" s="39"/>
      <c r="AA500" s="33"/>
      <c r="AB500" s="39"/>
      <c r="AC500" s="40"/>
    </row>
    <row r="501">
      <c r="I501" s="40"/>
      <c r="J501" s="33"/>
      <c r="K501" s="33"/>
      <c r="L501" s="33"/>
      <c r="M501" s="34"/>
      <c r="N501" s="34"/>
      <c r="O501" s="39"/>
      <c r="Q501" s="53"/>
      <c r="U501" s="37"/>
      <c r="Y501" s="38"/>
      <c r="Z501" s="39"/>
      <c r="AA501" s="33"/>
      <c r="AB501" s="39"/>
      <c r="AC501" s="40"/>
    </row>
    <row r="502">
      <c r="I502" s="40"/>
      <c r="J502" s="33"/>
      <c r="K502" s="33"/>
      <c r="L502" s="33"/>
      <c r="M502" s="34"/>
      <c r="N502" s="34"/>
      <c r="O502" s="39"/>
      <c r="Q502" s="53"/>
      <c r="U502" s="37"/>
      <c r="Y502" s="38"/>
      <c r="Z502" s="39"/>
      <c r="AA502" s="33"/>
      <c r="AB502" s="39"/>
      <c r="AC502" s="40"/>
    </row>
    <row r="503">
      <c r="I503" s="40"/>
      <c r="J503" s="33"/>
      <c r="K503" s="33"/>
      <c r="L503" s="33"/>
      <c r="M503" s="34"/>
      <c r="N503" s="34"/>
      <c r="O503" s="39"/>
      <c r="Q503" s="53"/>
      <c r="U503" s="37"/>
      <c r="Y503" s="38"/>
      <c r="Z503" s="39"/>
      <c r="AA503" s="33"/>
      <c r="AB503" s="39"/>
      <c r="AC503" s="40"/>
    </row>
    <row r="504">
      <c r="I504" s="40"/>
      <c r="J504" s="33"/>
      <c r="K504" s="33"/>
      <c r="L504" s="33"/>
      <c r="M504" s="34"/>
      <c r="N504" s="34"/>
      <c r="O504" s="39"/>
      <c r="Q504" s="53"/>
      <c r="U504" s="37"/>
      <c r="Y504" s="38"/>
      <c r="Z504" s="39"/>
      <c r="AA504" s="33"/>
      <c r="AB504" s="39"/>
      <c r="AC504" s="40"/>
    </row>
    <row r="505">
      <c r="I505" s="40"/>
      <c r="J505" s="33"/>
      <c r="K505" s="33"/>
      <c r="L505" s="33"/>
      <c r="M505" s="34"/>
      <c r="N505" s="34"/>
      <c r="O505" s="39"/>
      <c r="Q505" s="53"/>
      <c r="U505" s="37"/>
      <c r="Y505" s="38"/>
      <c r="Z505" s="39"/>
      <c r="AA505" s="33"/>
      <c r="AB505" s="39"/>
      <c r="AC505" s="40"/>
    </row>
    <row r="506">
      <c r="I506" s="40"/>
      <c r="J506" s="33"/>
      <c r="K506" s="33"/>
      <c r="L506" s="33"/>
      <c r="M506" s="34"/>
      <c r="N506" s="34"/>
      <c r="O506" s="39"/>
      <c r="Q506" s="53"/>
      <c r="U506" s="37"/>
      <c r="Y506" s="38"/>
      <c r="Z506" s="39"/>
      <c r="AA506" s="33"/>
      <c r="AB506" s="39"/>
      <c r="AC506" s="40"/>
    </row>
    <row r="507">
      <c r="I507" s="40"/>
      <c r="J507" s="33"/>
      <c r="K507" s="33"/>
      <c r="L507" s="33"/>
      <c r="M507" s="34"/>
      <c r="N507" s="34"/>
      <c r="O507" s="39"/>
      <c r="Q507" s="53"/>
      <c r="U507" s="37"/>
      <c r="Y507" s="38"/>
      <c r="Z507" s="39"/>
      <c r="AA507" s="33"/>
      <c r="AB507" s="39"/>
      <c r="AC507" s="40"/>
    </row>
    <row r="508">
      <c r="I508" s="40"/>
      <c r="J508" s="33"/>
      <c r="K508" s="33"/>
      <c r="L508" s="33"/>
      <c r="M508" s="34"/>
      <c r="N508" s="34"/>
      <c r="O508" s="39"/>
      <c r="Q508" s="53"/>
      <c r="U508" s="37"/>
      <c r="Y508" s="38"/>
      <c r="Z508" s="39"/>
      <c r="AA508" s="33"/>
      <c r="AB508" s="39"/>
      <c r="AC508" s="40"/>
    </row>
    <row r="509">
      <c r="I509" s="40"/>
      <c r="J509" s="33"/>
      <c r="K509" s="33"/>
      <c r="L509" s="33"/>
      <c r="M509" s="34"/>
      <c r="N509" s="34"/>
      <c r="O509" s="39"/>
      <c r="Q509" s="53"/>
      <c r="U509" s="37"/>
      <c r="Y509" s="38"/>
      <c r="Z509" s="39"/>
      <c r="AA509" s="33"/>
      <c r="AB509" s="39"/>
      <c r="AC509" s="40"/>
    </row>
    <row r="510">
      <c r="I510" s="40"/>
      <c r="J510" s="33"/>
      <c r="K510" s="33"/>
      <c r="L510" s="33"/>
      <c r="M510" s="34"/>
      <c r="N510" s="34"/>
      <c r="O510" s="39"/>
      <c r="Q510" s="53"/>
      <c r="U510" s="37"/>
      <c r="Y510" s="38"/>
      <c r="Z510" s="39"/>
      <c r="AA510" s="33"/>
      <c r="AB510" s="39"/>
      <c r="AC510" s="40"/>
    </row>
    <row r="511">
      <c r="I511" s="40"/>
      <c r="J511" s="33"/>
      <c r="K511" s="33"/>
      <c r="L511" s="33"/>
      <c r="M511" s="34"/>
      <c r="N511" s="34"/>
      <c r="O511" s="39"/>
      <c r="Q511" s="53"/>
      <c r="U511" s="37"/>
      <c r="Y511" s="38"/>
      <c r="Z511" s="39"/>
      <c r="AA511" s="33"/>
      <c r="AB511" s="39"/>
      <c r="AC511" s="40"/>
    </row>
    <row r="512">
      <c r="I512" s="40"/>
      <c r="J512" s="33"/>
      <c r="K512" s="33"/>
      <c r="L512" s="33"/>
      <c r="M512" s="34"/>
      <c r="N512" s="34"/>
      <c r="O512" s="39"/>
      <c r="Q512" s="53"/>
      <c r="U512" s="37"/>
      <c r="Y512" s="38"/>
      <c r="Z512" s="39"/>
      <c r="AA512" s="33"/>
      <c r="AB512" s="39"/>
      <c r="AC512" s="40"/>
    </row>
    <row r="513">
      <c r="I513" s="40"/>
      <c r="J513" s="33"/>
      <c r="K513" s="33"/>
      <c r="L513" s="33"/>
      <c r="M513" s="34"/>
      <c r="N513" s="34"/>
      <c r="O513" s="39"/>
      <c r="Q513" s="53"/>
      <c r="U513" s="37"/>
      <c r="Y513" s="38"/>
      <c r="Z513" s="39"/>
      <c r="AA513" s="33"/>
      <c r="AB513" s="39"/>
      <c r="AC513" s="40"/>
    </row>
    <row r="514">
      <c r="I514" s="40"/>
      <c r="J514" s="33"/>
      <c r="K514" s="33"/>
      <c r="L514" s="33"/>
      <c r="M514" s="34"/>
      <c r="N514" s="34"/>
      <c r="O514" s="39"/>
      <c r="Q514" s="53"/>
      <c r="U514" s="37"/>
      <c r="Y514" s="38"/>
      <c r="Z514" s="39"/>
      <c r="AA514" s="33"/>
      <c r="AB514" s="39"/>
      <c r="AC514" s="40"/>
    </row>
    <row r="515">
      <c r="I515" s="40"/>
      <c r="J515" s="33"/>
      <c r="K515" s="33"/>
      <c r="L515" s="33"/>
      <c r="M515" s="34"/>
      <c r="N515" s="34"/>
      <c r="O515" s="39"/>
      <c r="Q515" s="53"/>
      <c r="U515" s="37"/>
      <c r="Y515" s="38"/>
      <c r="Z515" s="39"/>
      <c r="AA515" s="33"/>
      <c r="AB515" s="39"/>
      <c r="AC515" s="40"/>
    </row>
    <row r="516">
      <c r="I516" s="40"/>
      <c r="J516" s="33"/>
      <c r="K516" s="33"/>
      <c r="L516" s="33"/>
      <c r="M516" s="34"/>
      <c r="N516" s="34"/>
      <c r="O516" s="39"/>
      <c r="Q516" s="53"/>
      <c r="U516" s="37"/>
      <c r="Y516" s="38"/>
      <c r="Z516" s="39"/>
      <c r="AA516" s="33"/>
      <c r="AB516" s="39"/>
      <c r="AC516" s="40"/>
    </row>
    <row r="517">
      <c r="I517" s="40"/>
      <c r="J517" s="33"/>
      <c r="K517" s="33"/>
      <c r="L517" s="33"/>
      <c r="M517" s="34"/>
      <c r="N517" s="34"/>
      <c r="O517" s="39"/>
      <c r="Q517" s="53"/>
      <c r="U517" s="37"/>
      <c r="Y517" s="38"/>
      <c r="Z517" s="39"/>
      <c r="AA517" s="33"/>
      <c r="AB517" s="39"/>
      <c r="AC517" s="40"/>
    </row>
    <row r="518">
      <c r="I518" s="40"/>
      <c r="J518" s="33"/>
      <c r="K518" s="33"/>
      <c r="L518" s="33"/>
      <c r="M518" s="34"/>
      <c r="N518" s="34"/>
      <c r="O518" s="39"/>
      <c r="Q518" s="53"/>
      <c r="U518" s="37"/>
      <c r="Y518" s="38"/>
      <c r="Z518" s="39"/>
      <c r="AA518" s="33"/>
      <c r="AB518" s="39"/>
      <c r="AC518" s="40"/>
    </row>
    <row r="519">
      <c r="I519" s="40"/>
      <c r="J519" s="33"/>
      <c r="K519" s="33"/>
      <c r="L519" s="33"/>
      <c r="M519" s="34"/>
      <c r="N519" s="34"/>
      <c r="O519" s="39"/>
      <c r="Q519" s="53"/>
      <c r="U519" s="37"/>
      <c r="Y519" s="38"/>
      <c r="Z519" s="39"/>
      <c r="AA519" s="33"/>
      <c r="AB519" s="39"/>
      <c r="AC519" s="40"/>
    </row>
    <row r="520">
      <c r="I520" s="40"/>
      <c r="J520" s="33"/>
      <c r="K520" s="33"/>
      <c r="L520" s="33"/>
      <c r="M520" s="34"/>
      <c r="N520" s="34"/>
      <c r="O520" s="39"/>
      <c r="Q520" s="53"/>
      <c r="U520" s="37"/>
      <c r="Y520" s="38"/>
      <c r="Z520" s="39"/>
      <c r="AA520" s="33"/>
      <c r="AB520" s="39"/>
      <c r="AC520" s="40"/>
    </row>
    <row r="521">
      <c r="I521" s="40"/>
      <c r="J521" s="33"/>
      <c r="K521" s="33"/>
      <c r="L521" s="33"/>
      <c r="M521" s="34"/>
      <c r="N521" s="34"/>
      <c r="O521" s="39"/>
      <c r="Q521" s="53"/>
      <c r="U521" s="37"/>
      <c r="Y521" s="38"/>
      <c r="Z521" s="39"/>
      <c r="AA521" s="33"/>
      <c r="AB521" s="39"/>
      <c r="AC521" s="40"/>
    </row>
    <row r="522">
      <c r="I522" s="40"/>
      <c r="J522" s="33"/>
      <c r="K522" s="33"/>
      <c r="L522" s="33"/>
      <c r="M522" s="34"/>
      <c r="N522" s="34"/>
      <c r="O522" s="39"/>
      <c r="Q522" s="53"/>
      <c r="U522" s="37"/>
      <c r="Y522" s="38"/>
      <c r="Z522" s="39"/>
      <c r="AA522" s="33"/>
      <c r="AB522" s="39"/>
      <c r="AC522" s="40"/>
    </row>
    <row r="523">
      <c r="I523" s="40"/>
      <c r="J523" s="33"/>
      <c r="K523" s="33"/>
      <c r="L523" s="33"/>
      <c r="M523" s="34"/>
      <c r="N523" s="34"/>
      <c r="O523" s="39"/>
      <c r="Q523" s="53"/>
      <c r="U523" s="37"/>
      <c r="Y523" s="38"/>
      <c r="Z523" s="39"/>
      <c r="AA523" s="33"/>
      <c r="AB523" s="39"/>
      <c r="AC523" s="40"/>
    </row>
    <row r="524">
      <c r="I524" s="40"/>
      <c r="J524" s="33"/>
      <c r="K524" s="33"/>
      <c r="L524" s="33"/>
      <c r="M524" s="34"/>
      <c r="N524" s="34"/>
      <c r="O524" s="39"/>
      <c r="Q524" s="53"/>
      <c r="U524" s="37"/>
      <c r="Y524" s="38"/>
      <c r="Z524" s="39"/>
      <c r="AA524" s="33"/>
      <c r="AB524" s="39"/>
      <c r="AC524" s="40"/>
    </row>
    <row r="525">
      <c r="I525" s="40"/>
      <c r="J525" s="33"/>
      <c r="K525" s="33"/>
      <c r="L525" s="33"/>
      <c r="M525" s="34"/>
      <c r="N525" s="34"/>
      <c r="O525" s="39"/>
      <c r="Q525" s="53"/>
      <c r="U525" s="37"/>
      <c r="Y525" s="38"/>
      <c r="Z525" s="39"/>
      <c r="AA525" s="33"/>
      <c r="AB525" s="39"/>
      <c r="AC525" s="40"/>
    </row>
    <row r="526">
      <c r="I526" s="40"/>
      <c r="J526" s="33"/>
      <c r="K526" s="33"/>
      <c r="L526" s="33"/>
      <c r="M526" s="34"/>
      <c r="N526" s="34"/>
      <c r="O526" s="39"/>
      <c r="Q526" s="53"/>
      <c r="U526" s="37"/>
      <c r="Y526" s="38"/>
      <c r="Z526" s="39"/>
      <c r="AA526" s="33"/>
      <c r="AB526" s="39"/>
      <c r="AC526" s="40"/>
    </row>
    <row r="527">
      <c r="I527" s="40"/>
      <c r="J527" s="33"/>
      <c r="K527" s="33"/>
      <c r="L527" s="33"/>
      <c r="M527" s="34"/>
      <c r="N527" s="34"/>
      <c r="O527" s="39"/>
      <c r="Q527" s="53"/>
      <c r="U527" s="37"/>
      <c r="Y527" s="38"/>
      <c r="Z527" s="39"/>
      <c r="AA527" s="33"/>
      <c r="AB527" s="39"/>
      <c r="AC527" s="40"/>
    </row>
    <row r="528">
      <c r="I528" s="40"/>
      <c r="J528" s="33"/>
      <c r="K528" s="33"/>
      <c r="L528" s="33"/>
      <c r="M528" s="34"/>
      <c r="N528" s="34"/>
      <c r="O528" s="39"/>
      <c r="Q528" s="53"/>
      <c r="U528" s="37"/>
      <c r="Y528" s="38"/>
      <c r="Z528" s="39"/>
      <c r="AA528" s="33"/>
      <c r="AB528" s="39"/>
      <c r="AC528" s="40"/>
    </row>
    <row r="529">
      <c r="I529" s="40"/>
      <c r="J529" s="33"/>
      <c r="K529" s="33"/>
      <c r="L529" s="33"/>
      <c r="M529" s="34"/>
      <c r="N529" s="34"/>
      <c r="O529" s="39"/>
      <c r="Q529" s="53"/>
      <c r="U529" s="37"/>
      <c r="Y529" s="38"/>
      <c r="Z529" s="39"/>
      <c r="AA529" s="33"/>
      <c r="AB529" s="39"/>
      <c r="AC529" s="40"/>
    </row>
    <row r="530">
      <c r="I530" s="40"/>
      <c r="J530" s="33"/>
      <c r="K530" s="33"/>
      <c r="L530" s="33"/>
      <c r="M530" s="34"/>
      <c r="N530" s="34"/>
      <c r="O530" s="39"/>
      <c r="Q530" s="53"/>
      <c r="U530" s="37"/>
      <c r="Y530" s="38"/>
      <c r="Z530" s="39"/>
      <c r="AA530" s="33"/>
      <c r="AB530" s="39"/>
      <c r="AC530" s="40"/>
    </row>
    <row r="531">
      <c r="I531" s="40"/>
      <c r="J531" s="33"/>
      <c r="K531" s="33"/>
      <c r="L531" s="33"/>
      <c r="M531" s="34"/>
      <c r="N531" s="34"/>
      <c r="O531" s="39"/>
      <c r="Q531" s="53"/>
      <c r="U531" s="37"/>
      <c r="Y531" s="38"/>
      <c r="Z531" s="39"/>
      <c r="AA531" s="33"/>
      <c r="AB531" s="39"/>
      <c r="AC531" s="40"/>
    </row>
    <row r="532">
      <c r="I532" s="40"/>
      <c r="J532" s="33"/>
      <c r="K532" s="33"/>
      <c r="L532" s="33"/>
      <c r="M532" s="34"/>
      <c r="N532" s="34"/>
      <c r="O532" s="39"/>
      <c r="Q532" s="53"/>
      <c r="U532" s="37"/>
      <c r="Y532" s="38"/>
      <c r="Z532" s="39"/>
      <c r="AA532" s="33"/>
      <c r="AB532" s="39"/>
      <c r="AC532" s="40"/>
    </row>
    <row r="533">
      <c r="I533" s="40"/>
      <c r="J533" s="33"/>
      <c r="K533" s="33"/>
      <c r="L533" s="33"/>
      <c r="M533" s="34"/>
      <c r="N533" s="34"/>
      <c r="O533" s="39"/>
      <c r="Q533" s="53"/>
      <c r="U533" s="37"/>
      <c r="Y533" s="38"/>
      <c r="Z533" s="39"/>
      <c r="AA533" s="33"/>
      <c r="AB533" s="39"/>
      <c r="AC533" s="40"/>
    </row>
    <row r="534">
      <c r="I534" s="40"/>
      <c r="J534" s="33"/>
      <c r="K534" s="33"/>
      <c r="L534" s="33"/>
      <c r="M534" s="34"/>
      <c r="N534" s="34"/>
      <c r="O534" s="39"/>
      <c r="Q534" s="53"/>
      <c r="U534" s="37"/>
      <c r="Y534" s="38"/>
      <c r="Z534" s="39"/>
      <c r="AA534" s="33"/>
      <c r="AB534" s="39"/>
      <c r="AC534" s="40"/>
    </row>
    <row r="535">
      <c r="I535" s="40"/>
      <c r="J535" s="33"/>
      <c r="K535" s="33"/>
      <c r="L535" s="33"/>
      <c r="M535" s="34"/>
      <c r="N535" s="34"/>
      <c r="O535" s="39"/>
      <c r="Q535" s="53"/>
      <c r="U535" s="37"/>
      <c r="Y535" s="38"/>
      <c r="Z535" s="39"/>
      <c r="AA535" s="33"/>
      <c r="AB535" s="39"/>
      <c r="AC535" s="40"/>
    </row>
    <row r="536">
      <c r="I536" s="40"/>
      <c r="J536" s="33"/>
      <c r="K536" s="33"/>
      <c r="L536" s="33"/>
      <c r="M536" s="34"/>
      <c r="N536" s="34"/>
      <c r="O536" s="39"/>
      <c r="Q536" s="53"/>
      <c r="U536" s="37"/>
      <c r="Y536" s="38"/>
      <c r="Z536" s="39"/>
      <c r="AA536" s="33"/>
      <c r="AB536" s="39"/>
      <c r="AC536" s="40"/>
    </row>
    <row r="537">
      <c r="I537" s="40"/>
      <c r="J537" s="33"/>
      <c r="K537" s="33"/>
      <c r="L537" s="33"/>
      <c r="M537" s="34"/>
      <c r="N537" s="34"/>
      <c r="O537" s="39"/>
      <c r="Q537" s="53"/>
      <c r="U537" s="37"/>
      <c r="Y537" s="38"/>
      <c r="Z537" s="39"/>
      <c r="AA537" s="33"/>
      <c r="AB537" s="39"/>
      <c r="AC537" s="40"/>
    </row>
    <row r="538">
      <c r="I538" s="40"/>
      <c r="J538" s="33"/>
      <c r="K538" s="33"/>
      <c r="L538" s="33"/>
      <c r="M538" s="34"/>
      <c r="N538" s="34"/>
      <c r="O538" s="39"/>
      <c r="Q538" s="53"/>
      <c r="U538" s="37"/>
      <c r="Y538" s="38"/>
      <c r="Z538" s="39"/>
      <c r="AA538" s="33"/>
      <c r="AB538" s="39"/>
      <c r="AC538" s="40"/>
    </row>
    <row r="539">
      <c r="I539" s="40"/>
      <c r="J539" s="33"/>
      <c r="K539" s="33"/>
      <c r="L539" s="33"/>
      <c r="M539" s="34"/>
      <c r="N539" s="34"/>
      <c r="O539" s="39"/>
      <c r="Q539" s="53"/>
      <c r="U539" s="37"/>
      <c r="Y539" s="38"/>
      <c r="Z539" s="39"/>
      <c r="AA539" s="33"/>
      <c r="AB539" s="39"/>
      <c r="AC539" s="40"/>
    </row>
    <row r="540">
      <c r="I540" s="40"/>
      <c r="J540" s="33"/>
      <c r="K540" s="33"/>
      <c r="L540" s="33"/>
      <c r="M540" s="34"/>
      <c r="N540" s="34"/>
      <c r="O540" s="39"/>
      <c r="Q540" s="53"/>
      <c r="U540" s="37"/>
      <c r="Y540" s="38"/>
      <c r="Z540" s="39"/>
      <c r="AA540" s="33"/>
      <c r="AB540" s="39"/>
      <c r="AC540" s="40"/>
    </row>
    <row r="541">
      <c r="I541" s="40"/>
      <c r="J541" s="33"/>
      <c r="K541" s="33"/>
      <c r="L541" s="33"/>
      <c r="M541" s="34"/>
      <c r="N541" s="34"/>
      <c r="O541" s="39"/>
      <c r="Q541" s="53"/>
      <c r="U541" s="37"/>
      <c r="Y541" s="38"/>
      <c r="Z541" s="39"/>
      <c r="AA541" s="33"/>
      <c r="AB541" s="39"/>
      <c r="AC541" s="40"/>
    </row>
    <row r="542">
      <c r="I542" s="40"/>
      <c r="J542" s="33"/>
      <c r="K542" s="33"/>
      <c r="L542" s="33"/>
      <c r="M542" s="34"/>
      <c r="N542" s="34"/>
      <c r="O542" s="39"/>
      <c r="Q542" s="53"/>
      <c r="U542" s="37"/>
      <c r="Y542" s="38"/>
      <c r="Z542" s="39"/>
      <c r="AA542" s="33"/>
      <c r="AB542" s="39"/>
      <c r="AC542" s="40"/>
    </row>
    <row r="543">
      <c r="I543" s="40"/>
      <c r="J543" s="33"/>
      <c r="K543" s="33"/>
      <c r="L543" s="33"/>
      <c r="M543" s="34"/>
      <c r="N543" s="34"/>
      <c r="O543" s="39"/>
      <c r="Q543" s="53"/>
      <c r="U543" s="37"/>
      <c r="Y543" s="38"/>
      <c r="Z543" s="39"/>
      <c r="AA543" s="33"/>
      <c r="AB543" s="39"/>
      <c r="AC543" s="40"/>
    </row>
    <row r="544">
      <c r="I544" s="40"/>
      <c r="J544" s="33"/>
      <c r="K544" s="33"/>
      <c r="L544" s="33"/>
      <c r="M544" s="34"/>
      <c r="N544" s="34"/>
      <c r="O544" s="39"/>
      <c r="Q544" s="53"/>
      <c r="U544" s="37"/>
      <c r="Y544" s="38"/>
      <c r="Z544" s="39"/>
      <c r="AA544" s="33"/>
      <c r="AB544" s="39"/>
      <c r="AC544" s="40"/>
    </row>
    <row r="545">
      <c r="I545" s="40"/>
      <c r="J545" s="33"/>
      <c r="K545" s="33"/>
      <c r="L545" s="33"/>
      <c r="M545" s="34"/>
      <c r="N545" s="34"/>
      <c r="O545" s="39"/>
      <c r="Q545" s="53"/>
      <c r="U545" s="37"/>
      <c r="Y545" s="38"/>
      <c r="Z545" s="39"/>
      <c r="AA545" s="33"/>
      <c r="AB545" s="39"/>
      <c r="AC545" s="40"/>
    </row>
    <row r="546">
      <c r="I546" s="40"/>
      <c r="J546" s="33"/>
      <c r="K546" s="33"/>
      <c r="L546" s="33"/>
      <c r="M546" s="34"/>
      <c r="N546" s="34"/>
      <c r="O546" s="39"/>
      <c r="Q546" s="53"/>
      <c r="U546" s="37"/>
      <c r="Y546" s="38"/>
      <c r="Z546" s="39"/>
      <c r="AA546" s="33"/>
      <c r="AB546" s="39"/>
      <c r="AC546" s="40"/>
    </row>
    <row r="547">
      <c r="I547" s="40"/>
      <c r="J547" s="33"/>
      <c r="K547" s="33"/>
      <c r="L547" s="33"/>
      <c r="M547" s="34"/>
      <c r="N547" s="34"/>
      <c r="O547" s="39"/>
      <c r="Q547" s="53"/>
      <c r="U547" s="37"/>
      <c r="Y547" s="38"/>
      <c r="Z547" s="39"/>
      <c r="AA547" s="33"/>
      <c r="AB547" s="39"/>
      <c r="AC547" s="40"/>
    </row>
    <row r="548">
      <c r="I548" s="40"/>
      <c r="J548" s="33"/>
      <c r="K548" s="33"/>
      <c r="L548" s="33"/>
      <c r="M548" s="34"/>
      <c r="N548" s="34"/>
      <c r="O548" s="39"/>
      <c r="Q548" s="53"/>
      <c r="U548" s="37"/>
      <c r="Y548" s="38"/>
      <c r="Z548" s="39"/>
      <c r="AA548" s="33"/>
      <c r="AB548" s="39"/>
      <c r="AC548" s="40"/>
    </row>
    <row r="549">
      <c r="I549" s="40"/>
      <c r="J549" s="33"/>
      <c r="K549" s="33"/>
      <c r="L549" s="33"/>
      <c r="M549" s="34"/>
      <c r="N549" s="34"/>
      <c r="O549" s="39"/>
      <c r="Q549" s="53"/>
      <c r="U549" s="37"/>
      <c r="Y549" s="38"/>
      <c r="Z549" s="39"/>
      <c r="AA549" s="33"/>
      <c r="AB549" s="39"/>
      <c r="AC549" s="40"/>
    </row>
    <row r="550">
      <c r="I550" s="40"/>
      <c r="J550" s="33"/>
      <c r="K550" s="33"/>
      <c r="L550" s="33"/>
      <c r="M550" s="34"/>
      <c r="N550" s="34"/>
      <c r="O550" s="39"/>
      <c r="Q550" s="53"/>
      <c r="U550" s="37"/>
      <c r="Y550" s="38"/>
      <c r="Z550" s="39"/>
      <c r="AA550" s="33"/>
      <c r="AB550" s="39"/>
      <c r="AC550" s="40"/>
    </row>
    <row r="551">
      <c r="I551" s="40"/>
      <c r="J551" s="33"/>
      <c r="K551" s="33"/>
      <c r="L551" s="33"/>
      <c r="M551" s="34"/>
      <c r="N551" s="34"/>
      <c r="O551" s="39"/>
      <c r="Q551" s="53"/>
      <c r="U551" s="37"/>
      <c r="Y551" s="38"/>
      <c r="Z551" s="39"/>
      <c r="AA551" s="33"/>
      <c r="AB551" s="39"/>
      <c r="AC551" s="40"/>
    </row>
    <row r="552">
      <c r="I552" s="40"/>
      <c r="J552" s="33"/>
      <c r="K552" s="33"/>
      <c r="L552" s="33"/>
      <c r="M552" s="34"/>
      <c r="N552" s="34"/>
      <c r="O552" s="39"/>
      <c r="Q552" s="53"/>
      <c r="U552" s="37"/>
      <c r="Y552" s="38"/>
      <c r="Z552" s="39"/>
      <c r="AA552" s="33"/>
      <c r="AB552" s="39"/>
      <c r="AC552" s="40"/>
    </row>
    <row r="553">
      <c r="I553" s="40"/>
      <c r="J553" s="33"/>
      <c r="K553" s="33"/>
      <c r="L553" s="33"/>
      <c r="M553" s="34"/>
      <c r="N553" s="34"/>
      <c r="O553" s="39"/>
      <c r="Q553" s="53"/>
      <c r="U553" s="37"/>
      <c r="Y553" s="38"/>
      <c r="Z553" s="39"/>
      <c r="AA553" s="33"/>
      <c r="AB553" s="39"/>
      <c r="AC553" s="40"/>
    </row>
    <row r="554">
      <c r="I554" s="40"/>
      <c r="J554" s="33"/>
      <c r="K554" s="33"/>
      <c r="L554" s="33"/>
      <c r="M554" s="34"/>
      <c r="N554" s="34"/>
      <c r="O554" s="39"/>
      <c r="Q554" s="53"/>
      <c r="U554" s="37"/>
      <c r="Y554" s="38"/>
      <c r="Z554" s="39"/>
      <c r="AA554" s="33"/>
      <c r="AB554" s="39"/>
      <c r="AC554" s="40"/>
    </row>
    <row r="555">
      <c r="I555" s="40"/>
      <c r="J555" s="33"/>
      <c r="K555" s="33"/>
      <c r="L555" s="33"/>
      <c r="M555" s="34"/>
      <c r="N555" s="34"/>
      <c r="O555" s="39"/>
      <c r="Q555" s="53"/>
      <c r="U555" s="37"/>
      <c r="Y555" s="38"/>
      <c r="Z555" s="39"/>
      <c r="AA555" s="33"/>
      <c r="AB555" s="39"/>
      <c r="AC555" s="40"/>
    </row>
    <row r="556">
      <c r="I556" s="40"/>
      <c r="J556" s="33"/>
      <c r="K556" s="33"/>
      <c r="L556" s="33"/>
      <c r="M556" s="34"/>
      <c r="N556" s="34"/>
      <c r="O556" s="39"/>
      <c r="Q556" s="53"/>
      <c r="U556" s="37"/>
      <c r="Y556" s="38"/>
      <c r="Z556" s="39"/>
      <c r="AA556" s="33"/>
      <c r="AB556" s="39"/>
      <c r="AC556" s="40"/>
    </row>
    <row r="557">
      <c r="I557" s="40"/>
      <c r="J557" s="33"/>
      <c r="K557" s="33"/>
      <c r="L557" s="33"/>
      <c r="M557" s="34"/>
      <c r="N557" s="34"/>
      <c r="O557" s="39"/>
      <c r="Q557" s="53"/>
      <c r="U557" s="37"/>
      <c r="Y557" s="38"/>
      <c r="Z557" s="39"/>
      <c r="AA557" s="33"/>
      <c r="AB557" s="39"/>
      <c r="AC557" s="40"/>
    </row>
    <row r="558">
      <c r="I558" s="40"/>
      <c r="J558" s="33"/>
      <c r="K558" s="33"/>
      <c r="L558" s="33"/>
      <c r="M558" s="34"/>
      <c r="N558" s="34"/>
      <c r="O558" s="39"/>
      <c r="Q558" s="53"/>
      <c r="U558" s="37"/>
      <c r="Y558" s="38"/>
      <c r="Z558" s="39"/>
      <c r="AA558" s="33"/>
      <c r="AB558" s="39"/>
      <c r="AC558" s="40"/>
    </row>
    <row r="559">
      <c r="I559" s="40"/>
      <c r="J559" s="33"/>
      <c r="K559" s="33"/>
      <c r="L559" s="33"/>
      <c r="M559" s="34"/>
      <c r="N559" s="34"/>
      <c r="O559" s="39"/>
      <c r="Q559" s="53"/>
      <c r="U559" s="37"/>
      <c r="Y559" s="38"/>
      <c r="Z559" s="39"/>
      <c r="AA559" s="33"/>
      <c r="AB559" s="39"/>
      <c r="AC559" s="40"/>
    </row>
    <row r="560">
      <c r="I560" s="40"/>
      <c r="J560" s="33"/>
      <c r="K560" s="33"/>
      <c r="L560" s="33"/>
      <c r="M560" s="34"/>
      <c r="N560" s="34"/>
      <c r="O560" s="39"/>
      <c r="Q560" s="53"/>
      <c r="U560" s="37"/>
      <c r="Y560" s="38"/>
      <c r="Z560" s="39"/>
      <c r="AA560" s="33"/>
      <c r="AB560" s="39"/>
      <c r="AC560" s="40"/>
    </row>
    <row r="561">
      <c r="I561" s="40"/>
      <c r="J561" s="33"/>
      <c r="K561" s="33"/>
      <c r="L561" s="33"/>
      <c r="M561" s="34"/>
      <c r="N561" s="34"/>
      <c r="O561" s="39"/>
      <c r="Q561" s="53"/>
      <c r="U561" s="37"/>
      <c r="Y561" s="38"/>
      <c r="Z561" s="39"/>
      <c r="AA561" s="33"/>
      <c r="AB561" s="39"/>
      <c r="AC561" s="40"/>
    </row>
    <row r="562">
      <c r="I562" s="40"/>
      <c r="J562" s="33"/>
      <c r="K562" s="33"/>
      <c r="L562" s="33"/>
      <c r="M562" s="34"/>
      <c r="N562" s="34"/>
      <c r="O562" s="39"/>
      <c r="Q562" s="53"/>
      <c r="U562" s="37"/>
      <c r="Y562" s="38"/>
      <c r="Z562" s="39"/>
      <c r="AA562" s="33"/>
      <c r="AB562" s="39"/>
      <c r="AC562" s="40"/>
    </row>
    <row r="563">
      <c r="I563" s="40"/>
      <c r="J563" s="33"/>
      <c r="K563" s="33"/>
      <c r="L563" s="33"/>
      <c r="M563" s="34"/>
      <c r="N563" s="34"/>
      <c r="O563" s="39"/>
      <c r="Q563" s="53"/>
      <c r="U563" s="37"/>
      <c r="Y563" s="38"/>
      <c r="Z563" s="39"/>
      <c r="AA563" s="33"/>
      <c r="AB563" s="39"/>
      <c r="AC563" s="40"/>
    </row>
    <row r="564">
      <c r="I564" s="40"/>
      <c r="J564" s="33"/>
      <c r="K564" s="33"/>
      <c r="L564" s="33"/>
      <c r="M564" s="34"/>
      <c r="N564" s="34"/>
      <c r="O564" s="39"/>
      <c r="Q564" s="53"/>
      <c r="U564" s="37"/>
      <c r="Y564" s="38"/>
      <c r="Z564" s="39"/>
      <c r="AA564" s="33"/>
      <c r="AB564" s="39"/>
      <c r="AC564" s="40"/>
    </row>
    <row r="565">
      <c r="I565" s="40"/>
      <c r="J565" s="33"/>
      <c r="K565" s="33"/>
      <c r="L565" s="33"/>
      <c r="M565" s="34"/>
      <c r="N565" s="34"/>
      <c r="O565" s="39"/>
      <c r="Q565" s="53"/>
      <c r="U565" s="37"/>
      <c r="Y565" s="38"/>
      <c r="Z565" s="39"/>
      <c r="AA565" s="33"/>
      <c r="AB565" s="39"/>
      <c r="AC565" s="40"/>
    </row>
    <row r="566">
      <c r="I566" s="40"/>
      <c r="J566" s="33"/>
      <c r="K566" s="33"/>
      <c r="L566" s="33"/>
      <c r="M566" s="34"/>
      <c r="N566" s="34"/>
      <c r="O566" s="39"/>
      <c r="Q566" s="53"/>
      <c r="U566" s="37"/>
      <c r="Y566" s="38"/>
      <c r="Z566" s="39"/>
      <c r="AA566" s="33"/>
      <c r="AB566" s="39"/>
      <c r="AC566" s="40"/>
    </row>
    <row r="567">
      <c r="I567" s="40"/>
      <c r="J567" s="33"/>
      <c r="K567" s="33"/>
      <c r="L567" s="33"/>
      <c r="M567" s="34"/>
      <c r="N567" s="34"/>
      <c r="O567" s="39"/>
      <c r="Q567" s="53"/>
      <c r="U567" s="37"/>
      <c r="Y567" s="38"/>
      <c r="Z567" s="39"/>
      <c r="AA567" s="33"/>
      <c r="AB567" s="39"/>
      <c r="AC567" s="40"/>
    </row>
    <row r="568">
      <c r="I568" s="40"/>
      <c r="J568" s="33"/>
      <c r="K568" s="33"/>
      <c r="L568" s="33"/>
      <c r="M568" s="34"/>
      <c r="N568" s="34"/>
      <c r="O568" s="39"/>
      <c r="Q568" s="53"/>
      <c r="U568" s="37"/>
      <c r="Y568" s="38"/>
      <c r="Z568" s="39"/>
      <c r="AA568" s="33"/>
      <c r="AB568" s="39"/>
      <c r="AC568" s="40"/>
    </row>
    <row r="569">
      <c r="I569" s="40"/>
      <c r="J569" s="33"/>
      <c r="K569" s="33"/>
      <c r="L569" s="33"/>
      <c r="M569" s="34"/>
      <c r="N569" s="34"/>
      <c r="O569" s="39"/>
      <c r="Q569" s="53"/>
      <c r="U569" s="37"/>
      <c r="Y569" s="38"/>
      <c r="Z569" s="39"/>
      <c r="AA569" s="33"/>
      <c r="AB569" s="39"/>
      <c r="AC569" s="40"/>
    </row>
    <row r="570">
      <c r="I570" s="40"/>
      <c r="J570" s="33"/>
      <c r="K570" s="33"/>
      <c r="L570" s="33"/>
      <c r="M570" s="34"/>
      <c r="N570" s="34"/>
      <c r="O570" s="39"/>
      <c r="Q570" s="53"/>
      <c r="U570" s="37"/>
      <c r="Y570" s="38"/>
      <c r="Z570" s="39"/>
      <c r="AA570" s="33"/>
      <c r="AB570" s="39"/>
      <c r="AC570" s="40"/>
    </row>
    <row r="571">
      <c r="I571" s="40"/>
      <c r="J571" s="33"/>
      <c r="K571" s="33"/>
      <c r="L571" s="33"/>
      <c r="M571" s="34"/>
      <c r="N571" s="34"/>
      <c r="O571" s="39"/>
      <c r="Q571" s="53"/>
      <c r="U571" s="37"/>
      <c r="Y571" s="38"/>
      <c r="Z571" s="39"/>
      <c r="AA571" s="33"/>
      <c r="AB571" s="39"/>
      <c r="AC571" s="40"/>
    </row>
    <row r="572">
      <c r="I572" s="40"/>
      <c r="J572" s="33"/>
      <c r="K572" s="33"/>
      <c r="L572" s="33"/>
      <c r="M572" s="34"/>
      <c r="N572" s="34"/>
      <c r="O572" s="39"/>
      <c r="Q572" s="53"/>
      <c r="U572" s="37"/>
      <c r="Y572" s="38"/>
      <c r="Z572" s="39"/>
      <c r="AA572" s="33"/>
      <c r="AB572" s="39"/>
      <c r="AC572" s="40"/>
    </row>
    <row r="573">
      <c r="I573" s="40"/>
      <c r="J573" s="33"/>
      <c r="K573" s="33"/>
      <c r="L573" s="33"/>
      <c r="M573" s="34"/>
      <c r="N573" s="34"/>
      <c r="O573" s="39"/>
      <c r="Q573" s="53"/>
      <c r="U573" s="37"/>
      <c r="Y573" s="38"/>
      <c r="Z573" s="39"/>
      <c r="AA573" s="33"/>
      <c r="AB573" s="39"/>
      <c r="AC573" s="40"/>
    </row>
    <row r="574">
      <c r="I574" s="40"/>
      <c r="J574" s="33"/>
      <c r="K574" s="33"/>
      <c r="L574" s="33"/>
      <c r="M574" s="34"/>
      <c r="N574" s="34"/>
      <c r="O574" s="39"/>
      <c r="Q574" s="53"/>
      <c r="U574" s="37"/>
      <c r="Y574" s="38"/>
      <c r="Z574" s="39"/>
      <c r="AA574" s="33"/>
      <c r="AB574" s="39"/>
      <c r="AC574" s="40"/>
    </row>
    <row r="575">
      <c r="I575" s="40"/>
      <c r="J575" s="33"/>
      <c r="K575" s="33"/>
      <c r="L575" s="33"/>
      <c r="M575" s="34"/>
      <c r="N575" s="34"/>
      <c r="O575" s="39"/>
      <c r="Q575" s="53"/>
      <c r="U575" s="37"/>
      <c r="Y575" s="38"/>
      <c r="Z575" s="39"/>
      <c r="AA575" s="33"/>
      <c r="AB575" s="39"/>
      <c r="AC575" s="40"/>
    </row>
    <row r="576">
      <c r="I576" s="40"/>
      <c r="J576" s="33"/>
      <c r="K576" s="33"/>
      <c r="L576" s="33"/>
      <c r="M576" s="34"/>
      <c r="N576" s="34"/>
      <c r="O576" s="39"/>
      <c r="Q576" s="53"/>
      <c r="U576" s="37"/>
      <c r="Y576" s="38"/>
      <c r="Z576" s="39"/>
      <c r="AA576" s="33"/>
      <c r="AB576" s="39"/>
      <c r="AC576" s="40"/>
    </row>
    <row r="577">
      <c r="I577" s="40"/>
      <c r="J577" s="33"/>
      <c r="K577" s="33"/>
      <c r="L577" s="33"/>
      <c r="M577" s="34"/>
      <c r="N577" s="34"/>
      <c r="O577" s="39"/>
      <c r="Q577" s="53"/>
      <c r="U577" s="37"/>
      <c r="Y577" s="38"/>
      <c r="Z577" s="39"/>
      <c r="AA577" s="33"/>
      <c r="AB577" s="39"/>
      <c r="AC577" s="40"/>
    </row>
    <row r="578">
      <c r="I578" s="40"/>
      <c r="J578" s="33"/>
      <c r="K578" s="33"/>
      <c r="L578" s="33"/>
      <c r="M578" s="34"/>
      <c r="N578" s="34"/>
      <c r="O578" s="39"/>
      <c r="Q578" s="53"/>
      <c r="U578" s="37"/>
      <c r="Y578" s="38"/>
      <c r="Z578" s="39"/>
      <c r="AA578" s="33"/>
      <c r="AB578" s="39"/>
      <c r="AC578" s="40"/>
    </row>
    <row r="579">
      <c r="I579" s="40"/>
      <c r="J579" s="33"/>
      <c r="K579" s="33"/>
      <c r="L579" s="33"/>
      <c r="M579" s="34"/>
      <c r="N579" s="34"/>
      <c r="O579" s="39"/>
      <c r="Q579" s="53"/>
      <c r="U579" s="37"/>
      <c r="Y579" s="38"/>
      <c r="Z579" s="39"/>
      <c r="AA579" s="33"/>
      <c r="AB579" s="39"/>
      <c r="AC579" s="40"/>
    </row>
    <row r="580">
      <c r="I580" s="40"/>
      <c r="J580" s="33"/>
      <c r="K580" s="33"/>
      <c r="L580" s="33"/>
      <c r="M580" s="34"/>
      <c r="N580" s="34"/>
      <c r="O580" s="39"/>
      <c r="Q580" s="53"/>
      <c r="U580" s="37"/>
      <c r="Y580" s="38"/>
      <c r="Z580" s="39"/>
      <c r="AA580" s="33"/>
      <c r="AB580" s="39"/>
      <c r="AC580" s="40"/>
    </row>
    <row r="581">
      <c r="I581" s="40"/>
      <c r="J581" s="33"/>
      <c r="K581" s="33"/>
      <c r="L581" s="33"/>
      <c r="M581" s="34"/>
      <c r="N581" s="34"/>
      <c r="O581" s="39"/>
      <c r="Q581" s="53"/>
      <c r="U581" s="37"/>
      <c r="Y581" s="38"/>
      <c r="Z581" s="39"/>
      <c r="AA581" s="33"/>
      <c r="AB581" s="39"/>
      <c r="AC581" s="40"/>
    </row>
    <row r="582">
      <c r="I582" s="40"/>
      <c r="J582" s="33"/>
      <c r="K582" s="33"/>
      <c r="L582" s="33"/>
      <c r="M582" s="34"/>
      <c r="N582" s="34"/>
      <c r="O582" s="39"/>
      <c r="Q582" s="53"/>
      <c r="U582" s="37"/>
      <c r="Y582" s="38"/>
      <c r="Z582" s="39"/>
      <c r="AA582" s="33"/>
      <c r="AB582" s="39"/>
      <c r="AC582" s="40"/>
    </row>
    <row r="583">
      <c r="I583" s="40"/>
      <c r="J583" s="33"/>
      <c r="K583" s="33"/>
      <c r="L583" s="33"/>
      <c r="M583" s="34"/>
      <c r="N583" s="34"/>
      <c r="O583" s="39"/>
      <c r="Q583" s="53"/>
      <c r="U583" s="37"/>
      <c r="Y583" s="38"/>
      <c r="Z583" s="39"/>
      <c r="AA583" s="33"/>
      <c r="AB583" s="39"/>
      <c r="AC583" s="40"/>
    </row>
    <row r="584">
      <c r="I584" s="40"/>
      <c r="J584" s="33"/>
      <c r="K584" s="33"/>
      <c r="L584" s="33"/>
      <c r="M584" s="34"/>
      <c r="N584" s="34"/>
      <c r="O584" s="39"/>
      <c r="Q584" s="53"/>
      <c r="U584" s="37"/>
      <c r="Y584" s="38"/>
      <c r="Z584" s="39"/>
      <c r="AA584" s="33"/>
      <c r="AB584" s="39"/>
      <c r="AC584" s="40"/>
    </row>
    <row r="585">
      <c r="I585" s="40"/>
      <c r="J585" s="33"/>
      <c r="K585" s="33"/>
      <c r="L585" s="33"/>
      <c r="M585" s="34"/>
      <c r="N585" s="34"/>
      <c r="O585" s="39"/>
      <c r="Q585" s="53"/>
      <c r="U585" s="37"/>
      <c r="Y585" s="38"/>
      <c r="Z585" s="39"/>
      <c r="AA585" s="33"/>
      <c r="AB585" s="39"/>
      <c r="AC585" s="40"/>
    </row>
    <row r="586">
      <c r="I586" s="40"/>
      <c r="J586" s="33"/>
      <c r="K586" s="33"/>
      <c r="L586" s="33"/>
      <c r="M586" s="34"/>
      <c r="N586" s="34"/>
      <c r="O586" s="39"/>
      <c r="Q586" s="53"/>
      <c r="U586" s="37"/>
      <c r="Y586" s="38"/>
      <c r="Z586" s="39"/>
      <c r="AA586" s="33"/>
      <c r="AB586" s="39"/>
      <c r="AC586" s="40"/>
    </row>
    <row r="587">
      <c r="I587" s="40"/>
      <c r="J587" s="33"/>
      <c r="K587" s="33"/>
      <c r="L587" s="33"/>
      <c r="M587" s="34"/>
      <c r="N587" s="34"/>
      <c r="O587" s="39"/>
      <c r="Q587" s="53"/>
      <c r="U587" s="37"/>
      <c r="Y587" s="38"/>
      <c r="Z587" s="39"/>
      <c r="AA587" s="33"/>
      <c r="AB587" s="39"/>
      <c r="AC587" s="40"/>
    </row>
    <row r="588">
      <c r="I588" s="40"/>
      <c r="J588" s="33"/>
      <c r="K588" s="33"/>
      <c r="L588" s="33"/>
      <c r="M588" s="34"/>
      <c r="N588" s="34"/>
      <c r="O588" s="39"/>
      <c r="Q588" s="53"/>
      <c r="U588" s="37"/>
      <c r="Y588" s="38"/>
      <c r="Z588" s="39"/>
      <c r="AA588" s="33"/>
      <c r="AB588" s="39"/>
      <c r="AC588" s="40"/>
    </row>
    <row r="589">
      <c r="I589" s="40"/>
      <c r="J589" s="33"/>
      <c r="K589" s="33"/>
      <c r="L589" s="33"/>
      <c r="M589" s="34"/>
      <c r="N589" s="34"/>
      <c r="O589" s="39"/>
      <c r="Q589" s="53"/>
      <c r="U589" s="37"/>
      <c r="Y589" s="38"/>
      <c r="Z589" s="39"/>
      <c r="AA589" s="33"/>
      <c r="AB589" s="39"/>
      <c r="AC589" s="40"/>
    </row>
    <row r="590">
      <c r="I590" s="40"/>
      <c r="J590" s="33"/>
      <c r="K590" s="33"/>
      <c r="L590" s="33"/>
      <c r="M590" s="34"/>
      <c r="N590" s="34"/>
      <c r="O590" s="39"/>
      <c r="Q590" s="53"/>
      <c r="U590" s="37"/>
      <c r="Y590" s="38"/>
      <c r="Z590" s="39"/>
      <c r="AA590" s="33"/>
      <c r="AB590" s="39"/>
      <c r="AC590" s="40"/>
    </row>
    <row r="591">
      <c r="I591" s="40"/>
      <c r="J591" s="33"/>
      <c r="K591" s="33"/>
      <c r="L591" s="33"/>
      <c r="M591" s="34"/>
      <c r="N591" s="34"/>
      <c r="O591" s="39"/>
      <c r="Q591" s="53"/>
      <c r="U591" s="37"/>
      <c r="Y591" s="38"/>
      <c r="Z591" s="39"/>
      <c r="AA591" s="33"/>
      <c r="AB591" s="39"/>
      <c r="AC591" s="40"/>
    </row>
    <row r="592">
      <c r="I592" s="40"/>
      <c r="J592" s="33"/>
      <c r="K592" s="33"/>
      <c r="L592" s="33"/>
      <c r="M592" s="34"/>
      <c r="N592" s="34"/>
      <c r="O592" s="39"/>
      <c r="Q592" s="53"/>
      <c r="U592" s="37"/>
      <c r="Y592" s="38"/>
      <c r="Z592" s="39"/>
      <c r="AA592" s="33"/>
      <c r="AB592" s="39"/>
      <c r="AC592" s="40"/>
    </row>
    <row r="593">
      <c r="I593" s="40"/>
      <c r="J593" s="33"/>
      <c r="K593" s="33"/>
      <c r="L593" s="33"/>
      <c r="M593" s="34"/>
      <c r="N593" s="34"/>
      <c r="O593" s="39"/>
      <c r="Q593" s="53"/>
      <c r="U593" s="37"/>
      <c r="Y593" s="38"/>
      <c r="Z593" s="39"/>
      <c r="AA593" s="33"/>
      <c r="AB593" s="39"/>
      <c r="AC593" s="40"/>
    </row>
    <row r="594">
      <c r="I594" s="40"/>
      <c r="J594" s="33"/>
      <c r="K594" s="33"/>
      <c r="L594" s="33"/>
      <c r="M594" s="34"/>
      <c r="N594" s="34"/>
      <c r="O594" s="39"/>
      <c r="Q594" s="53"/>
      <c r="U594" s="37"/>
      <c r="Y594" s="38"/>
      <c r="Z594" s="39"/>
      <c r="AA594" s="33"/>
      <c r="AB594" s="39"/>
      <c r="AC594" s="40"/>
    </row>
    <row r="595">
      <c r="I595" s="40"/>
      <c r="J595" s="33"/>
      <c r="K595" s="33"/>
      <c r="L595" s="33"/>
      <c r="M595" s="34"/>
      <c r="N595" s="34"/>
      <c r="O595" s="39"/>
      <c r="Q595" s="53"/>
      <c r="U595" s="37"/>
      <c r="Y595" s="38"/>
      <c r="Z595" s="39"/>
      <c r="AA595" s="33"/>
      <c r="AB595" s="39"/>
      <c r="AC595" s="40"/>
    </row>
    <row r="596">
      <c r="I596" s="40"/>
      <c r="J596" s="33"/>
      <c r="K596" s="33"/>
      <c r="L596" s="33"/>
      <c r="M596" s="34"/>
      <c r="N596" s="34"/>
      <c r="O596" s="39"/>
      <c r="Q596" s="53"/>
      <c r="U596" s="37"/>
      <c r="Y596" s="38"/>
      <c r="Z596" s="39"/>
      <c r="AA596" s="33"/>
      <c r="AB596" s="39"/>
      <c r="AC596" s="40"/>
    </row>
    <row r="597">
      <c r="I597" s="40"/>
      <c r="J597" s="33"/>
      <c r="K597" s="33"/>
      <c r="L597" s="33"/>
      <c r="M597" s="34"/>
      <c r="N597" s="34"/>
      <c r="O597" s="39"/>
      <c r="Q597" s="53"/>
      <c r="U597" s="37"/>
      <c r="Y597" s="38"/>
      <c r="Z597" s="39"/>
      <c r="AA597" s="33"/>
      <c r="AB597" s="39"/>
      <c r="AC597" s="40"/>
    </row>
    <row r="598">
      <c r="I598" s="40"/>
      <c r="J598" s="33"/>
      <c r="K598" s="33"/>
      <c r="L598" s="33"/>
      <c r="M598" s="34"/>
      <c r="N598" s="34"/>
      <c r="O598" s="39"/>
      <c r="Q598" s="53"/>
      <c r="U598" s="37"/>
      <c r="Y598" s="38"/>
      <c r="Z598" s="39"/>
      <c r="AA598" s="33"/>
      <c r="AB598" s="39"/>
      <c r="AC598" s="40"/>
    </row>
    <row r="599">
      <c r="I599" s="40"/>
      <c r="J599" s="33"/>
      <c r="K599" s="33"/>
      <c r="L599" s="33"/>
      <c r="M599" s="34"/>
      <c r="N599" s="34"/>
      <c r="O599" s="39"/>
      <c r="Q599" s="53"/>
      <c r="U599" s="37"/>
      <c r="Y599" s="38"/>
      <c r="Z599" s="39"/>
      <c r="AA599" s="33"/>
      <c r="AB599" s="39"/>
      <c r="AC599" s="40"/>
    </row>
    <row r="600">
      <c r="I600" s="40"/>
      <c r="J600" s="33"/>
      <c r="K600" s="33"/>
      <c r="L600" s="33"/>
      <c r="M600" s="34"/>
      <c r="N600" s="34"/>
      <c r="O600" s="39"/>
      <c r="Q600" s="53"/>
      <c r="U600" s="37"/>
      <c r="Y600" s="38"/>
      <c r="Z600" s="39"/>
      <c r="AA600" s="33"/>
      <c r="AB600" s="39"/>
      <c r="AC600" s="40"/>
    </row>
    <row r="601">
      <c r="I601" s="40"/>
      <c r="J601" s="33"/>
      <c r="K601" s="33"/>
      <c r="L601" s="33"/>
      <c r="M601" s="34"/>
      <c r="N601" s="34"/>
      <c r="O601" s="39"/>
      <c r="Q601" s="53"/>
      <c r="U601" s="37"/>
      <c r="Y601" s="38"/>
      <c r="Z601" s="39"/>
      <c r="AA601" s="33"/>
      <c r="AB601" s="39"/>
      <c r="AC601" s="40"/>
    </row>
    <row r="602">
      <c r="I602" s="40"/>
      <c r="J602" s="33"/>
      <c r="K602" s="33"/>
      <c r="L602" s="33"/>
      <c r="M602" s="34"/>
      <c r="N602" s="34"/>
      <c r="O602" s="39"/>
      <c r="Q602" s="53"/>
      <c r="U602" s="37"/>
      <c r="Y602" s="38"/>
      <c r="Z602" s="39"/>
      <c r="AA602" s="33"/>
      <c r="AB602" s="39"/>
      <c r="AC602" s="40"/>
    </row>
    <row r="603">
      <c r="I603" s="40"/>
      <c r="J603" s="33"/>
      <c r="K603" s="33"/>
      <c r="L603" s="33"/>
      <c r="M603" s="34"/>
      <c r="N603" s="34"/>
      <c r="O603" s="39"/>
      <c r="Q603" s="53"/>
      <c r="U603" s="37"/>
      <c r="Y603" s="38"/>
      <c r="Z603" s="39"/>
      <c r="AA603" s="33"/>
      <c r="AB603" s="39"/>
      <c r="AC603" s="40"/>
    </row>
    <row r="604">
      <c r="I604" s="40"/>
      <c r="J604" s="33"/>
      <c r="K604" s="33"/>
      <c r="L604" s="33"/>
      <c r="M604" s="34"/>
      <c r="N604" s="34"/>
      <c r="O604" s="39"/>
      <c r="Q604" s="53"/>
      <c r="U604" s="37"/>
      <c r="Y604" s="38"/>
      <c r="Z604" s="39"/>
      <c r="AA604" s="33"/>
      <c r="AB604" s="39"/>
      <c r="AC604" s="40"/>
    </row>
    <row r="605">
      <c r="I605" s="40"/>
      <c r="J605" s="33"/>
      <c r="K605" s="33"/>
      <c r="L605" s="33"/>
      <c r="M605" s="34"/>
      <c r="N605" s="34"/>
      <c r="O605" s="39"/>
      <c r="Q605" s="53"/>
      <c r="U605" s="37"/>
      <c r="Y605" s="38"/>
      <c r="Z605" s="39"/>
      <c r="AA605" s="33"/>
      <c r="AB605" s="39"/>
      <c r="AC605" s="40"/>
    </row>
    <row r="606">
      <c r="I606" s="40"/>
      <c r="J606" s="33"/>
      <c r="K606" s="33"/>
      <c r="L606" s="33"/>
      <c r="M606" s="34"/>
      <c r="N606" s="34"/>
      <c r="O606" s="39"/>
      <c r="Q606" s="53"/>
      <c r="U606" s="37"/>
      <c r="Y606" s="38"/>
      <c r="Z606" s="39"/>
      <c r="AA606" s="33"/>
      <c r="AB606" s="39"/>
      <c r="AC606" s="40"/>
    </row>
    <row r="607">
      <c r="I607" s="40"/>
      <c r="J607" s="33"/>
      <c r="K607" s="33"/>
      <c r="L607" s="33"/>
      <c r="M607" s="34"/>
      <c r="N607" s="34"/>
      <c r="O607" s="39"/>
      <c r="Q607" s="53"/>
      <c r="U607" s="37"/>
      <c r="Y607" s="38"/>
      <c r="Z607" s="39"/>
      <c r="AA607" s="33"/>
      <c r="AB607" s="39"/>
      <c r="AC607" s="40"/>
    </row>
    <row r="608">
      <c r="I608" s="40"/>
      <c r="J608" s="33"/>
      <c r="K608" s="33"/>
      <c r="L608" s="33"/>
      <c r="M608" s="34"/>
      <c r="N608" s="34"/>
      <c r="O608" s="39"/>
      <c r="Q608" s="53"/>
      <c r="U608" s="37"/>
      <c r="Y608" s="38"/>
      <c r="Z608" s="39"/>
      <c r="AA608" s="33"/>
      <c r="AB608" s="39"/>
      <c r="AC608" s="40"/>
    </row>
    <row r="609">
      <c r="I609" s="40"/>
      <c r="J609" s="33"/>
      <c r="K609" s="33"/>
      <c r="L609" s="33"/>
      <c r="M609" s="34"/>
      <c r="N609" s="34"/>
      <c r="O609" s="39"/>
      <c r="Q609" s="53"/>
      <c r="U609" s="37"/>
      <c r="Y609" s="38"/>
      <c r="Z609" s="39"/>
      <c r="AA609" s="33"/>
      <c r="AB609" s="39"/>
      <c r="AC609" s="40"/>
    </row>
    <row r="610">
      <c r="I610" s="40"/>
      <c r="J610" s="33"/>
      <c r="K610" s="33"/>
      <c r="L610" s="33"/>
      <c r="M610" s="34"/>
      <c r="N610" s="34"/>
      <c r="O610" s="39"/>
      <c r="Q610" s="53"/>
      <c r="U610" s="37"/>
      <c r="Y610" s="38"/>
      <c r="Z610" s="39"/>
      <c r="AA610" s="33"/>
      <c r="AB610" s="39"/>
      <c r="AC610" s="40"/>
    </row>
    <row r="611">
      <c r="I611" s="40"/>
      <c r="J611" s="33"/>
      <c r="K611" s="33"/>
      <c r="L611" s="33"/>
      <c r="M611" s="34"/>
      <c r="N611" s="34"/>
      <c r="O611" s="39"/>
      <c r="Q611" s="53"/>
      <c r="U611" s="37"/>
      <c r="Y611" s="38"/>
      <c r="Z611" s="39"/>
      <c r="AA611" s="33"/>
      <c r="AB611" s="39"/>
      <c r="AC611" s="40"/>
    </row>
    <row r="612">
      <c r="I612" s="40"/>
      <c r="J612" s="33"/>
      <c r="K612" s="33"/>
      <c r="L612" s="33"/>
      <c r="M612" s="34"/>
      <c r="N612" s="34"/>
      <c r="O612" s="39"/>
      <c r="Q612" s="53"/>
      <c r="U612" s="37"/>
      <c r="Y612" s="38"/>
      <c r="Z612" s="39"/>
      <c r="AA612" s="33"/>
      <c r="AB612" s="39"/>
      <c r="AC612" s="40"/>
    </row>
    <row r="613">
      <c r="I613" s="40"/>
      <c r="J613" s="33"/>
      <c r="K613" s="33"/>
      <c r="L613" s="33"/>
      <c r="M613" s="34"/>
      <c r="N613" s="34"/>
      <c r="O613" s="39"/>
      <c r="Q613" s="53"/>
      <c r="U613" s="37"/>
      <c r="Y613" s="38"/>
      <c r="Z613" s="39"/>
      <c r="AA613" s="33"/>
      <c r="AB613" s="39"/>
      <c r="AC613" s="40"/>
    </row>
    <row r="614">
      <c r="I614" s="40"/>
      <c r="J614" s="33"/>
      <c r="K614" s="33"/>
      <c r="L614" s="33"/>
      <c r="M614" s="34"/>
      <c r="N614" s="34"/>
      <c r="O614" s="39"/>
      <c r="Q614" s="53"/>
      <c r="U614" s="37"/>
      <c r="Y614" s="38"/>
      <c r="Z614" s="39"/>
      <c r="AA614" s="33"/>
      <c r="AB614" s="39"/>
      <c r="AC614" s="40"/>
    </row>
    <row r="615">
      <c r="I615" s="40"/>
      <c r="J615" s="33"/>
      <c r="K615" s="33"/>
      <c r="L615" s="33"/>
      <c r="M615" s="34"/>
      <c r="N615" s="34"/>
      <c r="O615" s="39"/>
      <c r="Q615" s="53"/>
      <c r="U615" s="37"/>
      <c r="Y615" s="38"/>
      <c r="Z615" s="39"/>
      <c r="AA615" s="33"/>
      <c r="AB615" s="39"/>
      <c r="AC615" s="40"/>
    </row>
    <row r="616">
      <c r="I616" s="40"/>
      <c r="J616" s="33"/>
      <c r="K616" s="33"/>
      <c r="L616" s="33"/>
      <c r="M616" s="34"/>
      <c r="N616" s="34"/>
      <c r="O616" s="39"/>
      <c r="Q616" s="53"/>
      <c r="U616" s="37"/>
      <c r="Y616" s="38"/>
      <c r="Z616" s="39"/>
      <c r="AA616" s="33"/>
      <c r="AB616" s="39"/>
      <c r="AC616" s="40"/>
    </row>
    <row r="617">
      <c r="I617" s="40"/>
      <c r="J617" s="33"/>
      <c r="K617" s="33"/>
      <c r="L617" s="33"/>
      <c r="M617" s="34"/>
      <c r="N617" s="34"/>
      <c r="O617" s="39"/>
      <c r="Q617" s="53"/>
      <c r="U617" s="37"/>
      <c r="Y617" s="38"/>
      <c r="Z617" s="39"/>
      <c r="AA617" s="33"/>
      <c r="AB617" s="39"/>
      <c r="AC617" s="40"/>
    </row>
    <row r="618">
      <c r="I618" s="40"/>
      <c r="J618" s="33"/>
      <c r="K618" s="33"/>
      <c r="L618" s="33"/>
      <c r="M618" s="34"/>
      <c r="N618" s="34"/>
      <c r="O618" s="39"/>
      <c r="Q618" s="53"/>
      <c r="U618" s="37"/>
      <c r="Y618" s="38"/>
      <c r="Z618" s="39"/>
      <c r="AA618" s="33"/>
      <c r="AB618" s="39"/>
      <c r="AC618" s="40"/>
    </row>
    <row r="619">
      <c r="I619" s="40"/>
      <c r="J619" s="33"/>
      <c r="K619" s="33"/>
      <c r="L619" s="33"/>
      <c r="M619" s="34"/>
      <c r="N619" s="34"/>
      <c r="O619" s="39"/>
      <c r="Q619" s="53"/>
      <c r="U619" s="37"/>
      <c r="Y619" s="38"/>
      <c r="Z619" s="39"/>
      <c r="AA619" s="33"/>
      <c r="AB619" s="39"/>
      <c r="AC619" s="40"/>
    </row>
    <row r="620">
      <c r="I620" s="40"/>
      <c r="J620" s="33"/>
      <c r="K620" s="33"/>
      <c r="L620" s="33"/>
      <c r="M620" s="34"/>
      <c r="N620" s="34"/>
      <c r="O620" s="39"/>
      <c r="Q620" s="53"/>
      <c r="U620" s="37"/>
      <c r="Y620" s="38"/>
      <c r="Z620" s="39"/>
      <c r="AA620" s="33"/>
      <c r="AB620" s="39"/>
      <c r="AC620" s="40"/>
    </row>
    <row r="621">
      <c r="I621" s="40"/>
      <c r="J621" s="33"/>
      <c r="K621" s="33"/>
      <c r="L621" s="33"/>
      <c r="M621" s="34"/>
      <c r="N621" s="34"/>
      <c r="O621" s="39"/>
      <c r="Q621" s="53"/>
      <c r="U621" s="37"/>
      <c r="Y621" s="38"/>
      <c r="Z621" s="39"/>
      <c r="AA621" s="33"/>
      <c r="AB621" s="39"/>
      <c r="AC621" s="40"/>
    </row>
    <row r="622">
      <c r="I622" s="40"/>
      <c r="J622" s="33"/>
      <c r="K622" s="33"/>
      <c r="L622" s="33"/>
      <c r="M622" s="34"/>
      <c r="N622" s="34"/>
      <c r="O622" s="39"/>
      <c r="Q622" s="53"/>
      <c r="U622" s="37"/>
      <c r="Y622" s="38"/>
      <c r="Z622" s="39"/>
      <c r="AA622" s="33"/>
      <c r="AB622" s="39"/>
      <c r="AC622" s="40"/>
    </row>
    <row r="623">
      <c r="I623" s="40"/>
      <c r="J623" s="33"/>
      <c r="K623" s="33"/>
      <c r="L623" s="33"/>
      <c r="M623" s="34"/>
      <c r="N623" s="34"/>
      <c r="O623" s="39"/>
      <c r="Q623" s="53"/>
      <c r="U623" s="37"/>
      <c r="Y623" s="38"/>
      <c r="Z623" s="39"/>
      <c r="AA623" s="33"/>
      <c r="AB623" s="39"/>
      <c r="AC623" s="40"/>
    </row>
    <row r="624">
      <c r="I624" s="40"/>
      <c r="J624" s="33"/>
      <c r="K624" s="33"/>
      <c r="L624" s="33"/>
      <c r="M624" s="34"/>
      <c r="N624" s="34"/>
      <c r="O624" s="39"/>
      <c r="Q624" s="53"/>
      <c r="U624" s="37"/>
      <c r="Y624" s="38"/>
      <c r="Z624" s="39"/>
      <c r="AA624" s="33"/>
      <c r="AB624" s="39"/>
      <c r="AC624" s="40"/>
    </row>
    <row r="625">
      <c r="I625" s="40"/>
      <c r="J625" s="33"/>
      <c r="K625" s="33"/>
      <c r="L625" s="33"/>
      <c r="M625" s="34"/>
      <c r="N625" s="34"/>
      <c r="O625" s="39"/>
      <c r="Q625" s="53"/>
      <c r="U625" s="37"/>
      <c r="Y625" s="38"/>
      <c r="Z625" s="39"/>
      <c r="AA625" s="33"/>
      <c r="AB625" s="39"/>
      <c r="AC625" s="40"/>
    </row>
    <row r="626">
      <c r="I626" s="40"/>
      <c r="J626" s="33"/>
      <c r="K626" s="33"/>
      <c r="L626" s="33"/>
      <c r="M626" s="34"/>
      <c r="N626" s="34"/>
      <c r="O626" s="39"/>
      <c r="Q626" s="53"/>
      <c r="U626" s="37"/>
      <c r="Y626" s="38"/>
      <c r="Z626" s="39"/>
      <c r="AA626" s="33"/>
      <c r="AB626" s="39"/>
      <c r="AC626" s="40"/>
    </row>
    <row r="627">
      <c r="I627" s="40"/>
      <c r="J627" s="33"/>
      <c r="K627" s="33"/>
      <c r="L627" s="33"/>
      <c r="M627" s="34"/>
      <c r="N627" s="34"/>
      <c r="O627" s="39"/>
      <c r="Q627" s="53"/>
      <c r="U627" s="37"/>
      <c r="Y627" s="38"/>
      <c r="Z627" s="39"/>
      <c r="AA627" s="33"/>
      <c r="AB627" s="39"/>
      <c r="AC627" s="40"/>
    </row>
    <row r="628">
      <c r="I628" s="40"/>
      <c r="J628" s="33"/>
      <c r="K628" s="33"/>
      <c r="L628" s="33"/>
      <c r="M628" s="34"/>
      <c r="N628" s="34"/>
      <c r="O628" s="39"/>
      <c r="Q628" s="53"/>
      <c r="U628" s="37"/>
      <c r="Y628" s="38"/>
      <c r="Z628" s="39"/>
      <c r="AA628" s="33"/>
      <c r="AB628" s="39"/>
      <c r="AC628" s="40"/>
    </row>
    <row r="629">
      <c r="I629" s="40"/>
      <c r="J629" s="33"/>
      <c r="K629" s="33"/>
      <c r="L629" s="33"/>
      <c r="M629" s="34"/>
      <c r="N629" s="34"/>
      <c r="O629" s="39"/>
      <c r="Q629" s="53"/>
      <c r="U629" s="37"/>
      <c r="Y629" s="38"/>
      <c r="Z629" s="39"/>
      <c r="AA629" s="33"/>
      <c r="AB629" s="39"/>
      <c r="AC629" s="40"/>
    </row>
    <row r="630">
      <c r="I630" s="40"/>
      <c r="J630" s="33"/>
      <c r="K630" s="33"/>
      <c r="L630" s="33"/>
      <c r="M630" s="34"/>
      <c r="N630" s="34"/>
      <c r="O630" s="39"/>
      <c r="Q630" s="53"/>
      <c r="U630" s="37"/>
      <c r="Y630" s="38"/>
      <c r="Z630" s="39"/>
      <c r="AA630" s="33"/>
      <c r="AB630" s="39"/>
      <c r="AC630" s="40"/>
    </row>
    <row r="631">
      <c r="I631" s="40"/>
      <c r="J631" s="33"/>
      <c r="K631" s="33"/>
      <c r="L631" s="33"/>
      <c r="M631" s="34"/>
      <c r="N631" s="34"/>
      <c r="O631" s="39"/>
      <c r="Q631" s="53"/>
      <c r="U631" s="37"/>
      <c r="Y631" s="38"/>
      <c r="Z631" s="39"/>
      <c r="AA631" s="33"/>
      <c r="AB631" s="39"/>
      <c r="AC631" s="40"/>
    </row>
    <row r="632">
      <c r="I632" s="40"/>
      <c r="J632" s="33"/>
      <c r="K632" s="33"/>
      <c r="L632" s="33"/>
      <c r="M632" s="34"/>
      <c r="N632" s="34"/>
      <c r="O632" s="39"/>
      <c r="Q632" s="53"/>
      <c r="U632" s="37"/>
      <c r="Y632" s="38"/>
      <c r="Z632" s="39"/>
      <c r="AA632" s="33"/>
      <c r="AB632" s="39"/>
      <c r="AC632" s="40"/>
    </row>
    <row r="633">
      <c r="I633" s="40"/>
      <c r="J633" s="33"/>
      <c r="K633" s="33"/>
      <c r="L633" s="33"/>
      <c r="M633" s="34"/>
      <c r="N633" s="34"/>
      <c r="O633" s="39"/>
      <c r="Q633" s="53"/>
      <c r="U633" s="37"/>
      <c r="Y633" s="38"/>
      <c r="Z633" s="39"/>
      <c r="AA633" s="33"/>
      <c r="AB633" s="39"/>
      <c r="AC633" s="40"/>
    </row>
    <row r="634">
      <c r="I634" s="40"/>
      <c r="J634" s="33"/>
      <c r="K634" s="33"/>
      <c r="L634" s="33"/>
      <c r="M634" s="34"/>
      <c r="N634" s="34"/>
      <c r="O634" s="39"/>
      <c r="Q634" s="53"/>
      <c r="U634" s="37"/>
      <c r="Y634" s="38"/>
      <c r="Z634" s="39"/>
      <c r="AA634" s="33"/>
      <c r="AB634" s="39"/>
      <c r="AC634" s="40"/>
    </row>
    <row r="635">
      <c r="I635" s="40"/>
      <c r="J635" s="33"/>
      <c r="K635" s="33"/>
      <c r="L635" s="33"/>
      <c r="M635" s="34"/>
      <c r="N635" s="34"/>
      <c r="O635" s="39"/>
      <c r="Q635" s="53"/>
      <c r="U635" s="37"/>
      <c r="Y635" s="38"/>
      <c r="Z635" s="39"/>
      <c r="AA635" s="33"/>
      <c r="AB635" s="39"/>
      <c r="AC635" s="40"/>
    </row>
    <row r="636">
      <c r="I636" s="40"/>
      <c r="J636" s="33"/>
      <c r="K636" s="33"/>
      <c r="L636" s="33"/>
      <c r="M636" s="34"/>
      <c r="N636" s="34"/>
      <c r="O636" s="39"/>
      <c r="Q636" s="53"/>
      <c r="U636" s="37"/>
      <c r="Y636" s="38"/>
      <c r="Z636" s="39"/>
      <c r="AA636" s="33"/>
      <c r="AB636" s="39"/>
      <c r="AC636" s="40"/>
    </row>
    <row r="637">
      <c r="I637" s="40"/>
      <c r="J637" s="33"/>
      <c r="K637" s="33"/>
      <c r="L637" s="33"/>
      <c r="M637" s="34"/>
      <c r="N637" s="34"/>
      <c r="O637" s="39"/>
      <c r="Q637" s="53"/>
      <c r="U637" s="37"/>
      <c r="Y637" s="38"/>
      <c r="Z637" s="39"/>
      <c r="AA637" s="33"/>
      <c r="AB637" s="39"/>
      <c r="AC637" s="40"/>
    </row>
    <row r="638">
      <c r="I638" s="40"/>
      <c r="J638" s="33"/>
      <c r="K638" s="33"/>
      <c r="L638" s="33"/>
      <c r="M638" s="34"/>
      <c r="N638" s="34"/>
      <c r="O638" s="39"/>
      <c r="Q638" s="53"/>
      <c r="U638" s="37"/>
      <c r="Y638" s="38"/>
      <c r="Z638" s="39"/>
      <c r="AA638" s="33"/>
      <c r="AB638" s="39"/>
      <c r="AC638" s="40"/>
    </row>
    <row r="639">
      <c r="I639" s="40"/>
      <c r="J639" s="33"/>
      <c r="K639" s="33"/>
      <c r="L639" s="33"/>
      <c r="M639" s="34"/>
      <c r="N639" s="34"/>
      <c r="O639" s="39"/>
      <c r="Q639" s="53"/>
      <c r="U639" s="37"/>
      <c r="Y639" s="38"/>
      <c r="Z639" s="39"/>
      <c r="AA639" s="33"/>
      <c r="AB639" s="39"/>
      <c r="AC639" s="40"/>
    </row>
    <row r="640">
      <c r="I640" s="40"/>
      <c r="J640" s="33"/>
      <c r="K640" s="33"/>
      <c r="L640" s="33"/>
      <c r="M640" s="34"/>
      <c r="N640" s="34"/>
      <c r="O640" s="39"/>
      <c r="Q640" s="53"/>
      <c r="U640" s="37"/>
      <c r="Y640" s="38"/>
      <c r="Z640" s="39"/>
      <c r="AA640" s="33"/>
      <c r="AB640" s="39"/>
      <c r="AC640" s="40"/>
    </row>
    <row r="641">
      <c r="I641" s="40"/>
      <c r="J641" s="33"/>
      <c r="K641" s="33"/>
      <c r="L641" s="33"/>
      <c r="M641" s="34"/>
      <c r="N641" s="34"/>
      <c r="O641" s="39"/>
      <c r="Q641" s="53"/>
      <c r="U641" s="37"/>
      <c r="Y641" s="38"/>
      <c r="Z641" s="39"/>
      <c r="AA641" s="33"/>
      <c r="AB641" s="39"/>
      <c r="AC641" s="40"/>
    </row>
    <row r="642">
      <c r="I642" s="40"/>
      <c r="J642" s="33"/>
      <c r="K642" s="33"/>
      <c r="L642" s="33"/>
      <c r="M642" s="34"/>
      <c r="N642" s="34"/>
      <c r="O642" s="39"/>
      <c r="Q642" s="53"/>
      <c r="U642" s="37"/>
      <c r="Y642" s="38"/>
      <c r="Z642" s="39"/>
      <c r="AA642" s="33"/>
      <c r="AB642" s="39"/>
      <c r="AC642" s="40"/>
    </row>
    <row r="643">
      <c r="I643" s="40"/>
      <c r="J643" s="33"/>
      <c r="K643" s="33"/>
      <c r="L643" s="33"/>
      <c r="M643" s="34"/>
      <c r="N643" s="34"/>
      <c r="O643" s="39"/>
      <c r="Q643" s="53"/>
      <c r="U643" s="37"/>
      <c r="Y643" s="38"/>
      <c r="Z643" s="39"/>
      <c r="AA643" s="33"/>
      <c r="AB643" s="39"/>
      <c r="AC643" s="40"/>
    </row>
    <row r="644">
      <c r="I644" s="40"/>
      <c r="J644" s="33"/>
      <c r="K644" s="33"/>
      <c r="L644" s="33"/>
      <c r="M644" s="34"/>
      <c r="N644" s="34"/>
      <c r="O644" s="39"/>
      <c r="Q644" s="53"/>
      <c r="U644" s="37"/>
      <c r="Y644" s="38"/>
      <c r="Z644" s="39"/>
      <c r="AA644" s="33"/>
      <c r="AB644" s="39"/>
      <c r="AC644" s="40"/>
    </row>
    <row r="645">
      <c r="I645" s="40"/>
      <c r="J645" s="33"/>
      <c r="K645" s="33"/>
      <c r="L645" s="33"/>
      <c r="M645" s="34"/>
      <c r="N645" s="34"/>
      <c r="O645" s="39"/>
      <c r="Q645" s="53"/>
      <c r="U645" s="37"/>
      <c r="Y645" s="38"/>
      <c r="Z645" s="39"/>
      <c r="AA645" s="33"/>
      <c r="AB645" s="39"/>
      <c r="AC645" s="40"/>
    </row>
    <row r="646">
      <c r="I646" s="40"/>
      <c r="J646" s="33"/>
      <c r="K646" s="33"/>
      <c r="L646" s="33"/>
      <c r="M646" s="34"/>
      <c r="N646" s="34"/>
      <c r="O646" s="39"/>
      <c r="Q646" s="53"/>
      <c r="U646" s="37"/>
      <c r="Y646" s="38"/>
      <c r="Z646" s="39"/>
      <c r="AA646" s="33"/>
      <c r="AB646" s="39"/>
      <c r="AC646" s="40"/>
    </row>
    <row r="647">
      <c r="I647" s="40"/>
      <c r="J647" s="33"/>
      <c r="K647" s="33"/>
      <c r="L647" s="33"/>
      <c r="M647" s="34"/>
      <c r="N647" s="34"/>
      <c r="O647" s="39"/>
      <c r="Q647" s="53"/>
      <c r="U647" s="37"/>
      <c r="Y647" s="38"/>
      <c r="Z647" s="39"/>
      <c r="AA647" s="33"/>
      <c r="AB647" s="39"/>
      <c r="AC647" s="40"/>
    </row>
    <row r="648">
      <c r="I648" s="40"/>
      <c r="J648" s="33"/>
      <c r="K648" s="33"/>
      <c r="L648" s="33"/>
      <c r="M648" s="34"/>
      <c r="N648" s="34"/>
      <c r="O648" s="39"/>
      <c r="Q648" s="53"/>
      <c r="U648" s="37"/>
      <c r="Y648" s="38"/>
      <c r="Z648" s="39"/>
      <c r="AA648" s="33"/>
      <c r="AB648" s="39"/>
      <c r="AC648" s="40"/>
    </row>
    <row r="649">
      <c r="I649" s="40"/>
      <c r="J649" s="33"/>
      <c r="K649" s="33"/>
      <c r="L649" s="33"/>
      <c r="M649" s="34"/>
      <c r="N649" s="34"/>
      <c r="O649" s="39"/>
      <c r="Q649" s="53"/>
      <c r="U649" s="37"/>
      <c r="Y649" s="38"/>
      <c r="Z649" s="39"/>
      <c r="AA649" s="33"/>
      <c r="AB649" s="39"/>
      <c r="AC649" s="40"/>
    </row>
    <row r="650">
      <c r="I650" s="40"/>
      <c r="J650" s="33"/>
      <c r="K650" s="33"/>
      <c r="L650" s="33"/>
      <c r="M650" s="34"/>
      <c r="N650" s="34"/>
      <c r="O650" s="39"/>
      <c r="Q650" s="53"/>
      <c r="U650" s="37"/>
      <c r="Y650" s="38"/>
      <c r="Z650" s="39"/>
      <c r="AA650" s="33"/>
      <c r="AB650" s="39"/>
      <c r="AC650" s="40"/>
    </row>
    <row r="651">
      <c r="I651" s="40"/>
      <c r="J651" s="33"/>
      <c r="K651" s="33"/>
      <c r="L651" s="33"/>
      <c r="M651" s="34"/>
      <c r="N651" s="34"/>
      <c r="O651" s="39"/>
      <c r="Q651" s="53"/>
      <c r="U651" s="37"/>
      <c r="Y651" s="38"/>
      <c r="Z651" s="39"/>
      <c r="AA651" s="33"/>
      <c r="AB651" s="39"/>
      <c r="AC651" s="40"/>
    </row>
    <row r="652">
      <c r="I652" s="40"/>
      <c r="J652" s="33"/>
      <c r="K652" s="33"/>
      <c r="L652" s="33"/>
      <c r="M652" s="34"/>
      <c r="N652" s="34"/>
      <c r="O652" s="39"/>
      <c r="Q652" s="53"/>
      <c r="U652" s="37"/>
      <c r="Y652" s="38"/>
      <c r="Z652" s="39"/>
      <c r="AA652" s="33"/>
      <c r="AB652" s="39"/>
      <c r="AC652" s="40"/>
    </row>
    <row r="653">
      <c r="I653" s="40"/>
      <c r="J653" s="33"/>
      <c r="K653" s="33"/>
      <c r="L653" s="33"/>
      <c r="M653" s="34"/>
      <c r="N653" s="34"/>
      <c r="O653" s="39"/>
      <c r="Q653" s="53"/>
      <c r="U653" s="37"/>
      <c r="Y653" s="38"/>
      <c r="Z653" s="39"/>
      <c r="AA653" s="33"/>
      <c r="AB653" s="39"/>
      <c r="AC653" s="40"/>
    </row>
    <row r="654">
      <c r="I654" s="40"/>
      <c r="J654" s="33"/>
      <c r="K654" s="33"/>
      <c r="L654" s="33"/>
      <c r="M654" s="34"/>
      <c r="N654" s="34"/>
      <c r="O654" s="39"/>
      <c r="Q654" s="53"/>
      <c r="U654" s="37"/>
      <c r="Y654" s="38"/>
      <c r="Z654" s="39"/>
      <c r="AA654" s="33"/>
      <c r="AB654" s="39"/>
      <c r="AC654" s="40"/>
    </row>
    <row r="655">
      <c r="I655" s="40"/>
      <c r="J655" s="33"/>
      <c r="K655" s="33"/>
      <c r="L655" s="33"/>
      <c r="M655" s="34"/>
      <c r="N655" s="34"/>
      <c r="O655" s="39"/>
      <c r="Q655" s="53"/>
      <c r="U655" s="37"/>
      <c r="Y655" s="38"/>
      <c r="Z655" s="39"/>
      <c r="AA655" s="33"/>
      <c r="AB655" s="39"/>
      <c r="AC655" s="40"/>
    </row>
    <row r="656">
      <c r="I656" s="40"/>
      <c r="J656" s="33"/>
      <c r="K656" s="33"/>
      <c r="L656" s="33"/>
      <c r="M656" s="34"/>
      <c r="N656" s="34"/>
      <c r="O656" s="39"/>
      <c r="Q656" s="53"/>
      <c r="U656" s="37"/>
      <c r="Y656" s="38"/>
      <c r="Z656" s="39"/>
      <c r="AA656" s="33"/>
      <c r="AB656" s="39"/>
      <c r="AC656" s="40"/>
    </row>
    <row r="657">
      <c r="I657" s="40"/>
      <c r="J657" s="33"/>
      <c r="K657" s="33"/>
      <c r="L657" s="33"/>
      <c r="M657" s="34"/>
      <c r="N657" s="34"/>
      <c r="O657" s="39"/>
      <c r="Q657" s="53"/>
      <c r="U657" s="37"/>
      <c r="Y657" s="38"/>
      <c r="Z657" s="39"/>
      <c r="AA657" s="33"/>
      <c r="AB657" s="39"/>
      <c r="AC657" s="40"/>
    </row>
    <row r="658">
      <c r="I658" s="40"/>
      <c r="J658" s="33"/>
      <c r="K658" s="33"/>
      <c r="L658" s="33"/>
      <c r="M658" s="34"/>
      <c r="N658" s="34"/>
      <c r="O658" s="39"/>
      <c r="Q658" s="53"/>
      <c r="U658" s="37"/>
      <c r="Y658" s="38"/>
      <c r="Z658" s="39"/>
      <c r="AA658" s="33"/>
      <c r="AB658" s="39"/>
      <c r="AC658" s="40"/>
    </row>
    <row r="659">
      <c r="I659" s="40"/>
      <c r="J659" s="33"/>
      <c r="K659" s="33"/>
      <c r="L659" s="33"/>
      <c r="M659" s="34"/>
      <c r="N659" s="34"/>
      <c r="O659" s="39"/>
      <c r="Q659" s="53"/>
      <c r="U659" s="37"/>
      <c r="Y659" s="38"/>
      <c r="Z659" s="39"/>
      <c r="AA659" s="33"/>
      <c r="AB659" s="39"/>
      <c r="AC659" s="40"/>
    </row>
    <row r="660">
      <c r="I660" s="40"/>
      <c r="J660" s="33"/>
      <c r="K660" s="33"/>
      <c r="L660" s="33"/>
      <c r="M660" s="34"/>
      <c r="N660" s="34"/>
      <c r="O660" s="39"/>
      <c r="Q660" s="53"/>
      <c r="U660" s="37"/>
      <c r="Y660" s="38"/>
      <c r="Z660" s="39"/>
      <c r="AA660" s="33"/>
      <c r="AB660" s="39"/>
      <c r="AC660" s="40"/>
    </row>
    <row r="661">
      <c r="I661" s="40"/>
      <c r="J661" s="33"/>
      <c r="K661" s="33"/>
      <c r="L661" s="33"/>
      <c r="M661" s="34"/>
      <c r="N661" s="34"/>
      <c r="O661" s="39"/>
      <c r="Q661" s="53"/>
      <c r="U661" s="37"/>
      <c r="Y661" s="38"/>
      <c r="Z661" s="39"/>
      <c r="AA661" s="33"/>
      <c r="AB661" s="39"/>
      <c r="AC661" s="40"/>
    </row>
    <row r="662">
      <c r="I662" s="40"/>
      <c r="J662" s="33"/>
      <c r="K662" s="33"/>
      <c r="L662" s="33"/>
      <c r="M662" s="34"/>
      <c r="N662" s="34"/>
      <c r="O662" s="39"/>
      <c r="Q662" s="53"/>
      <c r="U662" s="37"/>
      <c r="Y662" s="38"/>
      <c r="Z662" s="39"/>
      <c r="AA662" s="33"/>
      <c r="AB662" s="39"/>
      <c r="AC662" s="40"/>
    </row>
    <row r="663">
      <c r="I663" s="40"/>
      <c r="J663" s="33"/>
      <c r="K663" s="33"/>
      <c r="L663" s="33"/>
      <c r="M663" s="34"/>
      <c r="N663" s="34"/>
      <c r="O663" s="39"/>
      <c r="Q663" s="53"/>
      <c r="U663" s="37"/>
      <c r="Y663" s="38"/>
      <c r="Z663" s="39"/>
      <c r="AA663" s="33"/>
      <c r="AB663" s="39"/>
      <c r="AC663" s="40"/>
    </row>
    <row r="664">
      <c r="I664" s="40"/>
      <c r="J664" s="33"/>
      <c r="K664" s="33"/>
      <c r="L664" s="33"/>
      <c r="M664" s="34"/>
      <c r="N664" s="34"/>
      <c r="O664" s="39"/>
      <c r="Q664" s="53"/>
      <c r="U664" s="37"/>
      <c r="Y664" s="38"/>
      <c r="Z664" s="39"/>
      <c r="AA664" s="33"/>
      <c r="AB664" s="39"/>
      <c r="AC664" s="40"/>
    </row>
    <row r="665">
      <c r="I665" s="40"/>
      <c r="J665" s="33"/>
      <c r="K665" s="33"/>
      <c r="L665" s="33"/>
      <c r="M665" s="34"/>
      <c r="N665" s="34"/>
      <c r="O665" s="39"/>
      <c r="Q665" s="53"/>
      <c r="U665" s="37"/>
      <c r="Y665" s="38"/>
      <c r="Z665" s="39"/>
      <c r="AA665" s="33"/>
      <c r="AB665" s="39"/>
      <c r="AC665" s="40"/>
    </row>
    <row r="666">
      <c r="I666" s="40"/>
      <c r="J666" s="33"/>
      <c r="K666" s="33"/>
      <c r="L666" s="33"/>
      <c r="M666" s="34"/>
      <c r="N666" s="34"/>
      <c r="O666" s="39"/>
      <c r="Q666" s="53"/>
      <c r="U666" s="37"/>
      <c r="Y666" s="38"/>
      <c r="Z666" s="39"/>
      <c r="AA666" s="33"/>
      <c r="AB666" s="39"/>
      <c r="AC666" s="40"/>
    </row>
    <row r="667">
      <c r="I667" s="40"/>
      <c r="J667" s="33"/>
      <c r="K667" s="33"/>
      <c r="L667" s="33"/>
      <c r="M667" s="34"/>
      <c r="N667" s="34"/>
      <c r="O667" s="39"/>
      <c r="Q667" s="53"/>
      <c r="U667" s="37"/>
      <c r="Y667" s="38"/>
      <c r="Z667" s="39"/>
      <c r="AA667" s="33"/>
      <c r="AB667" s="39"/>
      <c r="AC667" s="40"/>
    </row>
    <row r="668">
      <c r="I668" s="40"/>
      <c r="J668" s="33"/>
      <c r="K668" s="33"/>
      <c r="L668" s="33"/>
      <c r="M668" s="34"/>
      <c r="N668" s="34"/>
      <c r="O668" s="39"/>
      <c r="Q668" s="53"/>
      <c r="U668" s="37"/>
      <c r="Y668" s="38"/>
      <c r="Z668" s="39"/>
      <c r="AA668" s="33"/>
      <c r="AB668" s="39"/>
      <c r="AC668" s="40"/>
    </row>
    <row r="669">
      <c r="I669" s="40"/>
      <c r="J669" s="33"/>
      <c r="K669" s="33"/>
      <c r="L669" s="33"/>
      <c r="M669" s="34"/>
      <c r="N669" s="34"/>
      <c r="O669" s="39"/>
      <c r="Q669" s="53"/>
      <c r="U669" s="37"/>
      <c r="Y669" s="38"/>
      <c r="Z669" s="39"/>
      <c r="AA669" s="33"/>
      <c r="AB669" s="39"/>
      <c r="AC669" s="40"/>
    </row>
    <row r="670">
      <c r="I670" s="40"/>
      <c r="J670" s="33"/>
      <c r="K670" s="33"/>
      <c r="L670" s="33"/>
      <c r="M670" s="34"/>
      <c r="N670" s="34"/>
      <c r="O670" s="39"/>
      <c r="Q670" s="53"/>
      <c r="U670" s="37"/>
      <c r="Y670" s="38"/>
      <c r="Z670" s="39"/>
      <c r="AA670" s="33"/>
      <c r="AB670" s="39"/>
      <c r="AC670" s="40"/>
    </row>
    <row r="671">
      <c r="I671" s="40"/>
      <c r="J671" s="33"/>
      <c r="K671" s="33"/>
      <c r="L671" s="33"/>
      <c r="M671" s="34"/>
      <c r="N671" s="34"/>
      <c r="O671" s="39"/>
      <c r="Q671" s="53"/>
      <c r="U671" s="37"/>
      <c r="Y671" s="38"/>
      <c r="Z671" s="39"/>
      <c r="AA671" s="33"/>
      <c r="AB671" s="39"/>
      <c r="AC671" s="40"/>
    </row>
    <row r="672">
      <c r="I672" s="40"/>
      <c r="J672" s="33"/>
      <c r="K672" s="33"/>
      <c r="L672" s="33"/>
      <c r="M672" s="34"/>
      <c r="N672" s="34"/>
      <c r="O672" s="39"/>
      <c r="Q672" s="53"/>
      <c r="U672" s="37"/>
      <c r="Y672" s="38"/>
      <c r="Z672" s="39"/>
      <c r="AA672" s="33"/>
      <c r="AB672" s="39"/>
      <c r="AC672" s="40"/>
    </row>
    <row r="673">
      <c r="I673" s="40"/>
      <c r="J673" s="33"/>
      <c r="K673" s="33"/>
      <c r="L673" s="33"/>
      <c r="M673" s="34"/>
      <c r="N673" s="34"/>
      <c r="O673" s="39"/>
      <c r="Q673" s="53"/>
      <c r="U673" s="37"/>
      <c r="Y673" s="38"/>
      <c r="Z673" s="39"/>
      <c r="AA673" s="33"/>
      <c r="AB673" s="39"/>
      <c r="AC673" s="40"/>
    </row>
    <row r="674">
      <c r="I674" s="40"/>
      <c r="J674" s="33"/>
      <c r="K674" s="33"/>
      <c r="L674" s="33"/>
      <c r="M674" s="34"/>
      <c r="N674" s="34"/>
      <c r="O674" s="39"/>
      <c r="Q674" s="53"/>
      <c r="U674" s="37"/>
      <c r="Y674" s="38"/>
      <c r="Z674" s="39"/>
      <c r="AA674" s="33"/>
      <c r="AB674" s="39"/>
      <c r="AC674" s="40"/>
    </row>
    <row r="675">
      <c r="I675" s="40"/>
      <c r="J675" s="33"/>
      <c r="K675" s="33"/>
      <c r="L675" s="33"/>
      <c r="M675" s="34"/>
      <c r="N675" s="34"/>
      <c r="O675" s="39"/>
      <c r="Q675" s="53"/>
      <c r="U675" s="37"/>
      <c r="Y675" s="38"/>
      <c r="Z675" s="39"/>
      <c r="AA675" s="33"/>
      <c r="AB675" s="39"/>
      <c r="AC675" s="40"/>
    </row>
    <row r="676">
      <c r="I676" s="40"/>
      <c r="J676" s="33"/>
      <c r="K676" s="33"/>
      <c r="L676" s="33"/>
      <c r="M676" s="34"/>
      <c r="N676" s="34"/>
      <c r="O676" s="39"/>
      <c r="Q676" s="53"/>
      <c r="U676" s="37"/>
      <c r="Y676" s="38"/>
      <c r="Z676" s="39"/>
      <c r="AA676" s="33"/>
      <c r="AB676" s="39"/>
      <c r="AC676" s="40"/>
    </row>
    <row r="677">
      <c r="I677" s="40"/>
      <c r="J677" s="33"/>
      <c r="K677" s="33"/>
      <c r="L677" s="33"/>
      <c r="M677" s="34"/>
      <c r="N677" s="34"/>
      <c r="O677" s="39"/>
      <c r="Q677" s="53"/>
      <c r="U677" s="37"/>
      <c r="Y677" s="38"/>
      <c r="Z677" s="39"/>
      <c r="AA677" s="33"/>
      <c r="AB677" s="39"/>
      <c r="AC677" s="40"/>
    </row>
    <row r="678">
      <c r="I678" s="40"/>
      <c r="J678" s="33"/>
      <c r="K678" s="33"/>
      <c r="L678" s="33"/>
      <c r="M678" s="34"/>
      <c r="N678" s="34"/>
      <c r="O678" s="39"/>
      <c r="Q678" s="53"/>
      <c r="U678" s="37"/>
      <c r="Y678" s="38"/>
      <c r="Z678" s="39"/>
      <c r="AA678" s="33"/>
      <c r="AB678" s="39"/>
      <c r="AC678" s="40"/>
    </row>
    <row r="679">
      <c r="I679" s="40"/>
      <c r="J679" s="33"/>
      <c r="K679" s="33"/>
      <c r="L679" s="33"/>
      <c r="M679" s="34"/>
      <c r="N679" s="34"/>
      <c r="O679" s="39"/>
      <c r="Q679" s="53"/>
      <c r="U679" s="37"/>
      <c r="Y679" s="38"/>
      <c r="Z679" s="39"/>
      <c r="AA679" s="33"/>
      <c r="AB679" s="39"/>
      <c r="AC679" s="40"/>
    </row>
    <row r="680">
      <c r="I680" s="40"/>
      <c r="J680" s="33"/>
      <c r="K680" s="33"/>
      <c r="L680" s="33"/>
      <c r="M680" s="34"/>
      <c r="N680" s="34"/>
      <c r="O680" s="39"/>
      <c r="Q680" s="53"/>
      <c r="U680" s="37"/>
      <c r="Y680" s="38"/>
      <c r="Z680" s="39"/>
      <c r="AA680" s="33"/>
      <c r="AB680" s="39"/>
      <c r="AC680" s="40"/>
    </row>
    <row r="681">
      <c r="I681" s="40"/>
      <c r="J681" s="33"/>
      <c r="K681" s="33"/>
      <c r="L681" s="33"/>
      <c r="M681" s="34"/>
      <c r="N681" s="34"/>
      <c r="O681" s="39"/>
      <c r="Q681" s="53"/>
      <c r="U681" s="37"/>
      <c r="Y681" s="38"/>
      <c r="Z681" s="39"/>
      <c r="AA681" s="33"/>
      <c r="AB681" s="39"/>
      <c r="AC681" s="40"/>
    </row>
    <row r="682">
      <c r="I682" s="40"/>
      <c r="J682" s="33"/>
      <c r="K682" s="33"/>
      <c r="L682" s="33"/>
      <c r="M682" s="34"/>
      <c r="N682" s="34"/>
      <c r="O682" s="39"/>
      <c r="Q682" s="53"/>
      <c r="U682" s="37"/>
      <c r="Y682" s="38"/>
      <c r="Z682" s="39"/>
      <c r="AA682" s="33"/>
      <c r="AB682" s="39"/>
      <c r="AC682" s="40"/>
    </row>
    <row r="683">
      <c r="I683" s="40"/>
      <c r="J683" s="33"/>
      <c r="K683" s="33"/>
      <c r="L683" s="33"/>
      <c r="M683" s="34"/>
      <c r="N683" s="34"/>
      <c r="O683" s="39"/>
      <c r="Q683" s="53"/>
      <c r="U683" s="37"/>
      <c r="Y683" s="38"/>
      <c r="Z683" s="39"/>
      <c r="AA683" s="33"/>
      <c r="AB683" s="39"/>
      <c r="AC683" s="40"/>
    </row>
    <row r="684">
      <c r="I684" s="40"/>
      <c r="J684" s="33"/>
      <c r="K684" s="33"/>
      <c r="L684" s="33"/>
      <c r="M684" s="34"/>
      <c r="N684" s="34"/>
      <c r="O684" s="39"/>
      <c r="Q684" s="53"/>
      <c r="U684" s="37"/>
      <c r="Y684" s="38"/>
      <c r="Z684" s="39"/>
      <c r="AA684" s="33"/>
      <c r="AB684" s="39"/>
      <c r="AC684" s="40"/>
    </row>
    <row r="685">
      <c r="I685" s="40"/>
      <c r="J685" s="33"/>
      <c r="K685" s="33"/>
      <c r="L685" s="33"/>
      <c r="M685" s="34"/>
      <c r="N685" s="34"/>
      <c r="O685" s="39"/>
      <c r="Q685" s="53"/>
      <c r="U685" s="37"/>
      <c r="Y685" s="38"/>
      <c r="Z685" s="39"/>
      <c r="AA685" s="33"/>
      <c r="AB685" s="39"/>
      <c r="AC685" s="40"/>
    </row>
    <row r="686">
      <c r="I686" s="40"/>
      <c r="J686" s="33"/>
      <c r="K686" s="33"/>
      <c r="L686" s="33"/>
      <c r="M686" s="34"/>
      <c r="N686" s="34"/>
      <c r="O686" s="39"/>
      <c r="Q686" s="53"/>
      <c r="U686" s="37"/>
      <c r="Y686" s="38"/>
      <c r="Z686" s="39"/>
      <c r="AA686" s="33"/>
      <c r="AB686" s="39"/>
      <c r="AC686" s="40"/>
    </row>
    <row r="687">
      <c r="I687" s="40"/>
      <c r="J687" s="33"/>
      <c r="K687" s="33"/>
      <c r="L687" s="33"/>
      <c r="M687" s="34"/>
      <c r="N687" s="34"/>
      <c r="O687" s="39"/>
      <c r="Q687" s="53"/>
      <c r="U687" s="37"/>
      <c r="Y687" s="38"/>
      <c r="Z687" s="39"/>
      <c r="AA687" s="33"/>
      <c r="AB687" s="39"/>
      <c r="AC687" s="40"/>
    </row>
    <row r="688">
      <c r="I688" s="40"/>
      <c r="J688" s="33"/>
      <c r="K688" s="33"/>
      <c r="L688" s="33"/>
      <c r="M688" s="34"/>
      <c r="N688" s="34"/>
      <c r="O688" s="39"/>
      <c r="Q688" s="53"/>
      <c r="U688" s="37"/>
      <c r="Y688" s="38"/>
      <c r="Z688" s="39"/>
      <c r="AA688" s="33"/>
      <c r="AB688" s="39"/>
      <c r="AC688" s="40"/>
    </row>
    <row r="689">
      <c r="I689" s="40"/>
      <c r="J689" s="33"/>
      <c r="K689" s="33"/>
      <c r="L689" s="33"/>
      <c r="M689" s="34"/>
      <c r="N689" s="34"/>
      <c r="O689" s="39"/>
      <c r="Q689" s="53"/>
      <c r="U689" s="37"/>
      <c r="Y689" s="38"/>
      <c r="Z689" s="39"/>
      <c r="AA689" s="33"/>
      <c r="AB689" s="39"/>
      <c r="AC689" s="40"/>
    </row>
    <row r="690">
      <c r="I690" s="40"/>
      <c r="J690" s="33"/>
      <c r="K690" s="33"/>
      <c r="L690" s="33"/>
      <c r="M690" s="34"/>
      <c r="N690" s="34"/>
      <c r="O690" s="39"/>
      <c r="Q690" s="53"/>
      <c r="U690" s="37"/>
      <c r="Y690" s="38"/>
      <c r="Z690" s="39"/>
      <c r="AA690" s="33"/>
      <c r="AB690" s="39"/>
      <c r="AC690" s="40"/>
    </row>
    <row r="691">
      <c r="I691" s="40"/>
      <c r="J691" s="33"/>
      <c r="K691" s="33"/>
      <c r="L691" s="33"/>
      <c r="M691" s="34"/>
      <c r="N691" s="34"/>
      <c r="O691" s="39"/>
      <c r="Q691" s="53"/>
      <c r="U691" s="37"/>
      <c r="Y691" s="38"/>
      <c r="Z691" s="39"/>
      <c r="AA691" s="33"/>
      <c r="AB691" s="39"/>
      <c r="AC691" s="40"/>
    </row>
    <row r="692">
      <c r="I692" s="40"/>
      <c r="J692" s="33"/>
      <c r="K692" s="33"/>
      <c r="L692" s="33"/>
      <c r="M692" s="34"/>
      <c r="N692" s="34"/>
      <c r="O692" s="39"/>
      <c r="Q692" s="53"/>
      <c r="U692" s="37"/>
      <c r="Y692" s="38"/>
      <c r="Z692" s="39"/>
      <c r="AA692" s="33"/>
      <c r="AB692" s="39"/>
      <c r="AC692" s="40"/>
    </row>
    <row r="693">
      <c r="I693" s="40"/>
      <c r="J693" s="33"/>
      <c r="K693" s="33"/>
      <c r="L693" s="33"/>
      <c r="M693" s="34"/>
      <c r="N693" s="34"/>
      <c r="O693" s="39"/>
      <c r="Q693" s="53"/>
      <c r="U693" s="37"/>
      <c r="Y693" s="38"/>
      <c r="Z693" s="39"/>
      <c r="AA693" s="33"/>
      <c r="AB693" s="39"/>
      <c r="AC693" s="40"/>
    </row>
    <row r="694">
      <c r="I694" s="40"/>
      <c r="J694" s="33"/>
      <c r="K694" s="33"/>
      <c r="L694" s="33"/>
      <c r="M694" s="34"/>
      <c r="N694" s="34"/>
      <c r="O694" s="39"/>
      <c r="Q694" s="53"/>
      <c r="U694" s="37"/>
      <c r="Y694" s="38"/>
      <c r="Z694" s="39"/>
      <c r="AA694" s="33"/>
      <c r="AB694" s="39"/>
      <c r="AC694" s="40"/>
    </row>
    <row r="695">
      <c r="I695" s="40"/>
      <c r="J695" s="33"/>
      <c r="K695" s="33"/>
      <c r="L695" s="33"/>
      <c r="M695" s="34"/>
      <c r="N695" s="34"/>
      <c r="O695" s="39"/>
      <c r="Q695" s="53"/>
      <c r="U695" s="37"/>
      <c r="Y695" s="38"/>
      <c r="Z695" s="39"/>
      <c r="AA695" s="33"/>
      <c r="AB695" s="39"/>
      <c r="AC695" s="40"/>
    </row>
    <row r="696">
      <c r="I696" s="40"/>
      <c r="J696" s="33"/>
      <c r="K696" s="33"/>
      <c r="L696" s="33"/>
      <c r="M696" s="34"/>
      <c r="N696" s="34"/>
      <c r="O696" s="39"/>
      <c r="Q696" s="53"/>
      <c r="U696" s="37"/>
      <c r="Y696" s="38"/>
      <c r="Z696" s="39"/>
      <c r="AA696" s="33"/>
      <c r="AB696" s="39"/>
      <c r="AC696" s="40"/>
    </row>
    <row r="697">
      <c r="I697" s="40"/>
      <c r="J697" s="33"/>
      <c r="K697" s="33"/>
      <c r="L697" s="33"/>
      <c r="M697" s="34"/>
      <c r="N697" s="34"/>
      <c r="O697" s="39"/>
      <c r="Q697" s="53"/>
      <c r="U697" s="37"/>
      <c r="Y697" s="38"/>
      <c r="Z697" s="39"/>
      <c r="AA697" s="33"/>
      <c r="AB697" s="39"/>
      <c r="AC697" s="40"/>
    </row>
    <row r="698">
      <c r="I698" s="40"/>
      <c r="J698" s="33"/>
      <c r="K698" s="33"/>
      <c r="L698" s="33"/>
      <c r="M698" s="34"/>
      <c r="N698" s="34"/>
      <c r="O698" s="39"/>
      <c r="Q698" s="53"/>
      <c r="U698" s="37"/>
      <c r="Y698" s="38"/>
      <c r="Z698" s="39"/>
      <c r="AA698" s="33"/>
      <c r="AB698" s="39"/>
      <c r="AC698" s="40"/>
    </row>
    <row r="699">
      <c r="I699" s="40"/>
      <c r="J699" s="33"/>
      <c r="K699" s="33"/>
      <c r="L699" s="33"/>
      <c r="M699" s="34"/>
      <c r="N699" s="34"/>
      <c r="O699" s="39"/>
      <c r="Q699" s="53"/>
      <c r="U699" s="37"/>
      <c r="Y699" s="38"/>
      <c r="Z699" s="39"/>
      <c r="AA699" s="33"/>
      <c r="AB699" s="39"/>
      <c r="AC699" s="40"/>
    </row>
    <row r="700">
      <c r="I700" s="40"/>
      <c r="J700" s="33"/>
      <c r="K700" s="33"/>
      <c r="L700" s="33"/>
      <c r="M700" s="34"/>
      <c r="N700" s="34"/>
      <c r="O700" s="39"/>
      <c r="Q700" s="53"/>
      <c r="U700" s="37"/>
      <c r="Y700" s="38"/>
      <c r="Z700" s="39"/>
      <c r="AA700" s="33"/>
      <c r="AB700" s="39"/>
      <c r="AC700" s="40"/>
    </row>
    <row r="701">
      <c r="I701" s="40"/>
      <c r="J701" s="33"/>
      <c r="K701" s="33"/>
      <c r="L701" s="33"/>
      <c r="M701" s="34"/>
      <c r="N701" s="34"/>
      <c r="O701" s="39"/>
      <c r="Q701" s="53"/>
      <c r="U701" s="37"/>
      <c r="Y701" s="38"/>
      <c r="Z701" s="39"/>
      <c r="AA701" s="33"/>
      <c r="AB701" s="39"/>
      <c r="AC701" s="40"/>
    </row>
    <row r="702">
      <c r="I702" s="40"/>
      <c r="J702" s="33"/>
      <c r="K702" s="33"/>
      <c r="L702" s="33"/>
      <c r="M702" s="34"/>
      <c r="N702" s="34"/>
      <c r="O702" s="39"/>
      <c r="Q702" s="53"/>
      <c r="U702" s="37"/>
      <c r="Y702" s="38"/>
      <c r="Z702" s="39"/>
      <c r="AA702" s="33"/>
      <c r="AB702" s="39"/>
      <c r="AC702" s="40"/>
    </row>
    <row r="703">
      <c r="I703" s="40"/>
      <c r="J703" s="33"/>
      <c r="K703" s="33"/>
      <c r="L703" s="33"/>
      <c r="M703" s="34"/>
      <c r="N703" s="34"/>
      <c r="O703" s="39"/>
      <c r="Q703" s="53"/>
      <c r="U703" s="37"/>
      <c r="Y703" s="38"/>
      <c r="Z703" s="39"/>
      <c r="AA703" s="33"/>
      <c r="AB703" s="39"/>
      <c r="AC703" s="40"/>
    </row>
    <row r="704">
      <c r="I704" s="40"/>
      <c r="J704" s="33"/>
      <c r="K704" s="33"/>
      <c r="L704" s="33"/>
      <c r="M704" s="34"/>
      <c r="N704" s="34"/>
      <c r="O704" s="39"/>
      <c r="Q704" s="53"/>
      <c r="U704" s="37"/>
      <c r="Y704" s="38"/>
      <c r="Z704" s="39"/>
      <c r="AA704" s="33"/>
      <c r="AB704" s="39"/>
      <c r="AC704" s="40"/>
    </row>
    <row r="705">
      <c r="I705" s="40"/>
      <c r="J705" s="33"/>
      <c r="K705" s="33"/>
      <c r="L705" s="33"/>
      <c r="M705" s="34"/>
      <c r="N705" s="34"/>
      <c r="O705" s="39"/>
      <c r="Q705" s="53"/>
      <c r="U705" s="37"/>
      <c r="Y705" s="38"/>
      <c r="Z705" s="39"/>
      <c r="AA705" s="33"/>
      <c r="AB705" s="39"/>
      <c r="AC705" s="40"/>
    </row>
    <row r="706">
      <c r="I706" s="40"/>
      <c r="J706" s="33"/>
      <c r="K706" s="33"/>
      <c r="L706" s="33"/>
      <c r="M706" s="34"/>
      <c r="N706" s="34"/>
      <c r="O706" s="39"/>
      <c r="Q706" s="53"/>
      <c r="U706" s="37"/>
      <c r="Y706" s="38"/>
      <c r="Z706" s="39"/>
      <c r="AA706" s="33"/>
      <c r="AB706" s="39"/>
      <c r="AC706" s="40"/>
    </row>
    <row r="707">
      <c r="I707" s="40"/>
      <c r="J707" s="33"/>
      <c r="K707" s="33"/>
      <c r="L707" s="33"/>
      <c r="M707" s="34"/>
      <c r="N707" s="34"/>
      <c r="O707" s="39"/>
      <c r="Q707" s="53"/>
      <c r="U707" s="37"/>
      <c r="Y707" s="38"/>
      <c r="Z707" s="39"/>
      <c r="AA707" s="33"/>
      <c r="AB707" s="39"/>
      <c r="AC707" s="40"/>
    </row>
    <row r="708">
      <c r="I708" s="40"/>
      <c r="J708" s="33"/>
      <c r="K708" s="33"/>
      <c r="L708" s="33"/>
      <c r="M708" s="34"/>
      <c r="N708" s="34"/>
      <c r="O708" s="39"/>
      <c r="Q708" s="53"/>
      <c r="U708" s="37"/>
      <c r="Y708" s="38"/>
      <c r="Z708" s="39"/>
      <c r="AA708" s="33"/>
      <c r="AB708" s="39"/>
      <c r="AC708" s="40"/>
    </row>
    <row r="709">
      <c r="I709" s="40"/>
      <c r="J709" s="33"/>
      <c r="K709" s="33"/>
      <c r="L709" s="33"/>
      <c r="M709" s="34"/>
      <c r="N709" s="34"/>
      <c r="O709" s="39"/>
      <c r="Q709" s="53"/>
      <c r="U709" s="37"/>
      <c r="Y709" s="38"/>
      <c r="Z709" s="39"/>
      <c r="AA709" s="33"/>
      <c r="AB709" s="39"/>
      <c r="AC709" s="40"/>
    </row>
    <row r="710">
      <c r="I710" s="40"/>
      <c r="J710" s="33"/>
      <c r="K710" s="33"/>
      <c r="L710" s="33"/>
      <c r="M710" s="34"/>
      <c r="N710" s="34"/>
      <c r="O710" s="39"/>
      <c r="Q710" s="53"/>
      <c r="U710" s="37"/>
      <c r="Y710" s="38"/>
      <c r="Z710" s="39"/>
      <c r="AA710" s="33"/>
      <c r="AB710" s="39"/>
      <c r="AC710" s="40"/>
    </row>
    <row r="711">
      <c r="I711" s="40"/>
      <c r="J711" s="33"/>
      <c r="K711" s="33"/>
      <c r="L711" s="33"/>
      <c r="M711" s="34"/>
      <c r="N711" s="34"/>
      <c r="O711" s="39"/>
      <c r="Q711" s="53"/>
      <c r="U711" s="37"/>
      <c r="Y711" s="38"/>
      <c r="Z711" s="39"/>
      <c r="AA711" s="33"/>
      <c r="AB711" s="39"/>
      <c r="AC711" s="40"/>
    </row>
    <row r="712">
      <c r="I712" s="40"/>
      <c r="J712" s="33"/>
      <c r="K712" s="33"/>
      <c r="L712" s="33"/>
      <c r="M712" s="34"/>
      <c r="N712" s="34"/>
      <c r="O712" s="39"/>
      <c r="Q712" s="53"/>
      <c r="U712" s="37"/>
      <c r="Y712" s="38"/>
      <c r="Z712" s="39"/>
      <c r="AA712" s="33"/>
      <c r="AB712" s="39"/>
      <c r="AC712" s="40"/>
    </row>
    <row r="713">
      <c r="I713" s="40"/>
      <c r="J713" s="33"/>
      <c r="K713" s="33"/>
      <c r="L713" s="33"/>
      <c r="M713" s="34"/>
      <c r="N713" s="34"/>
      <c r="O713" s="39"/>
      <c r="Q713" s="53"/>
      <c r="U713" s="37"/>
      <c r="Y713" s="38"/>
      <c r="Z713" s="39"/>
      <c r="AA713" s="33"/>
      <c r="AB713" s="39"/>
      <c r="AC713" s="40"/>
    </row>
    <row r="714">
      <c r="I714" s="40"/>
      <c r="J714" s="33"/>
      <c r="K714" s="33"/>
      <c r="L714" s="33"/>
      <c r="M714" s="34"/>
      <c r="N714" s="34"/>
      <c r="O714" s="39"/>
      <c r="Q714" s="53"/>
      <c r="U714" s="37"/>
      <c r="Y714" s="38"/>
      <c r="Z714" s="39"/>
      <c r="AA714" s="33"/>
      <c r="AB714" s="39"/>
      <c r="AC714" s="40"/>
    </row>
    <row r="715">
      <c r="I715" s="40"/>
      <c r="J715" s="33"/>
      <c r="K715" s="33"/>
      <c r="L715" s="33"/>
      <c r="M715" s="34"/>
      <c r="N715" s="34"/>
      <c r="O715" s="39"/>
      <c r="Q715" s="53"/>
      <c r="U715" s="37"/>
      <c r="Y715" s="38"/>
      <c r="Z715" s="39"/>
      <c r="AA715" s="33"/>
      <c r="AB715" s="39"/>
      <c r="AC715" s="40"/>
    </row>
    <row r="716">
      <c r="I716" s="40"/>
      <c r="J716" s="33"/>
      <c r="K716" s="33"/>
      <c r="L716" s="33"/>
      <c r="M716" s="34"/>
      <c r="N716" s="34"/>
      <c r="O716" s="39"/>
      <c r="Q716" s="53"/>
      <c r="U716" s="37"/>
      <c r="Y716" s="38"/>
      <c r="Z716" s="39"/>
      <c r="AA716" s="33"/>
      <c r="AB716" s="39"/>
      <c r="AC716" s="40"/>
    </row>
    <row r="717">
      <c r="I717" s="40"/>
      <c r="J717" s="33"/>
      <c r="K717" s="33"/>
      <c r="L717" s="33"/>
      <c r="M717" s="34"/>
      <c r="N717" s="34"/>
      <c r="O717" s="39"/>
      <c r="Q717" s="53"/>
      <c r="U717" s="37"/>
      <c r="Y717" s="38"/>
      <c r="Z717" s="39"/>
      <c r="AA717" s="33"/>
      <c r="AB717" s="39"/>
      <c r="AC717" s="40"/>
    </row>
    <row r="718">
      <c r="I718" s="40"/>
      <c r="J718" s="33"/>
      <c r="K718" s="33"/>
      <c r="L718" s="33"/>
      <c r="M718" s="34"/>
      <c r="N718" s="34"/>
      <c r="O718" s="39"/>
      <c r="Q718" s="53"/>
      <c r="U718" s="37"/>
      <c r="Y718" s="38"/>
      <c r="Z718" s="39"/>
      <c r="AA718" s="33"/>
      <c r="AB718" s="39"/>
      <c r="AC718" s="40"/>
    </row>
    <row r="719">
      <c r="I719" s="40"/>
      <c r="J719" s="33"/>
      <c r="K719" s="33"/>
      <c r="L719" s="33"/>
      <c r="M719" s="34"/>
      <c r="N719" s="34"/>
      <c r="O719" s="39"/>
      <c r="Q719" s="53"/>
      <c r="U719" s="37"/>
      <c r="Y719" s="38"/>
      <c r="Z719" s="39"/>
      <c r="AA719" s="33"/>
      <c r="AB719" s="39"/>
      <c r="AC719" s="40"/>
    </row>
    <row r="720">
      <c r="I720" s="40"/>
      <c r="J720" s="33"/>
      <c r="K720" s="33"/>
      <c r="L720" s="33"/>
      <c r="M720" s="34"/>
      <c r="N720" s="34"/>
      <c r="O720" s="39"/>
      <c r="Q720" s="53"/>
      <c r="U720" s="37"/>
      <c r="Y720" s="38"/>
      <c r="Z720" s="39"/>
      <c r="AA720" s="33"/>
      <c r="AB720" s="39"/>
      <c r="AC720" s="40"/>
    </row>
    <row r="721">
      <c r="I721" s="40"/>
      <c r="J721" s="33"/>
      <c r="K721" s="33"/>
      <c r="L721" s="33"/>
      <c r="M721" s="34"/>
      <c r="N721" s="34"/>
      <c r="O721" s="39"/>
      <c r="Q721" s="53"/>
      <c r="U721" s="37"/>
      <c r="Y721" s="38"/>
      <c r="Z721" s="39"/>
      <c r="AA721" s="33"/>
      <c r="AB721" s="39"/>
      <c r="AC721" s="40"/>
    </row>
    <row r="722">
      <c r="I722" s="40"/>
      <c r="J722" s="33"/>
      <c r="K722" s="33"/>
      <c r="L722" s="33"/>
      <c r="M722" s="34"/>
      <c r="N722" s="34"/>
      <c r="O722" s="39"/>
      <c r="Q722" s="53"/>
      <c r="U722" s="37"/>
      <c r="Y722" s="38"/>
      <c r="Z722" s="39"/>
      <c r="AA722" s="33"/>
      <c r="AB722" s="39"/>
      <c r="AC722" s="40"/>
    </row>
    <row r="723">
      <c r="I723" s="40"/>
      <c r="J723" s="33"/>
      <c r="K723" s="33"/>
      <c r="L723" s="33"/>
      <c r="M723" s="34"/>
      <c r="N723" s="34"/>
      <c r="O723" s="39"/>
      <c r="Q723" s="53"/>
      <c r="U723" s="37"/>
      <c r="Y723" s="38"/>
      <c r="Z723" s="39"/>
      <c r="AA723" s="33"/>
      <c r="AB723" s="39"/>
      <c r="AC723" s="40"/>
    </row>
    <row r="724">
      <c r="I724" s="40"/>
      <c r="J724" s="33"/>
      <c r="K724" s="33"/>
      <c r="L724" s="33"/>
      <c r="M724" s="34"/>
      <c r="N724" s="34"/>
      <c r="O724" s="39"/>
      <c r="Q724" s="53"/>
      <c r="U724" s="37"/>
      <c r="Y724" s="38"/>
      <c r="Z724" s="39"/>
      <c r="AA724" s="33"/>
      <c r="AB724" s="39"/>
      <c r="AC724" s="40"/>
    </row>
    <row r="725">
      <c r="I725" s="40"/>
      <c r="J725" s="33"/>
      <c r="K725" s="33"/>
      <c r="L725" s="33"/>
      <c r="M725" s="34"/>
      <c r="N725" s="34"/>
      <c r="O725" s="39"/>
      <c r="Q725" s="53"/>
      <c r="U725" s="37"/>
      <c r="Y725" s="38"/>
      <c r="Z725" s="39"/>
      <c r="AA725" s="33"/>
      <c r="AB725" s="39"/>
      <c r="AC725" s="40"/>
    </row>
    <row r="726">
      <c r="I726" s="40"/>
      <c r="J726" s="33"/>
      <c r="K726" s="33"/>
      <c r="L726" s="33"/>
      <c r="M726" s="34"/>
      <c r="N726" s="34"/>
      <c r="O726" s="39"/>
      <c r="Q726" s="53"/>
      <c r="U726" s="37"/>
      <c r="Y726" s="38"/>
      <c r="Z726" s="39"/>
      <c r="AA726" s="33"/>
      <c r="AB726" s="39"/>
      <c r="AC726" s="40"/>
    </row>
    <row r="727">
      <c r="I727" s="40"/>
      <c r="J727" s="33"/>
      <c r="K727" s="33"/>
      <c r="L727" s="33"/>
      <c r="M727" s="34"/>
      <c r="N727" s="34"/>
      <c r="O727" s="39"/>
      <c r="Q727" s="53"/>
      <c r="U727" s="37"/>
      <c r="Y727" s="38"/>
      <c r="Z727" s="39"/>
      <c r="AA727" s="33"/>
      <c r="AB727" s="39"/>
      <c r="AC727" s="40"/>
    </row>
    <row r="728">
      <c r="I728" s="40"/>
      <c r="J728" s="33"/>
      <c r="K728" s="33"/>
      <c r="L728" s="33"/>
      <c r="M728" s="34"/>
      <c r="N728" s="34"/>
      <c r="O728" s="39"/>
      <c r="Q728" s="53"/>
      <c r="U728" s="37"/>
      <c r="Y728" s="38"/>
      <c r="Z728" s="39"/>
      <c r="AA728" s="33"/>
      <c r="AB728" s="39"/>
      <c r="AC728" s="40"/>
    </row>
    <row r="729">
      <c r="I729" s="40"/>
      <c r="J729" s="33"/>
      <c r="K729" s="33"/>
      <c r="L729" s="33"/>
      <c r="M729" s="34"/>
      <c r="N729" s="34"/>
      <c r="O729" s="39"/>
      <c r="Q729" s="53"/>
      <c r="U729" s="37"/>
      <c r="Y729" s="38"/>
      <c r="Z729" s="39"/>
      <c r="AA729" s="33"/>
      <c r="AB729" s="39"/>
      <c r="AC729" s="40"/>
    </row>
    <row r="730">
      <c r="I730" s="40"/>
      <c r="J730" s="33"/>
      <c r="K730" s="33"/>
      <c r="L730" s="33"/>
      <c r="M730" s="34"/>
      <c r="N730" s="34"/>
      <c r="O730" s="39"/>
      <c r="Q730" s="53"/>
      <c r="U730" s="37"/>
      <c r="Y730" s="38"/>
      <c r="Z730" s="39"/>
      <c r="AA730" s="33"/>
      <c r="AB730" s="39"/>
      <c r="AC730" s="40"/>
    </row>
    <row r="731">
      <c r="I731" s="40"/>
      <c r="J731" s="33"/>
      <c r="K731" s="33"/>
      <c r="L731" s="33"/>
      <c r="M731" s="34"/>
      <c r="N731" s="34"/>
      <c r="O731" s="39"/>
      <c r="Q731" s="53"/>
      <c r="U731" s="37"/>
      <c r="Y731" s="38"/>
      <c r="Z731" s="39"/>
      <c r="AA731" s="33"/>
      <c r="AB731" s="39"/>
      <c r="AC731" s="40"/>
    </row>
    <row r="732">
      <c r="I732" s="40"/>
      <c r="J732" s="33"/>
      <c r="K732" s="33"/>
      <c r="L732" s="33"/>
      <c r="M732" s="34"/>
      <c r="N732" s="34"/>
      <c r="O732" s="39"/>
      <c r="Q732" s="53"/>
      <c r="U732" s="37"/>
      <c r="Y732" s="38"/>
      <c r="Z732" s="39"/>
      <c r="AA732" s="33"/>
      <c r="AB732" s="39"/>
      <c r="AC732" s="40"/>
    </row>
    <row r="733">
      <c r="I733" s="40"/>
      <c r="J733" s="33"/>
      <c r="K733" s="33"/>
      <c r="L733" s="33"/>
      <c r="M733" s="34"/>
      <c r="N733" s="34"/>
      <c r="O733" s="39"/>
      <c r="Q733" s="53"/>
      <c r="U733" s="37"/>
      <c r="Y733" s="38"/>
      <c r="Z733" s="39"/>
      <c r="AA733" s="33"/>
      <c r="AB733" s="39"/>
      <c r="AC733" s="40"/>
    </row>
    <row r="734">
      <c r="I734" s="40"/>
      <c r="J734" s="33"/>
      <c r="K734" s="33"/>
      <c r="L734" s="33"/>
      <c r="M734" s="34"/>
      <c r="N734" s="34"/>
      <c r="O734" s="39"/>
      <c r="Q734" s="53"/>
      <c r="U734" s="37"/>
      <c r="Y734" s="38"/>
      <c r="Z734" s="39"/>
      <c r="AA734" s="33"/>
      <c r="AB734" s="39"/>
      <c r="AC734" s="40"/>
    </row>
    <row r="735">
      <c r="I735" s="40"/>
      <c r="J735" s="33"/>
      <c r="K735" s="33"/>
      <c r="L735" s="33"/>
      <c r="M735" s="34"/>
      <c r="N735" s="34"/>
      <c r="O735" s="39"/>
      <c r="Q735" s="53"/>
      <c r="U735" s="37"/>
      <c r="Y735" s="38"/>
      <c r="Z735" s="39"/>
      <c r="AA735" s="33"/>
      <c r="AB735" s="39"/>
      <c r="AC735" s="40"/>
    </row>
    <row r="736">
      <c r="I736" s="40"/>
      <c r="J736" s="33"/>
      <c r="K736" s="33"/>
      <c r="L736" s="33"/>
      <c r="M736" s="34"/>
      <c r="N736" s="34"/>
      <c r="O736" s="39"/>
      <c r="Q736" s="53"/>
      <c r="U736" s="37"/>
      <c r="Y736" s="38"/>
      <c r="Z736" s="39"/>
      <c r="AA736" s="33"/>
      <c r="AB736" s="39"/>
      <c r="AC736" s="40"/>
    </row>
    <row r="737">
      <c r="I737" s="40"/>
      <c r="J737" s="33"/>
      <c r="K737" s="33"/>
      <c r="L737" s="33"/>
      <c r="M737" s="34"/>
      <c r="N737" s="34"/>
      <c r="O737" s="39"/>
      <c r="Q737" s="53"/>
      <c r="U737" s="37"/>
      <c r="Y737" s="38"/>
      <c r="Z737" s="39"/>
      <c r="AA737" s="33"/>
      <c r="AB737" s="39"/>
      <c r="AC737" s="40"/>
    </row>
    <row r="738">
      <c r="I738" s="40"/>
      <c r="J738" s="33"/>
      <c r="K738" s="33"/>
      <c r="L738" s="33"/>
      <c r="M738" s="34"/>
      <c r="N738" s="34"/>
      <c r="O738" s="39"/>
      <c r="Q738" s="53"/>
      <c r="U738" s="37"/>
      <c r="Y738" s="38"/>
      <c r="Z738" s="39"/>
      <c r="AA738" s="33"/>
      <c r="AB738" s="39"/>
      <c r="AC738" s="40"/>
    </row>
    <row r="739">
      <c r="I739" s="40"/>
      <c r="J739" s="33"/>
      <c r="K739" s="33"/>
      <c r="L739" s="33"/>
      <c r="M739" s="34"/>
      <c r="N739" s="34"/>
      <c r="O739" s="39"/>
      <c r="Q739" s="53"/>
      <c r="U739" s="37"/>
      <c r="Y739" s="38"/>
      <c r="Z739" s="39"/>
      <c r="AA739" s="33"/>
      <c r="AB739" s="39"/>
      <c r="AC739" s="40"/>
    </row>
    <row r="740">
      <c r="I740" s="40"/>
      <c r="J740" s="33"/>
      <c r="K740" s="33"/>
      <c r="L740" s="33"/>
      <c r="M740" s="34"/>
      <c r="N740" s="34"/>
      <c r="O740" s="39"/>
      <c r="Q740" s="53"/>
      <c r="U740" s="37"/>
      <c r="Y740" s="38"/>
      <c r="Z740" s="39"/>
      <c r="AA740" s="33"/>
      <c r="AB740" s="39"/>
      <c r="AC740" s="40"/>
    </row>
    <row r="741">
      <c r="I741" s="40"/>
      <c r="J741" s="33"/>
      <c r="K741" s="33"/>
      <c r="L741" s="33"/>
      <c r="M741" s="34"/>
      <c r="N741" s="34"/>
      <c r="O741" s="39"/>
      <c r="Q741" s="53"/>
      <c r="U741" s="37"/>
      <c r="Y741" s="38"/>
      <c r="Z741" s="39"/>
      <c r="AA741" s="33"/>
      <c r="AB741" s="39"/>
      <c r="AC741" s="40"/>
    </row>
    <row r="742">
      <c r="I742" s="40"/>
      <c r="J742" s="33"/>
      <c r="K742" s="33"/>
      <c r="L742" s="33"/>
      <c r="M742" s="34"/>
      <c r="N742" s="34"/>
      <c r="O742" s="39"/>
      <c r="Q742" s="53"/>
      <c r="U742" s="37"/>
      <c r="Y742" s="38"/>
      <c r="Z742" s="39"/>
      <c r="AA742" s="33"/>
      <c r="AB742" s="39"/>
      <c r="AC742" s="40"/>
    </row>
    <row r="743">
      <c r="I743" s="40"/>
      <c r="J743" s="33"/>
      <c r="K743" s="33"/>
      <c r="L743" s="33"/>
      <c r="M743" s="34"/>
      <c r="N743" s="34"/>
      <c r="O743" s="39"/>
      <c r="Q743" s="53"/>
      <c r="U743" s="37"/>
      <c r="Y743" s="38"/>
      <c r="Z743" s="39"/>
      <c r="AA743" s="33"/>
      <c r="AB743" s="39"/>
      <c r="AC743" s="40"/>
    </row>
    <row r="744">
      <c r="I744" s="40"/>
      <c r="J744" s="33"/>
      <c r="K744" s="33"/>
      <c r="L744" s="33"/>
      <c r="M744" s="34"/>
      <c r="N744" s="34"/>
      <c r="O744" s="39"/>
      <c r="Q744" s="53"/>
      <c r="U744" s="37"/>
      <c r="Y744" s="38"/>
      <c r="Z744" s="39"/>
      <c r="AA744" s="33"/>
      <c r="AB744" s="39"/>
      <c r="AC744" s="40"/>
    </row>
    <row r="745">
      <c r="I745" s="40"/>
      <c r="J745" s="33"/>
      <c r="K745" s="33"/>
      <c r="L745" s="33"/>
      <c r="M745" s="34"/>
      <c r="N745" s="34"/>
      <c r="O745" s="39"/>
      <c r="Q745" s="53"/>
      <c r="U745" s="37"/>
      <c r="Y745" s="38"/>
      <c r="Z745" s="39"/>
      <c r="AA745" s="33"/>
      <c r="AB745" s="39"/>
      <c r="AC745" s="40"/>
    </row>
    <row r="746">
      <c r="I746" s="40"/>
      <c r="J746" s="33"/>
      <c r="K746" s="33"/>
      <c r="L746" s="33"/>
      <c r="M746" s="34"/>
      <c r="N746" s="34"/>
      <c r="O746" s="39"/>
      <c r="Q746" s="53"/>
      <c r="U746" s="37"/>
      <c r="Y746" s="38"/>
      <c r="Z746" s="39"/>
      <c r="AA746" s="33"/>
      <c r="AB746" s="39"/>
      <c r="AC746" s="40"/>
    </row>
    <row r="747">
      <c r="I747" s="40"/>
      <c r="J747" s="33"/>
      <c r="K747" s="33"/>
      <c r="L747" s="33"/>
      <c r="M747" s="34"/>
      <c r="N747" s="34"/>
      <c r="O747" s="39"/>
      <c r="Q747" s="53"/>
      <c r="U747" s="37"/>
      <c r="Y747" s="38"/>
      <c r="Z747" s="39"/>
      <c r="AA747" s="33"/>
      <c r="AB747" s="39"/>
      <c r="AC747" s="40"/>
    </row>
    <row r="748">
      <c r="I748" s="40"/>
      <c r="J748" s="33"/>
      <c r="K748" s="33"/>
      <c r="L748" s="33"/>
      <c r="M748" s="34"/>
      <c r="N748" s="34"/>
      <c r="O748" s="39"/>
      <c r="Q748" s="53"/>
      <c r="U748" s="37"/>
      <c r="Y748" s="38"/>
      <c r="Z748" s="39"/>
      <c r="AA748" s="33"/>
      <c r="AB748" s="39"/>
      <c r="AC748" s="40"/>
    </row>
    <row r="749">
      <c r="I749" s="40"/>
      <c r="J749" s="33"/>
      <c r="K749" s="33"/>
      <c r="L749" s="33"/>
      <c r="M749" s="34"/>
      <c r="N749" s="34"/>
      <c r="O749" s="39"/>
      <c r="Q749" s="53"/>
      <c r="U749" s="37"/>
      <c r="Y749" s="38"/>
      <c r="Z749" s="39"/>
      <c r="AA749" s="33"/>
      <c r="AB749" s="39"/>
      <c r="AC749" s="40"/>
    </row>
    <row r="750">
      <c r="I750" s="40"/>
      <c r="J750" s="33"/>
      <c r="K750" s="33"/>
      <c r="L750" s="33"/>
      <c r="M750" s="34"/>
      <c r="N750" s="34"/>
      <c r="O750" s="39"/>
      <c r="Q750" s="53"/>
      <c r="U750" s="37"/>
      <c r="Y750" s="38"/>
      <c r="Z750" s="39"/>
      <c r="AA750" s="33"/>
      <c r="AB750" s="39"/>
      <c r="AC750" s="40"/>
    </row>
    <row r="751">
      <c r="I751" s="40"/>
      <c r="J751" s="33"/>
      <c r="K751" s="33"/>
      <c r="L751" s="33"/>
      <c r="M751" s="34"/>
      <c r="N751" s="34"/>
      <c r="O751" s="39"/>
      <c r="Q751" s="53"/>
      <c r="U751" s="37"/>
      <c r="Y751" s="38"/>
      <c r="Z751" s="39"/>
      <c r="AA751" s="33"/>
      <c r="AB751" s="39"/>
      <c r="AC751" s="40"/>
    </row>
    <row r="752">
      <c r="I752" s="40"/>
      <c r="J752" s="33"/>
      <c r="K752" s="33"/>
      <c r="L752" s="33"/>
      <c r="M752" s="34"/>
      <c r="N752" s="34"/>
      <c r="O752" s="39"/>
      <c r="Q752" s="53"/>
      <c r="U752" s="37"/>
      <c r="Y752" s="38"/>
      <c r="Z752" s="39"/>
      <c r="AA752" s="33"/>
      <c r="AB752" s="39"/>
      <c r="AC752" s="40"/>
    </row>
    <row r="753">
      <c r="I753" s="40"/>
      <c r="J753" s="33"/>
      <c r="K753" s="33"/>
      <c r="L753" s="33"/>
      <c r="M753" s="34"/>
      <c r="N753" s="34"/>
      <c r="O753" s="39"/>
      <c r="Q753" s="53"/>
      <c r="U753" s="37"/>
      <c r="Y753" s="38"/>
      <c r="Z753" s="39"/>
      <c r="AA753" s="33"/>
      <c r="AB753" s="39"/>
      <c r="AC753" s="40"/>
    </row>
    <row r="754">
      <c r="I754" s="40"/>
      <c r="J754" s="33"/>
      <c r="K754" s="33"/>
      <c r="L754" s="33"/>
      <c r="M754" s="34"/>
      <c r="N754" s="34"/>
      <c r="O754" s="39"/>
      <c r="Q754" s="53"/>
      <c r="U754" s="37"/>
      <c r="Y754" s="38"/>
      <c r="Z754" s="39"/>
      <c r="AA754" s="33"/>
      <c r="AB754" s="39"/>
      <c r="AC754" s="40"/>
    </row>
    <row r="755">
      <c r="I755" s="40"/>
      <c r="J755" s="33"/>
      <c r="K755" s="33"/>
      <c r="L755" s="33"/>
      <c r="M755" s="34"/>
      <c r="N755" s="34"/>
      <c r="O755" s="39"/>
      <c r="Q755" s="53"/>
      <c r="U755" s="37"/>
      <c r="Y755" s="38"/>
      <c r="Z755" s="39"/>
      <c r="AA755" s="33"/>
      <c r="AB755" s="39"/>
      <c r="AC755" s="40"/>
    </row>
    <row r="756">
      <c r="I756" s="40"/>
      <c r="J756" s="33"/>
      <c r="K756" s="33"/>
      <c r="L756" s="33"/>
      <c r="M756" s="34"/>
      <c r="N756" s="34"/>
      <c r="O756" s="39"/>
      <c r="Q756" s="53"/>
      <c r="U756" s="37"/>
      <c r="Y756" s="38"/>
      <c r="Z756" s="39"/>
      <c r="AA756" s="33"/>
      <c r="AB756" s="39"/>
      <c r="AC756" s="40"/>
    </row>
    <row r="757">
      <c r="I757" s="40"/>
      <c r="J757" s="33"/>
      <c r="K757" s="33"/>
      <c r="L757" s="33"/>
      <c r="M757" s="34"/>
      <c r="N757" s="34"/>
      <c r="O757" s="39"/>
      <c r="Q757" s="53"/>
      <c r="U757" s="37"/>
      <c r="Y757" s="38"/>
      <c r="Z757" s="39"/>
      <c r="AA757" s="33"/>
      <c r="AB757" s="39"/>
      <c r="AC757" s="40"/>
    </row>
    <row r="758">
      <c r="I758" s="40"/>
      <c r="J758" s="33"/>
      <c r="K758" s="33"/>
      <c r="L758" s="33"/>
      <c r="M758" s="34"/>
      <c r="N758" s="34"/>
      <c r="O758" s="39"/>
      <c r="Q758" s="53"/>
      <c r="U758" s="37"/>
      <c r="Y758" s="38"/>
      <c r="Z758" s="39"/>
      <c r="AA758" s="33"/>
      <c r="AB758" s="39"/>
      <c r="AC758" s="40"/>
    </row>
    <row r="759">
      <c r="I759" s="40"/>
      <c r="J759" s="33"/>
      <c r="K759" s="33"/>
      <c r="L759" s="33"/>
      <c r="M759" s="34"/>
      <c r="N759" s="34"/>
      <c r="O759" s="39"/>
      <c r="Q759" s="53"/>
      <c r="U759" s="37"/>
      <c r="Y759" s="38"/>
      <c r="Z759" s="39"/>
      <c r="AA759" s="33"/>
      <c r="AB759" s="39"/>
      <c r="AC759" s="40"/>
    </row>
    <row r="760">
      <c r="I760" s="40"/>
      <c r="J760" s="33"/>
      <c r="K760" s="33"/>
      <c r="L760" s="33"/>
      <c r="M760" s="34"/>
      <c r="N760" s="34"/>
      <c r="O760" s="39"/>
      <c r="Q760" s="53"/>
      <c r="U760" s="37"/>
      <c r="Y760" s="38"/>
      <c r="Z760" s="39"/>
      <c r="AA760" s="33"/>
      <c r="AB760" s="39"/>
      <c r="AC760" s="40"/>
    </row>
    <row r="761">
      <c r="I761" s="40"/>
      <c r="J761" s="33"/>
      <c r="K761" s="33"/>
      <c r="L761" s="33"/>
      <c r="M761" s="34"/>
      <c r="N761" s="34"/>
      <c r="O761" s="39"/>
      <c r="Q761" s="53"/>
      <c r="U761" s="37"/>
      <c r="Y761" s="38"/>
      <c r="Z761" s="39"/>
      <c r="AA761" s="33"/>
      <c r="AB761" s="39"/>
      <c r="AC761" s="40"/>
    </row>
    <row r="762">
      <c r="I762" s="40"/>
      <c r="J762" s="33"/>
      <c r="K762" s="33"/>
      <c r="L762" s="33"/>
      <c r="M762" s="34"/>
      <c r="N762" s="34"/>
      <c r="O762" s="39"/>
      <c r="Q762" s="53"/>
      <c r="U762" s="37"/>
      <c r="Y762" s="38"/>
      <c r="Z762" s="39"/>
      <c r="AA762" s="33"/>
      <c r="AB762" s="39"/>
      <c r="AC762" s="40"/>
    </row>
    <row r="763">
      <c r="I763" s="40"/>
      <c r="J763" s="33"/>
      <c r="K763" s="33"/>
      <c r="L763" s="33"/>
      <c r="M763" s="34"/>
      <c r="N763" s="34"/>
      <c r="O763" s="39"/>
      <c r="Q763" s="53"/>
      <c r="U763" s="37"/>
      <c r="Y763" s="38"/>
      <c r="Z763" s="39"/>
      <c r="AA763" s="33"/>
      <c r="AB763" s="39"/>
      <c r="AC763" s="40"/>
    </row>
    <row r="764">
      <c r="I764" s="40"/>
      <c r="J764" s="33"/>
      <c r="K764" s="33"/>
      <c r="L764" s="33"/>
      <c r="M764" s="34"/>
      <c r="N764" s="34"/>
      <c r="O764" s="39"/>
      <c r="Q764" s="53"/>
      <c r="U764" s="37"/>
      <c r="Y764" s="38"/>
      <c r="Z764" s="39"/>
      <c r="AA764" s="33"/>
      <c r="AB764" s="39"/>
      <c r="AC764" s="40"/>
    </row>
    <row r="765">
      <c r="I765" s="40"/>
      <c r="J765" s="33"/>
      <c r="K765" s="33"/>
      <c r="L765" s="33"/>
      <c r="M765" s="34"/>
      <c r="N765" s="34"/>
      <c r="O765" s="39"/>
      <c r="Q765" s="53"/>
      <c r="U765" s="37"/>
      <c r="Y765" s="38"/>
      <c r="Z765" s="39"/>
      <c r="AA765" s="33"/>
      <c r="AB765" s="39"/>
      <c r="AC765" s="40"/>
    </row>
    <row r="766">
      <c r="I766" s="40"/>
      <c r="J766" s="33"/>
      <c r="K766" s="33"/>
      <c r="L766" s="33"/>
      <c r="M766" s="34"/>
      <c r="N766" s="34"/>
      <c r="O766" s="39"/>
      <c r="Q766" s="53"/>
      <c r="U766" s="37"/>
      <c r="Y766" s="38"/>
      <c r="Z766" s="39"/>
      <c r="AA766" s="33"/>
      <c r="AB766" s="39"/>
      <c r="AC766" s="40"/>
    </row>
    <row r="767">
      <c r="I767" s="40"/>
      <c r="J767" s="33"/>
      <c r="K767" s="33"/>
      <c r="L767" s="33"/>
      <c r="M767" s="34"/>
      <c r="N767" s="34"/>
      <c r="O767" s="39"/>
      <c r="Q767" s="53"/>
      <c r="U767" s="37"/>
      <c r="Y767" s="38"/>
      <c r="Z767" s="39"/>
      <c r="AA767" s="33"/>
      <c r="AB767" s="39"/>
      <c r="AC767" s="40"/>
    </row>
    <row r="768">
      <c r="I768" s="40"/>
      <c r="J768" s="33"/>
      <c r="K768" s="33"/>
      <c r="L768" s="33"/>
      <c r="M768" s="34"/>
      <c r="N768" s="34"/>
      <c r="O768" s="39"/>
      <c r="Q768" s="53"/>
      <c r="U768" s="37"/>
      <c r="Y768" s="38"/>
      <c r="Z768" s="39"/>
      <c r="AA768" s="33"/>
      <c r="AB768" s="39"/>
      <c r="AC768" s="40"/>
    </row>
    <row r="769">
      <c r="I769" s="40"/>
      <c r="J769" s="33"/>
      <c r="K769" s="33"/>
      <c r="L769" s="33"/>
      <c r="M769" s="34"/>
      <c r="N769" s="34"/>
      <c r="O769" s="39"/>
      <c r="Q769" s="53"/>
      <c r="U769" s="37"/>
      <c r="Y769" s="38"/>
      <c r="Z769" s="39"/>
      <c r="AA769" s="33"/>
      <c r="AB769" s="39"/>
      <c r="AC769" s="40"/>
    </row>
    <row r="770">
      <c r="I770" s="40"/>
      <c r="J770" s="33"/>
      <c r="K770" s="33"/>
      <c r="L770" s="33"/>
      <c r="M770" s="34"/>
      <c r="N770" s="34"/>
      <c r="O770" s="39"/>
      <c r="Q770" s="53"/>
      <c r="U770" s="37"/>
      <c r="Y770" s="38"/>
      <c r="Z770" s="39"/>
      <c r="AA770" s="33"/>
      <c r="AB770" s="39"/>
      <c r="AC770" s="40"/>
    </row>
    <row r="771">
      <c r="I771" s="40"/>
      <c r="J771" s="33"/>
      <c r="K771" s="33"/>
      <c r="L771" s="33"/>
      <c r="M771" s="34"/>
      <c r="N771" s="34"/>
      <c r="O771" s="39"/>
      <c r="Q771" s="53"/>
      <c r="U771" s="37"/>
      <c r="Y771" s="38"/>
      <c r="Z771" s="39"/>
      <c r="AA771" s="33"/>
      <c r="AB771" s="39"/>
      <c r="AC771" s="40"/>
    </row>
    <row r="772">
      <c r="I772" s="40"/>
      <c r="J772" s="33"/>
      <c r="K772" s="33"/>
      <c r="L772" s="33"/>
      <c r="M772" s="34"/>
      <c r="N772" s="34"/>
      <c r="O772" s="39"/>
      <c r="Q772" s="53"/>
      <c r="U772" s="37"/>
      <c r="Y772" s="38"/>
      <c r="Z772" s="39"/>
      <c r="AA772" s="33"/>
      <c r="AB772" s="39"/>
      <c r="AC772" s="40"/>
    </row>
    <row r="773">
      <c r="I773" s="40"/>
      <c r="J773" s="33"/>
      <c r="K773" s="33"/>
      <c r="L773" s="33"/>
      <c r="M773" s="34"/>
      <c r="N773" s="34"/>
      <c r="O773" s="39"/>
      <c r="Q773" s="53"/>
      <c r="U773" s="37"/>
      <c r="Y773" s="38"/>
      <c r="Z773" s="39"/>
      <c r="AA773" s="33"/>
      <c r="AB773" s="39"/>
      <c r="AC773" s="40"/>
    </row>
    <row r="774">
      <c r="I774" s="40"/>
      <c r="J774" s="33"/>
      <c r="K774" s="33"/>
      <c r="L774" s="33"/>
      <c r="M774" s="34"/>
      <c r="N774" s="34"/>
      <c r="O774" s="39"/>
      <c r="Q774" s="53"/>
      <c r="U774" s="37"/>
      <c r="Y774" s="38"/>
      <c r="Z774" s="39"/>
      <c r="AA774" s="33"/>
      <c r="AB774" s="39"/>
      <c r="AC774" s="40"/>
    </row>
    <row r="775">
      <c r="I775" s="40"/>
      <c r="J775" s="33"/>
      <c r="K775" s="33"/>
      <c r="L775" s="33"/>
      <c r="M775" s="34"/>
      <c r="N775" s="34"/>
      <c r="O775" s="39"/>
      <c r="Q775" s="53"/>
      <c r="U775" s="37"/>
      <c r="Y775" s="38"/>
      <c r="Z775" s="39"/>
      <c r="AA775" s="33"/>
      <c r="AB775" s="39"/>
      <c r="AC775" s="40"/>
    </row>
    <row r="776">
      <c r="I776" s="40"/>
      <c r="J776" s="33"/>
      <c r="K776" s="33"/>
      <c r="L776" s="33"/>
      <c r="M776" s="34"/>
      <c r="N776" s="34"/>
      <c r="O776" s="39"/>
      <c r="Q776" s="53"/>
      <c r="U776" s="37"/>
      <c r="Y776" s="38"/>
      <c r="Z776" s="39"/>
      <c r="AA776" s="33"/>
      <c r="AB776" s="39"/>
      <c r="AC776" s="40"/>
    </row>
    <row r="777">
      <c r="I777" s="40"/>
      <c r="J777" s="33"/>
      <c r="K777" s="33"/>
      <c r="L777" s="33"/>
      <c r="M777" s="34"/>
      <c r="N777" s="34"/>
      <c r="O777" s="39"/>
      <c r="Q777" s="53"/>
      <c r="U777" s="37"/>
      <c r="Y777" s="38"/>
      <c r="Z777" s="39"/>
      <c r="AA777" s="33"/>
      <c r="AB777" s="39"/>
      <c r="AC777" s="40"/>
    </row>
    <row r="778">
      <c r="I778" s="40"/>
      <c r="J778" s="33"/>
      <c r="K778" s="33"/>
      <c r="L778" s="33"/>
      <c r="M778" s="34"/>
      <c r="N778" s="34"/>
      <c r="O778" s="39"/>
      <c r="Q778" s="53"/>
      <c r="U778" s="37"/>
      <c r="Y778" s="38"/>
      <c r="Z778" s="39"/>
      <c r="AA778" s="33"/>
      <c r="AB778" s="39"/>
      <c r="AC778" s="40"/>
    </row>
    <row r="779">
      <c r="I779" s="40"/>
      <c r="J779" s="33"/>
      <c r="K779" s="33"/>
      <c r="L779" s="33"/>
      <c r="M779" s="34"/>
      <c r="N779" s="34"/>
      <c r="O779" s="39"/>
      <c r="Q779" s="53"/>
      <c r="U779" s="37"/>
      <c r="Y779" s="38"/>
      <c r="Z779" s="39"/>
      <c r="AA779" s="33"/>
      <c r="AB779" s="39"/>
      <c r="AC779" s="40"/>
    </row>
    <row r="780">
      <c r="I780" s="40"/>
      <c r="J780" s="33"/>
      <c r="K780" s="33"/>
      <c r="L780" s="33"/>
      <c r="M780" s="34"/>
      <c r="N780" s="34"/>
      <c r="O780" s="39"/>
      <c r="Q780" s="53"/>
      <c r="U780" s="37"/>
      <c r="Y780" s="38"/>
      <c r="Z780" s="39"/>
      <c r="AA780" s="33"/>
      <c r="AB780" s="39"/>
      <c r="AC780" s="40"/>
    </row>
    <row r="781">
      <c r="I781" s="40"/>
      <c r="J781" s="33"/>
      <c r="K781" s="33"/>
      <c r="L781" s="33"/>
      <c r="M781" s="34"/>
      <c r="N781" s="34"/>
      <c r="O781" s="39"/>
      <c r="Q781" s="53"/>
      <c r="U781" s="37"/>
      <c r="Y781" s="38"/>
      <c r="Z781" s="39"/>
      <c r="AA781" s="33"/>
      <c r="AB781" s="39"/>
      <c r="AC781" s="40"/>
    </row>
    <row r="782">
      <c r="I782" s="40"/>
      <c r="J782" s="33"/>
      <c r="K782" s="33"/>
      <c r="L782" s="33"/>
      <c r="M782" s="34"/>
      <c r="N782" s="34"/>
      <c r="O782" s="39"/>
      <c r="Q782" s="53"/>
      <c r="U782" s="37"/>
      <c r="Y782" s="38"/>
      <c r="Z782" s="39"/>
      <c r="AA782" s="33"/>
      <c r="AB782" s="39"/>
      <c r="AC782" s="40"/>
    </row>
    <row r="783">
      <c r="I783" s="40"/>
      <c r="J783" s="33"/>
      <c r="K783" s="33"/>
      <c r="L783" s="33"/>
      <c r="M783" s="34"/>
      <c r="N783" s="34"/>
      <c r="O783" s="39"/>
      <c r="Q783" s="53"/>
      <c r="U783" s="37"/>
      <c r="Y783" s="38"/>
      <c r="Z783" s="39"/>
      <c r="AA783" s="33"/>
      <c r="AB783" s="39"/>
      <c r="AC783" s="40"/>
    </row>
    <row r="784">
      <c r="I784" s="40"/>
      <c r="J784" s="33"/>
      <c r="K784" s="33"/>
      <c r="L784" s="33"/>
      <c r="M784" s="34"/>
      <c r="N784" s="34"/>
      <c r="O784" s="39"/>
      <c r="Q784" s="53"/>
      <c r="U784" s="37"/>
      <c r="Y784" s="38"/>
      <c r="Z784" s="39"/>
      <c r="AA784" s="33"/>
      <c r="AB784" s="39"/>
      <c r="AC784" s="40"/>
    </row>
    <row r="785">
      <c r="I785" s="40"/>
      <c r="J785" s="33"/>
      <c r="K785" s="33"/>
      <c r="L785" s="33"/>
      <c r="M785" s="34"/>
      <c r="N785" s="34"/>
      <c r="O785" s="39"/>
      <c r="Q785" s="53"/>
      <c r="U785" s="37"/>
      <c r="Y785" s="38"/>
      <c r="Z785" s="39"/>
      <c r="AA785" s="33"/>
      <c r="AB785" s="39"/>
      <c r="AC785" s="40"/>
    </row>
    <row r="786">
      <c r="I786" s="40"/>
      <c r="J786" s="33"/>
      <c r="K786" s="33"/>
      <c r="L786" s="33"/>
      <c r="M786" s="34"/>
      <c r="N786" s="34"/>
      <c r="O786" s="39"/>
      <c r="Q786" s="53"/>
      <c r="U786" s="37"/>
      <c r="Y786" s="38"/>
      <c r="Z786" s="39"/>
      <c r="AA786" s="33"/>
      <c r="AB786" s="39"/>
      <c r="AC786" s="40"/>
    </row>
    <row r="787">
      <c r="I787" s="40"/>
      <c r="J787" s="33"/>
      <c r="K787" s="33"/>
      <c r="L787" s="33"/>
      <c r="M787" s="34"/>
      <c r="N787" s="34"/>
      <c r="O787" s="39"/>
      <c r="Q787" s="53"/>
      <c r="U787" s="37"/>
      <c r="Y787" s="38"/>
      <c r="Z787" s="39"/>
      <c r="AA787" s="33"/>
      <c r="AB787" s="39"/>
      <c r="AC787" s="40"/>
    </row>
    <row r="788">
      <c r="I788" s="40"/>
      <c r="J788" s="33"/>
      <c r="K788" s="33"/>
      <c r="L788" s="33"/>
      <c r="M788" s="34"/>
      <c r="N788" s="34"/>
      <c r="O788" s="39"/>
      <c r="Q788" s="53"/>
      <c r="U788" s="37"/>
      <c r="Y788" s="38"/>
      <c r="Z788" s="39"/>
      <c r="AA788" s="33"/>
      <c r="AB788" s="39"/>
      <c r="AC788" s="40"/>
    </row>
    <row r="789">
      <c r="I789" s="40"/>
      <c r="J789" s="33"/>
      <c r="K789" s="33"/>
      <c r="L789" s="33"/>
      <c r="M789" s="34"/>
      <c r="N789" s="34"/>
      <c r="O789" s="39"/>
      <c r="Q789" s="53"/>
      <c r="U789" s="37"/>
      <c r="Y789" s="38"/>
      <c r="Z789" s="39"/>
      <c r="AA789" s="33"/>
      <c r="AB789" s="39"/>
      <c r="AC789" s="40"/>
    </row>
    <row r="790">
      <c r="I790" s="40"/>
      <c r="J790" s="33"/>
      <c r="K790" s="33"/>
      <c r="L790" s="33"/>
      <c r="M790" s="34"/>
      <c r="N790" s="34"/>
      <c r="O790" s="39"/>
      <c r="Q790" s="53"/>
      <c r="U790" s="37"/>
      <c r="Y790" s="38"/>
      <c r="Z790" s="39"/>
      <c r="AA790" s="33"/>
      <c r="AB790" s="39"/>
      <c r="AC790" s="40"/>
    </row>
    <row r="791">
      <c r="I791" s="40"/>
      <c r="J791" s="33"/>
      <c r="K791" s="33"/>
      <c r="L791" s="33"/>
      <c r="M791" s="34"/>
      <c r="N791" s="34"/>
      <c r="O791" s="39"/>
      <c r="Q791" s="53"/>
      <c r="U791" s="37"/>
      <c r="Y791" s="38"/>
      <c r="Z791" s="39"/>
      <c r="AA791" s="33"/>
      <c r="AB791" s="39"/>
      <c r="AC791" s="40"/>
    </row>
    <row r="792">
      <c r="I792" s="40"/>
      <c r="J792" s="33"/>
      <c r="K792" s="33"/>
      <c r="L792" s="33"/>
      <c r="M792" s="34"/>
      <c r="N792" s="34"/>
      <c r="O792" s="39"/>
      <c r="Q792" s="53"/>
      <c r="U792" s="37"/>
      <c r="Y792" s="38"/>
      <c r="Z792" s="39"/>
      <c r="AA792" s="33"/>
      <c r="AB792" s="39"/>
      <c r="AC792" s="40"/>
    </row>
    <row r="793">
      <c r="I793" s="40"/>
      <c r="J793" s="33"/>
      <c r="K793" s="33"/>
      <c r="L793" s="33"/>
      <c r="M793" s="34"/>
      <c r="N793" s="34"/>
      <c r="O793" s="39"/>
      <c r="Q793" s="53"/>
      <c r="U793" s="37"/>
      <c r="Y793" s="38"/>
      <c r="Z793" s="39"/>
      <c r="AA793" s="33"/>
      <c r="AB793" s="39"/>
      <c r="AC793" s="40"/>
    </row>
    <row r="794">
      <c r="I794" s="40"/>
      <c r="J794" s="33"/>
      <c r="K794" s="33"/>
      <c r="L794" s="33"/>
      <c r="M794" s="34"/>
      <c r="N794" s="34"/>
      <c r="O794" s="39"/>
      <c r="Q794" s="53"/>
      <c r="U794" s="37"/>
      <c r="Y794" s="38"/>
      <c r="Z794" s="39"/>
      <c r="AA794" s="33"/>
      <c r="AB794" s="39"/>
      <c r="AC794" s="40"/>
    </row>
    <row r="795">
      <c r="I795" s="40"/>
      <c r="J795" s="33"/>
      <c r="K795" s="33"/>
      <c r="L795" s="33"/>
      <c r="M795" s="34"/>
      <c r="N795" s="34"/>
      <c r="O795" s="39"/>
      <c r="Q795" s="53"/>
      <c r="U795" s="37"/>
      <c r="Y795" s="38"/>
      <c r="Z795" s="39"/>
      <c r="AA795" s="33"/>
      <c r="AB795" s="39"/>
      <c r="AC795" s="40"/>
    </row>
    <row r="796">
      <c r="I796" s="40"/>
      <c r="J796" s="33"/>
      <c r="K796" s="33"/>
      <c r="L796" s="33"/>
      <c r="M796" s="34"/>
      <c r="N796" s="34"/>
      <c r="O796" s="39"/>
      <c r="Q796" s="53"/>
      <c r="U796" s="37"/>
      <c r="Y796" s="38"/>
      <c r="Z796" s="39"/>
      <c r="AA796" s="33"/>
      <c r="AB796" s="39"/>
      <c r="AC796" s="40"/>
    </row>
    <row r="797">
      <c r="I797" s="40"/>
      <c r="J797" s="33"/>
      <c r="K797" s="33"/>
      <c r="L797" s="33"/>
      <c r="M797" s="34"/>
      <c r="N797" s="34"/>
      <c r="O797" s="39"/>
      <c r="Q797" s="53"/>
      <c r="U797" s="37"/>
      <c r="Y797" s="38"/>
      <c r="Z797" s="39"/>
      <c r="AA797" s="33"/>
      <c r="AB797" s="39"/>
      <c r="AC797" s="40"/>
    </row>
    <row r="798">
      <c r="I798" s="40"/>
      <c r="J798" s="33"/>
      <c r="K798" s="33"/>
      <c r="L798" s="33"/>
      <c r="M798" s="34"/>
      <c r="N798" s="34"/>
      <c r="O798" s="39"/>
      <c r="Q798" s="53"/>
      <c r="U798" s="37"/>
      <c r="Y798" s="38"/>
      <c r="Z798" s="39"/>
      <c r="AA798" s="33"/>
      <c r="AB798" s="39"/>
      <c r="AC798" s="40"/>
    </row>
    <row r="799">
      <c r="I799" s="40"/>
      <c r="J799" s="33"/>
      <c r="K799" s="33"/>
      <c r="L799" s="33"/>
      <c r="M799" s="34"/>
      <c r="N799" s="34"/>
      <c r="O799" s="39"/>
      <c r="Q799" s="53"/>
      <c r="U799" s="37"/>
      <c r="Y799" s="38"/>
      <c r="Z799" s="39"/>
      <c r="AA799" s="33"/>
      <c r="AB799" s="39"/>
      <c r="AC799" s="40"/>
    </row>
    <row r="800">
      <c r="I800" s="40"/>
      <c r="J800" s="33"/>
      <c r="K800" s="33"/>
      <c r="L800" s="33"/>
      <c r="M800" s="34"/>
      <c r="N800" s="34"/>
      <c r="O800" s="39"/>
      <c r="Q800" s="53"/>
      <c r="U800" s="37"/>
      <c r="Y800" s="38"/>
      <c r="Z800" s="39"/>
      <c r="AA800" s="33"/>
      <c r="AB800" s="39"/>
      <c r="AC800" s="40"/>
    </row>
    <row r="801">
      <c r="I801" s="40"/>
      <c r="J801" s="33"/>
      <c r="K801" s="33"/>
      <c r="L801" s="33"/>
      <c r="M801" s="34"/>
      <c r="N801" s="34"/>
      <c r="O801" s="39"/>
      <c r="Q801" s="53"/>
      <c r="U801" s="37"/>
      <c r="Y801" s="38"/>
      <c r="Z801" s="39"/>
      <c r="AA801" s="33"/>
      <c r="AB801" s="39"/>
      <c r="AC801" s="40"/>
    </row>
    <row r="802">
      <c r="I802" s="40"/>
      <c r="J802" s="33"/>
      <c r="K802" s="33"/>
      <c r="L802" s="33"/>
      <c r="M802" s="34"/>
      <c r="N802" s="34"/>
      <c r="O802" s="39"/>
      <c r="Q802" s="53"/>
      <c r="U802" s="37"/>
      <c r="Y802" s="38"/>
      <c r="Z802" s="39"/>
      <c r="AA802" s="33"/>
      <c r="AB802" s="39"/>
      <c r="AC802" s="40"/>
    </row>
    <row r="803">
      <c r="I803" s="40"/>
      <c r="J803" s="33"/>
      <c r="K803" s="33"/>
      <c r="L803" s="33"/>
      <c r="M803" s="34"/>
      <c r="N803" s="34"/>
      <c r="O803" s="39"/>
      <c r="Q803" s="53"/>
      <c r="U803" s="37"/>
      <c r="Y803" s="38"/>
      <c r="Z803" s="39"/>
      <c r="AA803" s="33"/>
      <c r="AB803" s="39"/>
      <c r="AC803" s="40"/>
    </row>
    <row r="804">
      <c r="I804" s="40"/>
      <c r="J804" s="33"/>
      <c r="K804" s="33"/>
      <c r="L804" s="33"/>
      <c r="M804" s="34"/>
      <c r="N804" s="34"/>
      <c r="O804" s="39"/>
      <c r="Q804" s="53"/>
      <c r="U804" s="37"/>
      <c r="Y804" s="38"/>
      <c r="Z804" s="39"/>
      <c r="AA804" s="33"/>
      <c r="AB804" s="39"/>
      <c r="AC804" s="40"/>
    </row>
    <row r="805">
      <c r="I805" s="40"/>
      <c r="J805" s="33"/>
      <c r="K805" s="33"/>
      <c r="L805" s="33"/>
      <c r="M805" s="34"/>
      <c r="N805" s="34"/>
      <c r="O805" s="39"/>
      <c r="Q805" s="53"/>
      <c r="U805" s="37"/>
      <c r="Y805" s="38"/>
      <c r="Z805" s="39"/>
      <c r="AA805" s="33"/>
      <c r="AB805" s="39"/>
      <c r="AC805" s="40"/>
    </row>
    <row r="806">
      <c r="I806" s="40"/>
      <c r="J806" s="33"/>
      <c r="K806" s="33"/>
      <c r="L806" s="33"/>
      <c r="M806" s="34"/>
      <c r="N806" s="34"/>
      <c r="O806" s="39"/>
      <c r="Q806" s="53"/>
      <c r="U806" s="37"/>
      <c r="Y806" s="38"/>
      <c r="Z806" s="39"/>
      <c r="AA806" s="33"/>
      <c r="AB806" s="39"/>
      <c r="AC806" s="40"/>
    </row>
    <row r="807">
      <c r="I807" s="40"/>
      <c r="J807" s="33"/>
      <c r="K807" s="33"/>
      <c r="L807" s="33"/>
      <c r="M807" s="34"/>
      <c r="N807" s="34"/>
      <c r="O807" s="39"/>
      <c r="Q807" s="53"/>
      <c r="U807" s="37"/>
      <c r="Y807" s="38"/>
      <c r="Z807" s="39"/>
      <c r="AA807" s="33"/>
      <c r="AB807" s="39"/>
      <c r="AC807" s="40"/>
    </row>
    <row r="808">
      <c r="I808" s="40"/>
      <c r="J808" s="33"/>
      <c r="K808" s="33"/>
      <c r="L808" s="33"/>
      <c r="M808" s="34"/>
      <c r="N808" s="34"/>
      <c r="O808" s="39"/>
      <c r="Q808" s="53"/>
      <c r="U808" s="37"/>
      <c r="Y808" s="38"/>
      <c r="Z808" s="39"/>
      <c r="AA808" s="33"/>
      <c r="AB808" s="39"/>
      <c r="AC808" s="40"/>
    </row>
    <row r="809">
      <c r="I809" s="40"/>
      <c r="J809" s="33"/>
      <c r="K809" s="33"/>
      <c r="L809" s="33"/>
      <c r="M809" s="34"/>
      <c r="N809" s="34"/>
      <c r="O809" s="39"/>
      <c r="Q809" s="53"/>
      <c r="U809" s="37"/>
      <c r="Y809" s="38"/>
      <c r="Z809" s="39"/>
      <c r="AA809" s="33"/>
      <c r="AB809" s="39"/>
      <c r="AC809" s="40"/>
    </row>
    <row r="810">
      <c r="I810" s="40"/>
      <c r="J810" s="33"/>
      <c r="K810" s="33"/>
      <c r="L810" s="33"/>
      <c r="M810" s="34"/>
      <c r="N810" s="34"/>
      <c r="O810" s="39"/>
      <c r="Q810" s="53"/>
      <c r="U810" s="37"/>
      <c r="Y810" s="38"/>
      <c r="Z810" s="39"/>
      <c r="AA810" s="33"/>
      <c r="AB810" s="39"/>
      <c r="AC810" s="40"/>
    </row>
    <row r="811">
      <c r="I811" s="40"/>
      <c r="J811" s="33"/>
      <c r="K811" s="33"/>
      <c r="L811" s="33"/>
      <c r="M811" s="34"/>
      <c r="N811" s="34"/>
      <c r="O811" s="39"/>
      <c r="Q811" s="53"/>
      <c r="U811" s="37"/>
      <c r="Y811" s="38"/>
      <c r="Z811" s="39"/>
      <c r="AA811" s="33"/>
      <c r="AB811" s="39"/>
      <c r="AC811" s="40"/>
    </row>
    <row r="812">
      <c r="I812" s="40"/>
      <c r="J812" s="33"/>
      <c r="K812" s="33"/>
      <c r="L812" s="33"/>
      <c r="M812" s="34"/>
      <c r="N812" s="34"/>
      <c r="O812" s="39"/>
      <c r="Q812" s="53"/>
      <c r="U812" s="37"/>
      <c r="Y812" s="38"/>
      <c r="Z812" s="39"/>
      <c r="AA812" s="33"/>
      <c r="AB812" s="39"/>
      <c r="AC812" s="40"/>
    </row>
    <row r="813">
      <c r="I813" s="40"/>
      <c r="J813" s="33"/>
      <c r="K813" s="33"/>
      <c r="L813" s="33"/>
      <c r="M813" s="34"/>
      <c r="N813" s="34"/>
      <c r="O813" s="39"/>
      <c r="Q813" s="53"/>
      <c r="U813" s="37"/>
      <c r="Y813" s="38"/>
      <c r="Z813" s="39"/>
      <c r="AA813" s="33"/>
      <c r="AB813" s="39"/>
      <c r="AC813" s="40"/>
    </row>
    <row r="814">
      <c r="I814" s="40"/>
      <c r="J814" s="33"/>
      <c r="K814" s="33"/>
      <c r="L814" s="33"/>
      <c r="M814" s="34"/>
      <c r="N814" s="34"/>
      <c r="O814" s="39"/>
      <c r="Q814" s="53"/>
      <c r="U814" s="37"/>
      <c r="Y814" s="38"/>
      <c r="Z814" s="39"/>
      <c r="AA814" s="33"/>
      <c r="AB814" s="39"/>
      <c r="AC814" s="40"/>
    </row>
    <row r="815">
      <c r="I815" s="40"/>
      <c r="J815" s="33"/>
      <c r="K815" s="33"/>
      <c r="L815" s="33"/>
      <c r="M815" s="34"/>
      <c r="N815" s="34"/>
      <c r="O815" s="39"/>
      <c r="Q815" s="53"/>
      <c r="U815" s="37"/>
      <c r="Y815" s="38"/>
      <c r="Z815" s="39"/>
      <c r="AA815" s="33"/>
      <c r="AB815" s="39"/>
      <c r="AC815" s="40"/>
    </row>
    <row r="816">
      <c r="I816" s="40"/>
      <c r="J816" s="33"/>
      <c r="K816" s="33"/>
      <c r="L816" s="33"/>
      <c r="M816" s="34"/>
      <c r="N816" s="34"/>
      <c r="O816" s="39"/>
      <c r="Q816" s="53"/>
      <c r="U816" s="37"/>
      <c r="Y816" s="38"/>
      <c r="Z816" s="39"/>
      <c r="AA816" s="33"/>
      <c r="AB816" s="39"/>
      <c r="AC816" s="40"/>
    </row>
    <row r="817">
      <c r="I817" s="40"/>
      <c r="J817" s="33"/>
      <c r="K817" s="33"/>
      <c r="L817" s="33"/>
      <c r="M817" s="34"/>
      <c r="N817" s="34"/>
      <c r="O817" s="39"/>
      <c r="Q817" s="53"/>
      <c r="U817" s="37"/>
      <c r="Y817" s="38"/>
      <c r="Z817" s="39"/>
      <c r="AA817" s="33"/>
      <c r="AB817" s="39"/>
      <c r="AC817" s="40"/>
    </row>
    <row r="818">
      <c r="I818" s="40"/>
      <c r="J818" s="33"/>
      <c r="K818" s="33"/>
      <c r="L818" s="33"/>
      <c r="M818" s="34"/>
      <c r="N818" s="34"/>
      <c r="O818" s="39"/>
      <c r="Q818" s="53"/>
      <c r="U818" s="37"/>
      <c r="Y818" s="38"/>
      <c r="Z818" s="39"/>
      <c r="AA818" s="33"/>
      <c r="AB818" s="39"/>
      <c r="AC818" s="40"/>
    </row>
    <row r="819">
      <c r="I819" s="40"/>
      <c r="J819" s="33"/>
      <c r="K819" s="33"/>
      <c r="L819" s="33"/>
      <c r="M819" s="34"/>
      <c r="N819" s="34"/>
      <c r="O819" s="39"/>
      <c r="Q819" s="53"/>
      <c r="U819" s="37"/>
      <c r="Y819" s="38"/>
      <c r="Z819" s="39"/>
      <c r="AA819" s="33"/>
      <c r="AB819" s="39"/>
      <c r="AC819" s="40"/>
    </row>
    <row r="820">
      <c r="I820" s="40"/>
      <c r="J820" s="33"/>
      <c r="K820" s="33"/>
      <c r="L820" s="33"/>
      <c r="M820" s="34"/>
      <c r="N820" s="34"/>
      <c r="O820" s="39"/>
      <c r="Q820" s="53"/>
      <c r="U820" s="37"/>
      <c r="Y820" s="38"/>
      <c r="Z820" s="39"/>
      <c r="AA820" s="33"/>
      <c r="AB820" s="39"/>
      <c r="AC820" s="40"/>
    </row>
    <row r="821">
      <c r="I821" s="40"/>
      <c r="J821" s="33"/>
      <c r="K821" s="33"/>
      <c r="L821" s="33"/>
      <c r="M821" s="34"/>
      <c r="N821" s="34"/>
      <c r="O821" s="39"/>
      <c r="Q821" s="53"/>
      <c r="U821" s="37"/>
      <c r="Y821" s="38"/>
      <c r="Z821" s="39"/>
      <c r="AA821" s="33"/>
      <c r="AB821" s="39"/>
      <c r="AC821" s="40"/>
    </row>
    <row r="822">
      <c r="I822" s="40"/>
      <c r="J822" s="33"/>
      <c r="K822" s="33"/>
      <c r="L822" s="33"/>
      <c r="M822" s="34"/>
      <c r="N822" s="34"/>
      <c r="O822" s="39"/>
      <c r="Q822" s="53"/>
      <c r="U822" s="37"/>
      <c r="Y822" s="38"/>
      <c r="Z822" s="39"/>
      <c r="AA822" s="33"/>
      <c r="AB822" s="39"/>
      <c r="AC822" s="40"/>
    </row>
    <row r="823">
      <c r="I823" s="40"/>
      <c r="J823" s="33"/>
      <c r="K823" s="33"/>
      <c r="L823" s="33"/>
      <c r="M823" s="34"/>
      <c r="N823" s="34"/>
      <c r="O823" s="39"/>
      <c r="Q823" s="53"/>
      <c r="U823" s="37"/>
      <c r="Y823" s="38"/>
      <c r="Z823" s="39"/>
      <c r="AA823" s="33"/>
      <c r="AB823" s="39"/>
      <c r="AC823" s="40"/>
    </row>
    <row r="824">
      <c r="I824" s="40"/>
      <c r="J824" s="33"/>
      <c r="K824" s="33"/>
      <c r="L824" s="33"/>
      <c r="M824" s="34"/>
      <c r="N824" s="34"/>
      <c r="O824" s="39"/>
      <c r="Q824" s="53"/>
      <c r="U824" s="37"/>
      <c r="Y824" s="38"/>
      <c r="Z824" s="39"/>
      <c r="AA824" s="33"/>
      <c r="AB824" s="39"/>
      <c r="AC824" s="40"/>
    </row>
    <row r="825">
      <c r="I825" s="40"/>
      <c r="J825" s="33"/>
      <c r="K825" s="33"/>
      <c r="L825" s="33"/>
      <c r="M825" s="34"/>
      <c r="N825" s="34"/>
      <c r="O825" s="39"/>
      <c r="Q825" s="53"/>
      <c r="U825" s="37"/>
      <c r="Y825" s="38"/>
      <c r="Z825" s="39"/>
      <c r="AA825" s="33"/>
      <c r="AB825" s="39"/>
      <c r="AC825" s="40"/>
    </row>
    <row r="826">
      <c r="I826" s="40"/>
      <c r="J826" s="33"/>
      <c r="K826" s="33"/>
      <c r="L826" s="33"/>
      <c r="M826" s="34"/>
      <c r="N826" s="34"/>
      <c r="O826" s="39"/>
      <c r="Q826" s="53"/>
      <c r="U826" s="37"/>
      <c r="Y826" s="38"/>
      <c r="Z826" s="39"/>
      <c r="AA826" s="33"/>
      <c r="AB826" s="39"/>
      <c r="AC826" s="40"/>
    </row>
    <row r="827">
      <c r="I827" s="40"/>
      <c r="J827" s="33"/>
      <c r="K827" s="33"/>
      <c r="L827" s="33"/>
      <c r="M827" s="34"/>
      <c r="N827" s="34"/>
      <c r="O827" s="39"/>
      <c r="Q827" s="53"/>
      <c r="U827" s="37"/>
      <c r="Y827" s="38"/>
      <c r="Z827" s="39"/>
      <c r="AA827" s="33"/>
      <c r="AB827" s="39"/>
      <c r="AC827" s="40"/>
    </row>
    <row r="828">
      <c r="I828" s="40"/>
      <c r="J828" s="33"/>
      <c r="K828" s="33"/>
      <c r="L828" s="33"/>
      <c r="M828" s="34"/>
      <c r="N828" s="34"/>
      <c r="O828" s="39"/>
      <c r="Q828" s="53"/>
      <c r="U828" s="37"/>
      <c r="Y828" s="38"/>
      <c r="Z828" s="39"/>
      <c r="AA828" s="33"/>
      <c r="AB828" s="39"/>
      <c r="AC828" s="40"/>
    </row>
    <row r="829">
      <c r="I829" s="40"/>
      <c r="J829" s="33"/>
      <c r="K829" s="33"/>
      <c r="L829" s="33"/>
      <c r="M829" s="34"/>
      <c r="N829" s="34"/>
      <c r="O829" s="39"/>
      <c r="Q829" s="53"/>
      <c r="U829" s="37"/>
      <c r="Y829" s="38"/>
      <c r="Z829" s="39"/>
      <c r="AA829" s="33"/>
      <c r="AB829" s="39"/>
      <c r="AC829" s="40"/>
    </row>
    <row r="830">
      <c r="I830" s="40"/>
      <c r="J830" s="33"/>
      <c r="K830" s="33"/>
      <c r="L830" s="33"/>
      <c r="M830" s="34"/>
      <c r="N830" s="34"/>
      <c r="O830" s="39"/>
      <c r="Q830" s="53"/>
      <c r="U830" s="37"/>
      <c r="Y830" s="38"/>
      <c r="Z830" s="39"/>
      <c r="AA830" s="33"/>
      <c r="AB830" s="39"/>
      <c r="AC830" s="40"/>
    </row>
    <row r="831">
      <c r="I831" s="40"/>
      <c r="J831" s="33"/>
      <c r="K831" s="33"/>
      <c r="L831" s="33"/>
      <c r="M831" s="34"/>
      <c r="N831" s="34"/>
      <c r="O831" s="39"/>
      <c r="Q831" s="53"/>
      <c r="U831" s="37"/>
      <c r="Y831" s="38"/>
      <c r="Z831" s="39"/>
      <c r="AA831" s="33"/>
      <c r="AB831" s="39"/>
      <c r="AC831" s="40"/>
    </row>
    <row r="832">
      <c r="I832" s="40"/>
      <c r="J832" s="33"/>
      <c r="K832" s="33"/>
      <c r="L832" s="33"/>
      <c r="M832" s="34"/>
      <c r="N832" s="34"/>
      <c r="O832" s="39"/>
      <c r="Q832" s="53"/>
      <c r="U832" s="37"/>
      <c r="Y832" s="38"/>
      <c r="Z832" s="39"/>
      <c r="AA832" s="33"/>
      <c r="AB832" s="39"/>
      <c r="AC832" s="40"/>
    </row>
    <row r="833">
      <c r="I833" s="40"/>
      <c r="J833" s="33"/>
      <c r="K833" s="33"/>
      <c r="L833" s="33"/>
      <c r="M833" s="34"/>
      <c r="N833" s="34"/>
      <c r="O833" s="39"/>
      <c r="Q833" s="53"/>
      <c r="U833" s="37"/>
      <c r="Y833" s="38"/>
      <c r="Z833" s="39"/>
      <c r="AA833" s="33"/>
      <c r="AB833" s="39"/>
      <c r="AC833" s="40"/>
    </row>
    <row r="834">
      <c r="I834" s="40"/>
      <c r="J834" s="33"/>
      <c r="K834" s="33"/>
      <c r="L834" s="33"/>
      <c r="M834" s="34"/>
      <c r="N834" s="34"/>
      <c r="O834" s="39"/>
      <c r="Q834" s="53"/>
      <c r="U834" s="37"/>
      <c r="Y834" s="38"/>
      <c r="Z834" s="39"/>
      <c r="AA834" s="33"/>
      <c r="AB834" s="39"/>
      <c r="AC834" s="40"/>
    </row>
    <row r="835">
      <c r="I835" s="40"/>
      <c r="J835" s="33"/>
      <c r="K835" s="33"/>
      <c r="L835" s="33"/>
      <c r="M835" s="34"/>
      <c r="N835" s="34"/>
      <c r="O835" s="39"/>
      <c r="Q835" s="53"/>
      <c r="U835" s="37"/>
      <c r="Y835" s="38"/>
      <c r="Z835" s="39"/>
      <c r="AA835" s="33"/>
      <c r="AB835" s="39"/>
      <c r="AC835" s="40"/>
    </row>
    <row r="836">
      <c r="I836" s="40"/>
      <c r="J836" s="33"/>
      <c r="K836" s="33"/>
      <c r="L836" s="33"/>
      <c r="M836" s="34"/>
      <c r="N836" s="34"/>
      <c r="O836" s="39"/>
      <c r="Q836" s="53"/>
      <c r="U836" s="37"/>
      <c r="Y836" s="38"/>
      <c r="Z836" s="39"/>
      <c r="AA836" s="33"/>
      <c r="AB836" s="39"/>
      <c r="AC836" s="40"/>
    </row>
    <row r="837">
      <c r="I837" s="40"/>
      <c r="J837" s="33"/>
      <c r="K837" s="33"/>
      <c r="L837" s="33"/>
      <c r="M837" s="34"/>
      <c r="N837" s="34"/>
      <c r="O837" s="39"/>
      <c r="Q837" s="53"/>
      <c r="U837" s="37"/>
      <c r="Y837" s="38"/>
      <c r="Z837" s="39"/>
      <c r="AA837" s="33"/>
      <c r="AB837" s="39"/>
      <c r="AC837" s="40"/>
    </row>
    <row r="838">
      <c r="I838" s="40"/>
      <c r="J838" s="33"/>
      <c r="K838" s="33"/>
      <c r="L838" s="33"/>
      <c r="M838" s="34"/>
      <c r="N838" s="34"/>
      <c r="O838" s="39"/>
      <c r="Q838" s="53"/>
      <c r="U838" s="37"/>
      <c r="Y838" s="38"/>
      <c r="Z838" s="39"/>
      <c r="AA838" s="33"/>
      <c r="AB838" s="39"/>
      <c r="AC838" s="40"/>
    </row>
    <row r="839">
      <c r="I839" s="40"/>
      <c r="J839" s="33"/>
      <c r="K839" s="33"/>
      <c r="L839" s="33"/>
      <c r="M839" s="34"/>
      <c r="N839" s="34"/>
      <c r="O839" s="39"/>
      <c r="Q839" s="53"/>
      <c r="U839" s="37"/>
      <c r="Y839" s="38"/>
      <c r="Z839" s="39"/>
      <c r="AA839" s="33"/>
      <c r="AB839" s="39"/>
      <c r="AC839" s="40"/>
    </row>
    <row r="840">
      <c r="I840" s="40"/>
      <c r="J840" s="33"/>
      <c r="K840" s="33"/>
      <c r="L840" s="33"/>
      <c r="M840" s="34"/>
      <c r="N840" s="34"/>
      <c r="O840" s="39"/>
      <c r="Q840" s="53"/>
      <c r="U840" s="37"/>
      <c r="Y840" s="38"/>
      <c r="Z840" s="39"/>
      <c r="AA840" s="33"/>
      <c r="AB840" s="39"/>
      <c r="AC840" s="40"/>
    </row>
    <row r="841">
      <c r="I841" s="40"/>
      <c r="J841" s="33"/>
      <c r="K841" s="33"/>
      <c r="L841" s="33"/>
      <c r="M841" s="34"/>
      <c r="N841" s="34"/>
      <c r="O841" s="39"/>
      <c r="Q841" s="53"/>
      <c r="U841" s="37"/>
      <c r="Y841" s="38"/>
      <c r="Z841" s="39"/>
      <c r="AA841" s="33"/>
      <c r="AB841" s="39"/>
      <c r="AC841" s="40"/>
    </row>
    <row r="842">
      <c r="I842" s="40"/>
      <c r="J842" s="33"/>
      <c r="K842" s="33"/>
      <c r="L842" s="33"/>
      <c r="M842" s="34"/>
      <c r="N842" s="34"/>
      <c r="O842" s="39"/>
      <c r="Q842" s="53"/>
      <c r="U842" s="37"/>
      <c r="Y842" s="38"/>
      <c r="Z842" s="39"/>
      <c r="AA842" s="33"/>
      <c r="AB842" s="39"/>
      <c r="AC842" s="40"/>
    </row>
    <row r="843">
      <c r="I843" s="40"/>
      <c r="J843" s="33"/>
      <c r="K843" s="33"/>
      <c r="L843" s="33"/>
      <c r="M843" s="34"/>
      <c r="N843" s="34"/>
      <c r="O843" s="39"/>
      <c r="Q843" s="53"/>
      <c r="U843" s="37"/>
      <c r="Y843" s="38"/>
      <c r="Z843" s="39"/>
      <c r="AA843" s="33"/>
      <c r="AB843" s="39"/>
      <c r="AC843" s="40"/>
    </row>
    <row r="844">
      <c r="I844" s="40"/>
      <c r="J844" s="33"/>
      <c r="K844" s="33"/>
      <c r="L844" s="33"/>
      <c r="M844" s="34"/>
      <c r="N844" s="34"/>
      <c r="O844" s="39"/>
      <c r="Q844" s="53"/>
      <c r="U844" s="37"/>
      <c r="Y844" s="38"/>
      <c r="Z844" s="39"/>
      <c r="AA844" s="33"/>
      <c r="AB844" s="39"/>
      <c r="AC844" s="40"/>
    </row>
    <row r="845">
      <c r="I845" s="40"/>
      <c r="J845" s="33"/>
      <c r="K845" s="33"/>
      <c r="L845" s="33"/>
      <c r="M845" s="34"/>
      <c r="N845" s="34"/>
      <c r="O845" s="39"/>
      <c r="Q845" s="53"/>
      <c r="U845" s="37"/>
      <c r="Y845" s="38"/>
      <c r="Z845" s="39"/>
      <c r="AA845" s="33"/>
      <c r="AB845" s="39"/>
      <c r="AC845" s="40"/>
    </row>
    <row r="846">
      <c r="I846" s="40"/>
      <c r="J846" s="33"/>
      <c r="K846" s="33"/>
      <c r="L846" s="33"/>
      <c r="M846" s="34"/>
      <c r="N846" s="34"/>
      <c r="O846" s="39"/>
      <c r="Q846" s="53"/>
      <c r="U846" s="37"/>
      <c r="Y846" s="38"/>
      <c r="Z846" s="39"/>
      <c r="AA846" s="33"/>
      <c r="AB846" s="39"/>
      <c r="AC846" s="40"/>
    </row>
    <row r="847">
      <c r="I847" s="40"/>
      <c r="J847" s="33"/>
      <c r="K847" s="33"/>
      <c r="L847" s="33"/>
      <c r="M847" s="34"/>
      <c r="N847" s="34"/>
      <c r="O847" s="39"/>
      <c r="Q847" s="53"/>
      <c r="U847" s="37"/>
      <c r="Y847" s="38"/>
      <c r="Z847" s="39"/>
      <c r="AA847" s="33"/>
      <c r="AB847" s="39"/>
      <c r="AC847" s="40"/>
    </row>
    <row r="848">
      <c r="I848" s="40"/>
      <c r="J848" s="33"/>
      <c r="K848" s="33"/>
      <c r="L848" s="33"/>
      <c r="M848" s="34"/>
      <c r="N848" s="34"/>
      <c r="O848" s="39"/>
      <c r="Q848" s="53"/>
      <c r="U848" s="37"/>
      <c r="Y848" s="38"/>
      <c r="Z848" s="39"/>
      <c r="AA848" s="33"/>
      <c r="AB848" s="39"/>
      <c r="AC848" s="40"/>
    </row>
    <row r="849">
      <c r="I849" s="40"/>
      <c r="J849" s="33"/>
      <c r="K849" s="33"/>
      <c r="L849" s="33"/>
      <c r="M849" s="34"/>
      <c r="N849" s="34"/>
      <c r="O849" s="39"/>
      <c r="Q849" s="53"/>
      <c r="U849" s="37"/>
      <c r="Y849" s="38"/>
      <c r="Z849" s="39"/>
      <c r="AA849" s="33"/>
      <c r="AB849" s="39"/>
      <c r="AC849" s="40"/>
    </row>
    <row r="850">
      <c r="I850" s="40"/>
      <c r="J850" s="33"/>
      <c r="K850" s="33"/>
      <c r="L850" s="33"/>
      <c r="M850" s="34"/>
      <c r="N850" s="34"/>
      <c r="O850" s="39"/>
      <c r="Q850" s="53"/>
      <c r="U850" s="37"/>
      <c r="Y850" s="38"/>
      <c r="Z850" s="39"/>
      <c r="AA850" s="33"/>
      <c r="AB850" s="39"/>
      <c r="AC850" s="40"/>
    </row>
    <row r="851">
      <c r="I851" s="40"/>
      <c r="J851" s="33"/>
      <c r="K851" s="33"/>
      <c r="L851" s="33"/>
      <c r="M851" s="34"/>
      <c r="N851" s="34"/>
      <c r="O851" s="39"/>
      <c r="Q851" s="53"/>
      <c r="U851" s="37"/>
      <c r="Y851" s="38"/>
      <c r="Z851" s="39"/>
      <c r="AA851" s="33"/>
      <c r="AB851" s="39"/>
      <c r="AC851" s="40"/>
    </row>
    <row r="852">
      <c r="I852" s="40"/>
      <c r="J852" s="33"/>
      <c r="K852" s="33"/>
      <c r="L852" s="33"/>
      <c r="M852" s="34"/>
      <c r="N852" s="34"/>
      <c r="O852" s="39"/>
      <c r="Q852" s="53"/>
      <c r="U852" s="37"/>
      <c r="Y852" s="38"/>
      <c r="Z852" s="39"/>
      <c r="AA852" s="33"/>
      <c r="AB852" s="39"/>
      <c r="AC852" s="40"/>
    </row>
    <row r="853">
      <c r="I853" s="40"/>
      <c r="J853" s="33"/>
      <c r="K853" s="33"/>
      <c r="L853" s="33"/>
      <c r="M853" s="34"/>
      <c r="N853" s="34"/>
      <c r="O853" s="39"/>
      <c r="Q853" s="53"/>
      <c r="U853" s="37"/>
      <c r="Y853" s="38"/>
      <c r="Z853" s="39"/>
      <c r="AA853" s="33"/>
      <c r="AB853" s="39"/>
      <c r="AC853" s="40"/>
    </row>
    <row r="854">
      <c r="I854" s="40"/>
      <c r="J854" s="33"/>
      <c r="K854" s="33"/>
      <c r="L854" s="33"/>
      <c r="M854" s="34"/>
      <c r="N854" s="34"/>
      <c r="O854" s="39"/>
      <c r="Q854" s="53"/>
      <c r="U854" s="37"/>
      <c r="Y854" s="38"/>
      <c r="Z854" s="39"/>
      <c r="AA854" s="33"/>
      <c r="AB854" s="39"/>
      <c r="AC854" s="40"/>
    </row>
    <row r="855">
      <c r="I855" s="40"/>
      <c r="J855" s="33"/>
      <c r="K855" s="33"/>
      <c r="L855" s="33"/>
      <c r="M855" s="34"/>
      <c r="N855" s="34"/>
      <c r="O855" s="39"/>
      <c r="Q855" s="53"/>
      <c r="U855" s="37"/>
      <c r="Y855" s="38"/>
      <c r="Z855" s="39"/>
      <c r="AA855" s="33"/>
      <c r="AB855" s="39"/>
      <c r="AC855" s="40"/>
    </row>
    <row r="856">
      <c r="I856" s="40"/>
      <c r="J856" s="33"/>
      <c r="K856" s="33"/>
      <c r="L856" s="33"/>
      <c r="M856" s="34"/>
      <c r="N856" s="34"/>
      <c r="O856" s="39"/>
      <c r="Q856" s="53"/>
      <c r="U856" s="37"/>
      <c r="Y856" s="38"/>
      <c r="Z856" s="39"/>
      <c r="AA856" s="33"/>
      <c r="AB856" s="39"/>
      <c r="AC856" s="40"/>
    </row>
    <row r="857">
      <c r="I857" s="40"/>
      <c r="J857" s="33"/>
      <c r="K857" s="33"/>
      <c r="L857" s="33"/>
      <c r="M857" s="34"/>
      <c r="N857" s="34"/>
      <c r="O857" s="39"/>
      <c r="Q857" s="53"/>
      <c r="U857" s="37"/>
      <c r="Y857" s="38"/>
      <c r="Z857" s="39"/>
      <c r="AA857" s="33"/>
      <c r="AB857" s="39"/>
      <c r="AC857" s="40"/>
    </row>
    <row r="858">
      <c r="I858" s="40"/>
      <c r="J858" s="33"/>
      <c r="K858" s="33"/>
      <c r="L858" s="33"/>
      <c r="M858" s="34"/>
      <c r="N858" s="34"/>
      <c r="O858" s="39"/>
      <c r="Q858" s="53"/>
      <c r="U858" s="37"/>
      <c r="Y858" s="38"/>
      <c r="Z858" s="39"/>
      <c r="AA858" s="33"/>
      <c r="AB858" s="39"/>
      <c r="AC858" s="40"/>
    </row>
    <row r="859">
      <c r="I859" s="40"/>
      <c r="J859" s="33"/>
      <c r="K859" s="33"/>
      <c r="L859" s="33"/>
      <c r="M859" s="34"/>
      <c r="N859" s="34"/>
      <c r="O859" s="39"/>
      <c r="Q859" s="53"/>
      <c r="U859" s="37"/>
      <c r="Y859" s="38"/>
      <c r="Z859" s="39"/>
      <c r="AA859" s="33"/>
      <c r="AB859" s="39"/>
      <c r="AC859" s="40"/>
    </row>
    <row r="860">
      <c r="I860" s="40"/>
      <c r="J860" s="33"/>
      <c r="K860" s="33"/>
      <c r="L860" s="33"/>
      <c r="M860" s="34"/>
      <c r="N860" s="34"/>
      <c r="O860" s="39"/>
      <c r="Q860" s="53"/>
      <c r="U860" s="37"/>
      <c r="Y860" s="38"/>
      <c r="Z860" s="39"/>
      <c r="AA860" s="33"/>
      <c r="AB860" s="39"/>
      <c r="AC860" s="40"/>
    </row>
    <row r="861">
      <c r="I861" s="40"/>
      <c r="J861" s="33"/>
      <c r="K861" s="33"/>
      <c r="L861" s="33"/>
      <c r="M861" s="34"/>
      <c r="N861" s="34"/>
      <c r="O861" s="39"/>
      <c r="Q861" s="53"/>
      <c r="U861" s="37"/>
      <c r="Y861" s="38"/>
      <c r="Z861" s="39"/>
      <c r="AA861" s="33"/>
      <c r="AB861" s="39"/>
      <c r="AC861" s="40"/>
    </row>
    <row r="862">
      <c r="I862" s="40"/>
      <c r="J862" s="33"/>
      <c r="K862" s="33"/>
      <c r="L862" s="33"/>
      <c r="M862" s="34"/>
      <c r="N862" s="34"/>
      <c r="O862" s="39"/>
      <c r="Q862" s="53"/>
      <c r="U862" s="37"/>
      <c r="Y862" s="38"/>
      <c r="Z862" s="39"/>
      <c r="AA862" s="33"/>
      <c r="AB862" s="39"/>
      <c r="AC862" s="40"/>
    </row>
    <row r="863">
      <c r="I863" s="40"/>
      <c r="J863" s="33"/>
      <c r="K863" s="33"/>
      <c r="L863" s="33"/>
      <c r="M863" s="34"/>
      <c r="N863" s="34"/>
      <c r="O863" s="39"/>
      <c r="Q863" s="53"/>
      <c r="U863" s="37"/>
      <c r="Y863" s="38"/>
      <c r="Z863" s="39"/>
      <c r="AA863" s="33"/>
      <c r="AB863" s="39"/>
      <c r="AC863" s="40"/>
    </row>
    <row r="864">
      <c r="I864" s="40"/>
      <c r="J864" s="33"/>
      <c r="K864" s="33"/>
      <c r="L864" s="33"/>
      <c r="M864" s="34"/>
      <c r="N864" s="34"/>
      <c r="O864" s="39"/>
      <c r="Q864" s="53"/>
      <c r="U864" s="37"/>
      <c r="Y864" s="38"/>
      <c r="Z864" s="39"/>
      <c r="AA864" s="33"/>
      <c r="AB864" s="39"/>
      <c r="AC864" s="40"/>
    </row>
    <row r="865">
      <c r="I865" s="40"/>
      <c r="J865" s="33"/>
      <c r="K865" s="33"/>
      <c r="L865" s="33"/>
      <c r="M865" s="34"/>
      <c r="N865" s="34"/>
      <c r="O865" s="39"/>
      <c r="Q865" s="53"/>
      <c r="U865" s="37"/>
      <c r="Y865" s="38"/>
      <c r="Z865" s="39"/>
      <c r="AA865" s="33"/>
      <c r="AB865" s="39"/>
      <c r="AC865" s="40"/>
    </row>
    <row r="866">
      <c r="I866" s="40"/>
      <c r="J866" s="33"/>
      <c r="K866" s="33"/>
      <c r="L866" s="33"/>
      <c r="M866" s="34"/>
      <c r="N866" s="34"/>
      <c r="O866" s="39"/>
      <c r="Q866" s="53"/>
      <c r="U866" s="37"/>
      <c r="Y866" s="38"/>
      <c r="Z866" s="39"/>
      <c r="AA866" s="33"/>
      <c r="AB866" s="39"/>
      <c r="AC866" s="40"/>
    </row>
    <row r="867">
      <c r="I867" s="40"/>
      <c r="J867" s="33"/>
      <c r="K867" s="33"/>
      <c r="L867" s="33"/>
      <c r="M867" s="34"/>
      <c r="N867" s="34"/>
      <c r="O867" s="39"/>
      <c r="Q867" s="53"/>
      <c r="U867" s="37"/>
      <c r="Y867" s="38"/>
      <c r="Z867" s="39"/>
      <c r="AA867" s="33"/>
      <c r="AB867" s="39"/>
      <c r="AC867" s="40"/>
    </row>
    <row r="868">
      <c r="I868" s="40"/>
      <c r="J868" s="33"/>
      <c r="K868" s="33"/>
      <c r="L868" s="33"/>
      <c r="M868" s="34"/>
      <c r="N868" s="34"/>
      <c r="O868" s="39"/>
      <c r="Q868" s="53"/>
      <c r="U868" s="37"/>
      <c r="Y868" s="38"/>
      <c r="Z868" s="39"/>
      <c r="AA868" s="33"/>
      <c r="AB868" s="39"/>
      <c r="AC868" s="40"/>
    </row>
    <row r="869">
      <c r="I869" s="40"/>
      <c r="J869" s="33"/>
      <c r="K869" s="33"/>
      <c r="L869" s="33"/>
      <c r="M869" s="34"/>
      <c r="N869" s="34"/>
      <c r="O869" s="39"/>
      <c r="Q869" s="53"/>
      <c r="U869" s="37"/>
      <c r="Y869" s="38"/>
      <c r="Z869" s="39"/>
      <c r="AA869" s="33"/>
      <c r="AB869" s="39"/>
      <c r="AC869" s="40"/>
    </row>
    <row r="870">
      <c r="I870" s="40"/>
      <c r="J870" s="33"/>
      <c r="K870" s="33"/>
      <c r="L870" s="33"/>
      <c r="M870" s="34"/>
      <c r="N870" s="34"/>
      <c r="O870" s="39"/>
      <c r="Q870" s="53"/>
      <c r="U870" s="37"/>
      <c r="Y870" s="38"/>
      <c r="Z870" s="39"/>
      <c r="AA870" s="33"/>
      <c r="AB870" s="39"/>
      <c r="AC870" s="40"/>
    </row>
    <row r="871">
      <c r="I871" s="40"/>
      <c r="J871" s="33"/>
      <c r="K871" s="33"/>
      <c r="L871" s="33"/>
      <c r="M871" s="34"/>
      <c r="N871" s="34"/>
      <c r="O871" s="39"/>
      <c r="Q871" s="53"/>
      <c r="U871" s="37"/>
      <c r="Y871" s="38"/>
      <c r="Z871" s="39"/>
      <c r="AA871" s="33"/>
      <c r="AB871" s="39"/>
      <c r="AC871" s="40"/>
    </row>
    <row r="872">
      <c r="I872" s="40"/>
      <c r="J872" s="33"/>
      <c r="K872" s="33"/>
      <c r="L872" s="33"/>
      <c r="M872" s="34"/>
      <c r="N872" s="34"/>
      <c r="O872" s="39"/>
      <c r="Q872" s="53"/>
      <c r="U872" s="37"/>
      <c r="Y872" s="38"/>
      <c r="Z872" s="39"/>
      <c r="AA872" s="33"/>
      <c r="AB872" s="39"/>
      <c r="AC872" s="40"/>
    </row>
    <row r="873">
      <c r="I873" s="40"/>
      <c r="J873" s="33"/>
      <c r="K873" s="33"/>
      <c r="L873" s="33"/>
      <c r="M873" s="34"/>
      <c r="N873" s="34"/>
      <c r="O873" s="39"/>
      <c r="Q873" s="53"/>
      <c r="U873" s="37"/>
      <c r="Y873" s="38"/>
      <c r="Z873" s="39"/>
      <c r="AA873" s="33"/>
      <c r="AB873" s="39"/>
      <c r="AC873" s="40"/>
    </row>
    <row r="874">
      <c r="I874" s="40"/>
      <c r="J874" s="33"/>
      <c r="K874" s="33"/>
      <c r="L874" s="33"/>
      <c r="M874" s="34"/>
      <c r="N874" s="34"/>
      <c r="O874" s="39"/>
      <c r="Q874" s="53"/>
      <c r="U874" s="37"/>
      <c r="Y874" s="38"/>
      <c r="Z874" s="39"/>
      <c r="AA874" s="33"/>
      <c r="AB874" s="39"/>
      <c r="AC874" s="40"/>
    </row>
    <row r="875">
      <c r="I875" s="40"/>
      <c r="J875" s="33"/>
      <c r="K875" s="33"/>
      <c r="L875" s="33"/>
      <c r="M875" s="34"/>
      <c r="N875" s="34"/>
      <c r="O875" s="39"/>
      <c r="Q875" s="53"/>
      <c r="U875" s="37"/>
      <c r="Y875" s="38"/>
      <c r="Z875" s="39"/>
      <c r="AA875" s="33"/>
      <c r="AB875" s="39"/>
      <c r="AC875" s="40"/>
    </row>
    <row r="876">
      <c r="I876" s="40"/>
      <c r="J876" s="33"/>
      <c r="K876" s="33"/>
      <c r="L876" s="33"/>
      <c r="M876" s="34"/>
      <c r="N876" s="34"/>
      <c r="O876" s="39"/>
      <c r="Q876" s="53"/>
      <c r="U876" s="37"/>
      <c r="Y876" s="38"/>
      <c r="Z876" s="39"/>
      <c r="AA876" s="33"/>
      <c r="AB876" s="39"/>
      <c r="AC876" s="40"/>
    </row>
    <row r="877">
      <c r="I877" s="40"/>
      <c r="J877" s="33"/>
      <c r="K877" s="33"/>
      <c r="L877" s="33"/>
      <c r="M877" s="34"/>
      <c r="N877" s="34"/>
      <c r="O877" s="39"/>
      <c r="Q877" s="53"/>
      <c r="U877" s="37"/>
      <c r="Y877" s="38"/>
      <c r="Z877" s="39"/>
      <c r="AA877" s="33"/>
      <c r="AB877" s="39"/>
      <c r="AC877" s="40"/>
    </row>
    <row r="878">
      <c r="I878" s="40"/>
      <c r="J878" s="33"/>
      <c r="K878" s="33"/>
      <c r="L878" s="33"/>
      <c r="M878" s="34"/>
      <c r="N878" s="34"/>
      <c r="O878" s="39"/>
      <c r="Q878" s="53"/>
      <c r="U878" s="37"/>
      <c r="Y878" s="38"/>
      <c r="Z878" s="39"/>
      <c r="AA878" s="33"/>
      <c r="AB878" s="39"/>
      <c r="AC878" s="40"/>
    </row>
    <row r="879">
      <c r="I879" s="40"/>
      <c r="J879" s="33"/>
      <c r="K879" s="33"/>
      <c r="L879" s="33"/>
      <c r="M879" s="34"/>
      <c r="N879" s="34"/>
      <c r="O879" s="39"/>
      <c r="Q879" s="53"/>
      <c r="U879" s="37"/>
      <c r="Y879" s="38"/>
      <c r="Z879" s="39"/>
      <c r="AA879" s="33"/>
      <c r="AB879" s="39"/>
      <c r="AC879" s="40"/>
    </row>
    <row r="880">
      <c r="I880" s="40"/>
      <c r="J880" s="33"/>
      <c r="K880" s="33"/>
      <c r="L880" s="33"/>
      <c r="M880" s="34"/>
      <c r="N880" s="34"/>
      <c r="O880" s="39"/>
      <c r="Q880" s="53"/>
      <c r="U880" s="37"/>
      <c r="Y880" s="38"/>
      <c r="Z880" s="39"/>
      <c r="AA880" s="33"/>
      <c r="AB880" s="39"/>
      <c r="AC880" s="40"/>
    </row>
    <row r="881">
      <c r="I881" s="40"/>
      <c r="J881" s="33"/>
      <c r="K881" s="33"/>
      <c r="L881" s="33"/>
      <c r="M881" s="34"/>
      <c r="N881" s="34"/>
      <c r="O881" s="39"/>
      <c r="Q881" s="53"/>
      <c r="U881" s="37"/>
      <c r="Y881" s="38"/>
      <c r="Z881" s="39"/>
      <c r="AA881" s="33"/>
      <c r="AB881" s="39"/>
      <c r="AC881" s="40"/>
    </row>
    <row r="882">
      <c r="I882" s="40"/>
      <c r="J882" s="33"/>
      <c r="K882" s="33"/>
      <c r="L882" s="33"/>
      <c r="M882" s="34"/>
      <c r="N882" s="34"/>
      <c r="O882" s="39"/>
      <c r="Q882" s="53"/>
      <c r="U882" s="37"/>
      <c r="Y882" s="38"/>
      <c r="Z882" s="39"/>
      <c r="AA882" s="33"/>
      <c r="AB882" s="39"/>
      <c r="AC882" s="40"/>
    </row>
    <row r="883">
      <c r="I883" s="40"/>
      <c r="J883" s="33"/>
      <c r="K883" s="33"/>
      <c r="L883" s="33"/>
      <c r="M883" s="34"/>
      <c r="N883" s="34"/>
      <c r="O883" s="39"/>
      <c r="Q883" s="53"/>
      <c r="U883" s="37"/>
      <c r="Y883" s="38"/>
      <c r="Z883" s="39"/>
      <c r="AA883" s="33"/>
      <c r="AB883" s="39"/>
      <c r="AC883" s="40"/>
    </row>
    <row r="884">
      <c r="I884" s="40"/>
      <c r="J884" s="33"/>
      <c r="K884" s="33"/>
      <c r="L884" s="33"/>
      <c r="M884" s="34"/>
      <c r="N884" s="34"/>
      <c r="O884" s="39"/>
      <c r="Q884" s="53"/>
      <c r="U884" s="37"/>
      <c r="Y884" s="38"/>
      <c r="Z884" s="39"/>
      <c r="AA884" s="33"/>
      <c r="AB884" s="39"/>
      <c r="AC884" s="40"/>
    </row>
    <row r="885">
      <c r="I885" s="40"/>
      <c r="J885" s="33"/>
      <c r="K885" s="33"/>
      <c r="L885" s="33"/>
      <c r="M885" s="34"/>
      <c r="N885" s="34"/>
      <c r="O885" s="39"/>
      <c r="Q885" s="53"/>
      <c r="U885" s="37"/>
      <c r="Y885" s="38"/>
      <c r="Z885" s="39"/>
      <c r="AA885" s="33"/>
      <c r="AB885" s="39"/>
      <c r="AC885" s="40"/>
    </row>
    <row r="886">
      <c r="I886" s="40"/>
      <c r="J886" s="33"/>
      <c r="K886" s="33"/>
      <c r="L886" s="33"/>
      <c r="M886" s="34"/>
      <c r="N886" s="34"/>
      <c r="O886" s="39"/>
      <c r="Q886" s="53"/>
      <c r="U886" s="37"/>
      <c r="Y886" s="38"/>
      <c r="Z886" s="39"/>
      <c r="AA886" s="33"/>
      <c r="AB886" s="39"/>
      <c r="AC886" s="40"/>
    </row>
    <row r="887">
      <c r="I887" s="40"/>
      <c r="J887" s="33"/>
      <c r="K887" s="33"/>
      <c r="L887" s="33"/>
      <c r="M887" s="34"/>
      <c r="N887" s="34"/>
      <c r="O887" s="39"/>
      <c r="Q887" s="53"/>
      <c r="U887" s="37"/>
      <c r="Y887" s="38"/>
      <c r="Z887" s="39"/>
      <c r="AA887" s="33"/>
      <c r="AB887" s="39"/>
      <c r="AC887" s="40"/>
    </row>
    <row r="888">
      <c r="I888" s="40"/>
      <c r="J888" s="33"/>
      <c r="K888" s="33"/>
      <c r="L888" s="33"/>
      <c r="M888" s="34"/>
      <c r="N888" s="34"/>
      <c r="O888" s="39"/>
      <c r="Q888" s="53"/>
      <c r="U888" s="37"/>
      <c r="Y888" s="38"/>
      <c r="Z888" s="39"/>
      <c r="AA888" s="33"/>
      <c r="AB888" s="39"/>
      <c r="AC888" s="40"/>
    </row>
    <row r="889">
      <c r="I889" s="40"/>
      <c r="J889" s="33"/>
      <c r="K889" s="33"/>
      <c r="L889" s="33"/>
      <c r="M889" s="34"/>
      <c r="N889" s="34"/>
      <c r="O889" s="39"/>
      <c r="Q889" s="53"/>
      <c r="U889" s="37"/>
      <c r="Y889" s="38"/>
      <c r="Z889" s="39"/>
      <c r="AA889" s="33"/>
      <c r="AB889" s="39"/>
      <c r="AC889" s="40"/>
    </row>
    <row r="890">
      <c r="I890" s="40"/>
      <c r="J890" s="33"/>
      <c r="K890" s="33"/>
      <c r="L890" s="33"/>
      <c r="M890" s="34"/>
      <c r="N890" s="34"/>
      <c r="O890" s="39"/>
      <c r="Q890" s="53"/>
      <c r="U890" s="37"/>
      <c r="Y890" s="38"/>
      <c r="Z890" s="39"/>
      <c r="AA890" s="33"/>
      <c r="AB890" s="39"/>
      <c r="AC890" s="40"/>
    </row>
    <row r="891">
      <c r="I891" s="40"/>
      <c r="J891" s="33"/>
      <c r="K891" s="33"/>
      <c r="L891" s="33"/>
      <c r="M891" s="34"/>
      <c r="N891" s="34"/>
      <c r="O891" s="39"/>
      <c r="Q891" s="53"/>
      <c r="U891" s="37"/>
      <c r="Y891" s="38"/>
      <c r="Z891" s="39"/>
      <c r="AA891" s="33"/>
      <c r="AB891" s="39"/>
      <c r="AC891" s="40"/>
    </row>
    <row r="892">
      <c r="I892" s="40"/>
      <c r="J892" s="33"/>
      <c r="K892" s="33"/>
      <c r="L892" s="33"/>
      <c r="M892" s="34"/>
      <c r="N892" s="34"/>
      <c r="O892" s="39"/>
      <c r="Q892" s="53"/>
      <c r="U892" s="37"/>
      <c r="Y892" s="38"/>
      <c r="Z892" s="39"/>
      <c r="AA892" s="33"/>
      <c r="AB892" s="39"/>
      <c r="AC892" s="40"/>
    </row>
    <row r="893">
      <c r="I893" s="40"/>
      <c r="J893" s="33"/>
      <c r="K893" s="33"/>
      <c r="L893" s="33"/>
      <c r="M893" s="34"/>
      <c r="N893" s="34"/>
      <c r="O893" s="39"/>
      <c r="Q893" s="53"/>
      <c r="U893" s="37"/>
      <c r="Y893" s="38"/>
      <c r="Z893" s="39"/>
      <c r="AA893" s="33"/>
      <c r="AB893" s="39"/>
      <c r="AC893" s="40"/>
    </row>
    <row r="894">
      <c r="I894" s="40"/>
      <c r="J894" s="33"/>
      <c r="K894" s="33"/>
      <c r="L894" s="33"/>
      <c r="M894" s="34"/>
      <c r="N894" s="34"/>
      <c r="O894" s="39"/>
      <c r="Q894" s="53"/>
      <c r="U894" s="37"/>
      <c r="Y894" s="38"/>
      <c r="Z894" s="39"/>
      <c r="AA894" s="33"/>
      <c r="AB894" s="39"/>
      <c r="AC894" s="40"/>
    </row>
    <row r="895">
      <c r="I895" s="40"/>
      <c r="J895" s="33"/>
      <c r="K895" s="33"/>
      <c r="L895" s="33"/>
      <c r="M895" s="34"/>
      <c r="N895" s="34"/>
      <c r="O895" s="39"/>
      <c r="Q895" s="53"/>
      <c r="U895" s="37"/>
      <c r="Y895" s="38"/>
      <c r="Z895" s="39"/>
      <c r="AA895" s="33"/>
      <c r="AB895" s="39"/>
      <c r="AC895" s="40"/>
    </row>
    <row r="896">
      <c r="I896" s="40"/>
      <c r="J896" s="33"/>
      <c r="K896" s="33"/>
      <c r="L896" s="33"/>
      <c r="M896" s="34"/>
      <c r="N896" s="34"/>
      <c r="O896" s="39"/>
      <c r="Q896" s="53"/>
      <c r="U896" s="37"/>
      <c r="Y896" s="38"/>
      <c r="Z896" s="39"/>
      <c r="AA896" s="33"/>
      <c r="AB896" s="39"/>
      <c r="AC896" s="40"/>
    </row>
    <row r="897">
      <c r="I897" s="40"/>
      <c r="J897" s="33"/>
      <c r="K897" s="33"/>
      <c r="L897" s="33"/>
      <c r="M897" s="34"/>
      <c r="N897" s="34"/>
      <c r="O897" s="39"/>
      <c r="Q897" s="53"/>
      <c r="U897" s="37"/>
      <c r="Y897" s="38"/>
      <c r="Z897" s="39"/>
      <c r="AA897" s="33"/>
      <c r="AB897" s="39"/>
      <c r="AC897" s="40"/>
    </row>
    <row r="898">
      <c r="I898" s="40"/>
      <c r="J898" s="33"/>
      <c r="K898" s="33"/>
      <c r="L898" s="33"/>
      <c r="M898" s="34"/>
      <c r="N898" s="34"/>
      <c r="O898" s="39"/>
      <c r="Q898" s="53"/>
      <c r="U898" s="37"/>
      <c r="Y898" s="38"/>
      <c r="Z898" s="39"/>
      <c r="AA898" s="33"/>
      <c r="AB898" s="39"/>
      <c r="AC898" s="40"/>
    </row>
    <row r="899">
      <c r="I899" s="40"/>
      <c r="J899" s="33"/>
      <c r="K899" s="33"/>
      <c r="L899" s="33"/>
      <c r="M899" s="34"/>
      <c r="N899" s="34"/>
      <c r="O899" s="39"/>
      <c r="Q899" s="53"/>
      <c r="U899" s="37"/>
      <c r="Y899" s="38"/>
      <c r="Z899" s="39"/>
      <c r="AA899" s="33"/>
      <c r="AB899" s="39"/>
      <c r="AC899" s="40"/>
    </row>
    <row r="900">
      <c r="I900" s="40"/>
      <c r="J900" s="33"/>
      <c r="K900" s="33"/>
      <c r="L900" s="33"/>
      <c r="M900" s="34"/>
      <c r="N900" s="34"/>
      <c r="O900" s="39"/>
      <c r="Q900" s="53"/>
      <c r="U900" s="37"/>
      <c r="Y900" s="38"/>
      <c r="Z900" s="39"/>
      <c r="AA900" s="33"/>
      <c r="AB900" s="39"/>
      <c r="AC900" s="40"/>
    </row>
    <row r="901">
      <c r="I901" s="40"/>
      <c r="J901" s="33"/>
      <c r="K901" s="33"/>
      <c r="L901" s="33"/>
      <c r="M901" s="34"/>
      <c r="N901" s="34"/>
      <c r="O901" s="39"/>
      <c r="Q901" s="53"/>
      <c r="U901" s="37"/>
      <c r="Y901" s="38"/>
      <c r="Z901" s="39"/>
      <c r="AA901" s="33"/>
      <c r="AB901" s="39"/>
      <c r="AC901" s="40"/>
    </row>
    <row r="902">
      <c r="I902" s="40"/>
      <c r="J902" s="33"/>
      <c r="K902" s="33"/>
      <c r="L902" s="33"/>
      <c r="M902" s="34"/>
      <c r="N902" s="34"/>
      <c r="O902" s="39"/>
      <c r="Q902" s="53"/>
      <c r="U902" s="37"/>
      <c r="Y902" s="38"/>
      <c r="Z902" s="39"/>
      <c r="AA902" s="33"/>
      <c r="AB902" s="39"/>
      <c r="AC902" s="40"/>
    </row>
    <row r="903">
      <c r="I903" s="40"/>
      <c r="J903" s="33"/>
      <c r="K903" s="33"/>
      <c r="L903" s="33"/>
      <c r="M903" s="34"/>
      <c r="N903" s="34"/>
      <c r="O903" s="39"/>
      <c r="Q903" s="53"/>
      <c r="U903" s="37"/>
      <c r="Y903" s="38"/>
      <c r="Z903" s="39"/>
      <c r="AA903" s="33"/>
      <c r="AB903" s="39"/>
      <c r="AC903" s="40"/>
    </row>
    <row r="904">
      <c r="I904" s="40"/>
      <c r="J904" s="33"/>
      <c r="K904" s="33"/>
      <c r="L904" s="33"/>
      <c r="M904" s="34"/>
      <c r="N904" s="34"/>
      <c r="O904" s="39"/>
      <c r="Q904" s="53"/>
      <c r="U904" s="37"/>
      <c r="Y904" s="38"/>
      <c r="Z904" s="39"/>
      <c r="AA904" s="33"/>
      <c r="AB904" s="39"/>
      <c r="AC904" s="40"/>
    </row>
    <row r="905">
      <c r="I905" s="40"/>
      <c r="J905" s="33"/>
      <c r="K905" s="33"/>
      <c r="L905" s="33"/>
      <c r="M905" s="34"/>
      <c r="N905" s="34"/>
      <c r="O905" s="39"/>
      <c r="Q905" s="53"/>
      <c r="U905" s="37"/>
      <c r="Y905" s="38"/>
      <c r="Z905" s="39"/>
      <c r="AA905" s="33"/>
      <c r="AB905" s="39"/>
      <c r="AC905" s="40"/>
    </row>
    <row r="906">
      <c r="I906" s="40"/>
      <c r="J906" s="33"/>
      <c r="K906" s="33"/>
      <c r="L906" s="33"/>
      <c r="M906" s="34"/>
      <c r="N906" s="34"/>
      <c r="O906" s="39"/>
      <c r="Q906" s="53"/>
      <c r="U906" s="37"/>
      <c r="Y906" s="38"/>
      <c r="Z906" s="39"/>
      <c r="AA906" s="33"/>
      <c r="AB906" s="39"/>
      <c r="AC906" s="40"/>
    </row>
    <row r="907">
      <c r="I907" s="40"/>
      <c r="J907" s="33"/>
      <c r="K907" s="33"/>
      <c r="L907" s="33"/>
      <c r="M907" s="34"/>
      <c r="N907" s="34"/>
      <c r="O907" s="39"/>
      <c r="Q907" s="53"/>
      <c r="U907" s="37"/>
      <c r="Y907" s="38"/>
      <c r="Z907" s="39"/>
      <c r="AA907" s="33"/>
      <c r="AB907" s="39"/>
      <c r="AC907" s="40"/>
    </row>
    <row r="908">
      <c r="I908" s="40"/>
      <c r="J908" s="33"/>
      <c r="K908" s="33"/>
      <c r="L908" s="33"/>
      <c r="M908" s="34"/>
      <c r="N908" s="34"/>
      <c r="O908" s="39"/>
      <c r="Q908" s="53"/>
      <c r="U908" s="37"/>
      <c r="Y908" s="38"/>
      <c r="Z908" s="39"/>
      <c r="AA908" s="33"/>
      <c r="AB908" s="39"/>
      <c r="AC908" s="40"/>
    </row>
    <row r="909">
      <c r="I909" s="40"/>
      <c r="J909" s="33"/>
      <c r="K909" s="33"/>
      <c r="L909" s="33"/>
      <c r="M909" s="34"/>
      <c r="N909" s="34"/>
      <c r="O909" s="39"/>
      <c r="Q909" s="53"/>
      <c r="U909" s="37"/>
      <c r="Y909" s="38"/>
      <c r="Z909" s="39"/>
      <c r="AA909" s="33"/>
      <c r="AB909" s="39"/>
      <c r="AC909" s="40"/>
    </row>
    <row r="910">
      <c r="I910" s="40"/>
      <c r="J910" s="33"/>
      <c r="K910" s="33"/>
      <c r="L910" s="33"/>
      <c r="M910" s="34"/>
      <c r="N910" s="34"/>
      <c r="O910" s="39"/>
      <c r="Q910" s="53"/>
      <c r="U910" s="37"/>
      <c r="Y910" s="38"/>
      <c r="Z910" s="39"/>
      <c r="AA910" s="33"/>
      <c r="AB910" s="39"/>
      <c r="AC910" s="40"/>
    </row>
    <row r="911">
      <c r="I911" s="40"/>
      <c r="J911" s="33"/>
      <c r="K911" s="33"/>
      <c r="L911" s="33"/>
      <c r="M911" s="34"/>
      <c r="N911" s="34"/>
      <c r="O911" s="39"/>
      <c r="Q911" s="53"/>
      <c r="U911" s="37"/>
      <c r="Y911" s="38"/>
      <c r="Z911" s="39"/>
      <c r="AA911" s="33"/>
      <c r="AB911" s="39"/>
      <c r="AC911" s="40"/>
    </row>
    <row r="912">
      <c r="I912" s="40"/>
      <c r="J912" s="33"/>
      <c r="K912" s="33"/>
      <c r="L912" s="33"/>
      <c r="M912" s="34"/>
      <c r="N912" s="34"/>
      <c r="O912" s="39"/>
      <c r="Q912" s="53"/>
      <c r="U912" s="37"/>
      <c r="Y912" s="38"/>
      <c r="Z912" s="39"/>
      <c r="AA912" s="33"/>
      <c r="AB912" s="39"/>
      <c r="AC912" s="40"/>
    </row>
    <row r="913">
      <c r="I913" s="40"/>
      <c r="J913" s="33"/>
      <c r="K913" s="33"/>
      <c r="L913" s="33"/>
      <c r="M913" s="34"/>
      <c r="N913" s="34"/>
      <c r="O913" s="39"/>
      <c r="Q913" s="53"/>
      <c r="U913" s="37"/>
      <c r="Y913" s="38"/>
      <c r="Z913" s="39"/>
      <c r="AA913" s="33"/>
      <c r="AB913" s="39"/>
      <c r="AC913" s="40"/>
    </row>
    <row r="914">
      <c r="I914" s="40"/>
      <c r="J914" s="33"/>
      <c r="K914" s="33"/>
      <c r="L914" s="33"/>
      <c r="M914" s="34"/>
      <c r="N914" s="34"/>
      <c r="O914" s="39"/>
      <c r="Q914" s="53"/>
      <c r="U914" s="37"/>
      <c r="Y914" s="38"/>
      <c r="Z914" s="39"/>
      <c r="AA914" s="33"/>
      <c r="AB914" s="39"/>
      <c r="AC914" s="40"/>
    </row>
    <row r="915">
      <c r="I915" s="40"/>
      <c r="J915" s="33"/>
      <c r="K915" s="33"/>
      <c r="L915" s="33"/>
      <c r="M915" s="34"/>
      <c r="N915" s="34"/>
      <c r="O915" s="39"/>
      <c r="Q915" s="53"/>
      <c r="U915" s="37"/>
      <c r="Y915" s="38"/>
      <c r="Z915" s="39"/>
      <c r="AA915" s="33"/>
      <c r="AB915" s="39"/>
      <c r="AC915" s="40"/>
    </row>
    <row r="916">
      <c r="I916" s="40"/>
      <c r="J916" s="33"/>
      <c r="K916" s="33"/>
      <c r="L916" s="33"/>
      <c r="M916" s="34"/>
      <c r="N916" s="34"/>
      <c r="O916" s="39"/>
      <c r="Q916" s="53"/>
      <c r="U916" s="37"/>
      <c r="Y916" s="38"/>
      <c r="Z916" s="39"/>
      <c r="AA916" s="33"/>
      <c r="AB916" s="39"/>
      <c r="AC916" s="40"/>
    </row>
    <row r="917">
      <c r="I917" s="40"/>
      <c r="J917" s="33"/>
      <c r="K917" s="33"/>
      <c r="L917" s="33"/>
      <c r="M917" s="34"/>
      <c r="N917" s="34"/>
      <c r="O917" s="39"/>
      <c r="Q917" s="53"/>
      <c r="U917" s="37"/>
      <c r="Y917" s="38"/>
      <c r="Z917" s="39"/>
      <c r="AA917" s="33"/>
      <c r="AB917" s="39"/>
      <c r="AC917" s="40"/>
    </row>
    <row r="918">
      <c r="I918" s="40"/>
      <c r="J918" s="33"/>
      <c r="K918" s="33"/>
      <c r="L918" s="33"/>
      <c r="M918" s="34"/>
      <c r="N918" s="34"/>
      <c r="O918" s="39"/>
      <c r="Q918" s="53"/>
      <c r="U918" s="37"/>
      <c r="Y918" s="38"/>
      <c r="Z918" s="39"/>
      <c r="AA918" s="33"/>
      <c r="AB918" s="39"/>
      <c r="AC918" s="40"/>
    </row>
    <row r="919">
      <c r="I919" s="40"/>
      <c r="J919" s="33"/>
      <c r="K919" s="33"/>
      <c r="L919" s="33"/>
      <c r="M919" s="34"/>
      <c r="N919" s="34"/>
      <c r="O919" s="39"/>
      <c r="Q919" s="53"/>
      <c r="U919" s="37"/>
      <c r="Y919" s="38"/>
      <c r="Z919" s="39"/>
      <c r="AA919" s="33"/>
      <c r="AB919" s="39"/>
      <c r="AC919" s="40"/>
    </row>
    <row r="920">
      <c r="I920" s="40"/>
      <c r="J920" s="33"/>
      <c r="K920" s="33"/>
      <c r="L920" s="33"/>
      <c r="M920" s="34"/>
      <c r="N920" s="34"/>
      <c r="O920" s="39"/>
      <c r="Q920" s="53"/>
      <c r="U920" s="37"/>
      <c r="Y920" s="38"/>
      <c r="Z920" s="39"/>
      <c r="AA920" s="33"/>
      <c r="AB920" s="39"/>
      <c r="AC920" s="40"/>
    </row>
    <row r="921">
      <c r="I921" s="40"/>
      <c r="J921" s="33"/>
      <c r="K921" s="33"/>
      <c r="L921" s="33"/>
      <c r="M921" s="34"/>
      <c r="N921" s="34"/>
      <c r="O921" s="39"/>
      <c r="Q921" s="53"/>
      <c r="U921" s="37"/>
      <c r="Y921" s="38"/>
      <c r="Z921" s="39"/>
      <c r="AA921" s="33"/>
      <c r="AB921" s="39"/>
      <c r="AC921" s="40"/>
    </row>
    <row r="922">
      <c r="I922" s="40"/>
      <c r="J922" s="33"/>
      <c r="K922" s="33"/>
      <c r="L922" s="33"/>
      <c r="M922" s="34"/>
      <c r="N922" s="34"/>
      <c r="O922" s="39"/>
      <c r="Q922" s="53"/>
      <c r="U922" s="37"/>
      <c r="Y922" s="38"/>
      <c r="Z922" s="39"/>
      <c r="AA922" s="33"/>
      <c r="AB922" s="39"/>
      <c r="AC922" s="40"/>
    </row>
    <row r="923">
      <c r="I923" s="40"/>
      <c r="J923" s="33"/>
      <c r="K923" s="33"/>
      <c r="L923" s="33"/>
      <c r="M923" s="34"/>
      <c r="N923" s="34"/>
      <c r="O923" s="39"/>
      <c r="Q923" s="53"/>
      <c r="U923" s="37"/>
      <c r="Y923" s="38"/>
      <c r="Z923" s="39"/>
      <c r="AA923" s="33"/>
      <c r="AB923" s="39"/>
      <c r="AC923" s="40"/>
    </row>
    <row r="924">
      <c r="I924" s="40"/>
      <c r="J924" s="33"/>
      <c r="K924" s="33"/>
      <c r="L924" s="33"/>
      <c r="M924" s="34"/>
      <c r="N924" s="34"/>
      <c r="O924" s="39"/>
      <c r="Q924" s="53"/>
      <c r="U924" s="37"/>
      <c r="Y924" s="38"/>
      <c r="Z924" s="39"/>
      <c r="AA924" s="33"/>
      <c r="AB924" s="39"/>
      <c r="AC924" s="40"/>
    </row>
    <row r="925">
      <c r="I925" s="40"/>
      <c r="J925" s="33"/>
      <c r="K925" s="33"/>
      <c r="L925" s="33"/>
      <c r="M925" s="34"/>
      <c r="N925" s="34"/>
      <c r="O925" s="39"/>
      <c r="Q925" s="53"/>
      <c r="U925" s="37"/>
      <c r="Y925" s="38"/>
      <c r="Z925" s="39"/>
      <c r="AA925" s="33"/>
      <c r="AB925" s="39"/>
      <c r="AC925" s="40"/>
    </row>
    <row r="926">
      <c r="I926" s="40"/>
      <c r="J926" s="33"/>
      <c r="K926" s="33"/>
      <c r="L926" s="33"/>
      <c r="M926" s="34"/>
      <c r="N926" s="34"/>
      <c r="O926" s="39"/>
      <c r="Q926" s="53"/>
      <c r="U926" s="37"/>
      <c r="Y926" s="38"/>
      <c r="Z926" s="39"/>
      <c r="AA926" s="33"/>
      <c r="AB926" s="39"/>
      <c r="AC926" s="40"/>
    </row>
    <row r="927">
      <c r="I927" s="40"/>
      <c r="J927" s="33"/>
      <c r="K927" s="33"/>
      <c r="L927" s="33"/>
      <c r="M927" s="34"/>
      <c r="N927" s="34"/>
      <c r="O927" s="39"/>
      <c r="Q927" s="53"/>
      <c r="U927" s="37"/>
      <c r="Y927" s="38"/>
      <c r="Z927" s="39"/>
      <c r="AA927" s="33"/>
      <c r="AB927" s="39"/>
      <c r="AC927" s="40"/>
    </row>
    <row r="928">
      <c r="I928" s="40"/>
      <c r="J928" s="33"/>
      <c r="K928" s="33"/>
      <c r="L928" s="33"/>
      <c r="M928" s="34"/>
      <c r="N928" s="34"/>
      <c r="O928" s="39"/>
      <c r="Q928" s="53"/>
      <c r="U928" s="37"/>
      <c r="Y928" s="38"/>
      <c r="Z928" s="39"/>
      <c r="AA928" s="33"/>
      <c r="AB928" s="39"/>
      <c r="AC928" s="40"/>
    </row>
    <row r="929">
      <c r="I929" s="40"/>
      <c r="J929" s="33"/>
      <c r="K929" s="33"/>
      <c r="L929" s="33"/>
      <c r="M929" s="34"/>
      <c r="N929" s="34"/>
      <c r="O929" s="39"/>
      <c r="Q929" s="53"/>
      <c r="U929" s="37"/>
      <c r="Y929" s="38"/>
      <c r="Z929" s="39"/>
      <c r="AA929" s="33"/>
      <c r="AB929" s="39"/>
      <c r="AC929" s="40"/>
    </row>
    <row r="930">
      <c r="I930" s="40"/>
      <c r="J930" s="33"/>
      <c r="K930" s="33"/>
      <c r="L930" s="33"/>
      <c r="M930" s="34"/>
      <c r="N930" s="34"/>
      <c r="O930" s="39"/>
      <c r="Q930" s="53"/>
      <c r="U930" s="37"/>
      <c r="Y930" s="38"/>
      <c r="Z930" s="39"/>
      <c r="AA930" s="33"/>
      <c r="AB930" s="39"/>
      <c r="AC930" s="40"/>
    </row>
    <row r="931">
      <c r="I931" s="40"/>
      <c r="J931" s="33"/>
      <c r="K931" s="33"/>
      <c r="L931" s="33"/>
      <c r="M931" s="34"/>
      <c r="N931" s="34"/>
      <c r="O931" s="39"/>
      <c r="Q931" s="53"/>
      <c r="U931" s="37"/>
      <c r="Y931" s="38"/>
      <c r="Z931" s="39"/>
      <c r="AA931" s="33"/>
      <c r="AB931" s="39"/>
      <c r="AC931" s="40"/>
    </row>
    <row r="932">
      <c r="I932" s="40"/>
      <c r="J932" s="33"/>
      <c r="K932" s="33"/>
      <c r="L932" s="33"/>
      <c r="M932" s="34"/>
      <c r="N932" s="34"/>
      <c r="O932" s="39"/>
      <c r="Q932" s="53"/>
      <c r="U932" s="37"/>
      <c r="Y932" s="38"/>
      <c r="Z932" s="39"/>
      <c r="AA932" s="33"/>
      <c r="AB932" s="39"/>
      <c r="AC932" s="40"/>
    </row>
    <row r="933">
      <c r="I933" s="40"/>
      <c r="J933" s="33"/>
      <c r="K933" s="33"/>
      <c r="L933" s="33"/>
      <c r="M933" s="34"/>
      <c r="N933" s="34"/>
      <c r="O933" s="39"/>
      <c r="Q933" s="53"/>
      <c r="U933" s="37"/>
      <c r="Y933" s="38"/>
      <c r="Z933" s="39"/>
      <c r="AA933" s="33"/>
      <c r="AB933" s="39"/>
      <c r="AC933" s="40"/>
    </row>
    <row r="934">
      <c r="I934" s="40"/>
      <c r="J934" s="33"/>
      <c r="K934" s="33"/>
      <c r="L934" s="33"/>
      <c r="M934" s="34"/>
      <c r="N934" s="34"/>
      <c r="O934" s="39"/>
      <c r="Q934" s="53"/>
      <c r="U934" s="37"/>
      <c r="Y934" s="38"/>
      <c r="Z934" s="39"/>
      <c r="AA934" s="33"/>
      <c r="AB934" s="39"/>
      <c r="AC934" s="40"/>
    </row>
    <row r="935">
      <c r="I935" s="40"/>
      <c r="J935" s="33"/>
      <c r="K935" s="33"/>
      <c r="L935" s="33"/>
      <c r="M935" s="34"/>
      <c r="N935" s="34"/>
      <c r="O935" s="39"/>
      <c r="Q935" s="53"/>
      <c r="U935" s="37"/>
      <c r="Y935" s="38"/>
      <c r="Z935" s="39"/>
      <c r="AA935" s="33"/>
      <c r="AB935" s="39"/>
      <c r="AC935" s="40"/>
    </row>
    <row r="936">
      <c r="I936" s="40"/>
      <c r="J936" s="33"/>
      <c r="K936" s="33"/>
      <c r="L936" s="33"/>
      <c r="M936" s="34"/>
      <c r="N936" s="34"/>
      <c r="O936" s="39"/>
      <c r="Q936" s="53"/>
      <c r="U936" s="37"/>
      <c r="Y936" s="38"/>
      <c r="Z936" s="39"/>
      <c r="AA936" s="33"/>
      <c r="AB936" s="39"/>
      <c r="AC936" s="40"/>
    </row>
    <row r="937">
      <c r="I937" s="40"/>
      <c r="J937" s="33"/>
      <c r="K937" s="33"/>
      <c r="L937" s="33"/>
      <c r="M937" s="34"/>
      <c r="N937" s="34"/>
      <c r="O937" s="39"/>
      <c r="Q937" s="53"/>
      <c r="U937" s="37"/>
      <c r="Y937" s="38"/>
      <c r="Z937" s="39"/>
      <c r="AA937" s="33"/>
      <c r="AB937" s="39"/>
      <c r="AC937" s="40"/>
    </row>
    <row r="938">
      <c r="I938" s="40"/>
      <c r="J938" s="33"/>
      <c r="K938" s="33"/>
      <c r="L938" s="33"/>
      <c r="M938" s="34"/>
      <c r="N938" s="34"/>
      <c r="O938" s="39"/>
      <c r="Q938" s="53"/>
      <c r="U938" s="37"/>
      <c r="Y938" s="38"/>
      <c r="Z938" s="39"/>
      <c r="AA938" s="33"/>
      <c r="AB938" s="39"/>
      <c r="AC938" s="40"/>
    </row>
    <row r="939">
      <c r="I939" s="40"/>
      <c r="J939" s="33"/>
      <c r="K939" s="33"/>
      <c r="L939" s="33"/>
      <c r="M939" s="34"/>
      <c r="N939" s="34"/>
      <c r="O939" s="39"/>
      <c r="Q939" s="53"/>
      <c r="U939" s="37"/>
      <c r="Y939" s="38"/>
      <c r="Z939" s="39"/>
      <c r="AA939" s="33"/>
      <c r="AB939" s="39"/>
      <c r="AC939" s="40"/>
    </row>
    <row r="940">
      <c r="I940" s="40"/>
      <c r="J940" s="33"/>
      <c r="K940" s="33"/>
      <c r="L940" s="33"/>
      <c r="M940" s="34"/>
      <c r="N940" s="34"/>
      <c r="O940" s="39"/>
      <c r="Q940" s="53"/>
      <c r="U940" s="37"/>
      <c r="Y940" s="38"/>
      <c r="Z940" s="39"/>
      <c r="AA940" s="33"/>
      <c r="AB940" s="39"/>
      <c r="AC940" s="40"/>
    </row>
    <row r="941">
      <c r="I941" s="40"/>
      <c r="J941" s="33"/>
      <c r="K941" s="33"/>
      <c r="L941" s="33"/>
      <c r="M941" s="34"/>
      <c r="N941" s="34"/>
      <c r="O941" s="39"/>
      <c r="Q941" s="53"/>
      <c r="U941" s="37"/>
      <c r="Y941" s="38"/>
      <c r="Z941" s="39"/>
      <c r="AA941" s="33"/>
      <c r="AB941" s="39"/>
      <c r="AC941" s="40"/>
    </row>
    <row r="942">
      <c r="I942" s="40"/>
      <c r="J942" s="33"/>
      <c r="K942" s="33"/>
      <c r="L942" s="33"/>
      <c r="M942" s="34"/>
      <c r="N942" s="34"/>
      <c r="O942" s="39"/>
      <c r="Q942" s="53"/>
      <c r="U942" s="37"/>
      <c r="Y942" s="38"/>
      <c r="Z942" s="39"/>
      <c r="AA942" s="33"/>
      <c r="AB942" s="39"/>
      <c r="AC942" s="40"/>
    </row>
    <row r="943">
      <c r="I943" s="40"/>
      <c r="J943" s="33"/>
      <c r="K943" s="33"/>
      <c r="L943" s="33"/>
      <c r="M943" s="34"/>
      <c r="N943" s="34"/>
      <c r="O943" s="39"/>
      <c r="Q943" s="53"/>
      <c r="U943" s="37"/>
      <c r="Y943" s="38"/>
      <c r="Z943" s="39"/>
      <c r="AA943" s="33"/>
      <c r="AB943" s="39"/>
      <c r="AC943" s="40"/>
    </row>
    <row r="944">
      <c r="I944" s="40"/>
      <c r="J944" s="33"/>
      <c r="K944" s="33"/>
      <c r="L944" s="33"/>
      <c r="M944" s="34"/>
      <c r="N944" s="34"/>
      <c r="O944" s="39"/>
      <c r="Q944" s="53"/>
      <c r="U944" s="37"/>
      <c r="Y944" s="38"/>
      <c r="Z944" s="39"/>
      <c r="AA944" s="33"/>
      <c r="AB944" s="39"/>
      <c r="AC944" s="40"/>
    </row>
    <row r="945">
      <c r="I945" s="40"/>
      <c r="J945" s="33"/>
      <c r="K945" s="33"/>
      <c r="L945" s="33"/>
      <c r="M945" s="34"/>
      <c r="N945" s="34"/>
      <c r="O945" s="39"/>
      <c r="Q945" s="53"/>
      <c r="U945" s="37"/>
      <c r="Y945" s="38"/>
      <c r="Z945" s="39"/>
      <c r="AA945" s="33"/>
      <c r="AB945" s="39"/>
      <c r="AC945" s="40"/>
    </row>
    <row r="946">
      <c r="I946" s="40"/>
      <c r="J946" s="33"/>
      <c r="K946" s="33"/>
      <c r="L946" s="33"/>
      <c r="M946" s="34"/>
      <c r="N946" s="34"/>
      <c r="O946" s="39"/>
      <c r="Q946" s="53"/>
      <c r="U946" s="37"/>
      <c r="Y946" s="38"/>
      <c r="Z946" s="39"/>
      <c r="AA946" s="33"/>
      <c r="AB946" s="39"/>
      <c r="AC946" s="40"/>
    </row>
    <row r="947">
      <c r="I947" s="40"/>
      <c r="J947" s="33"/>
      <c r="K947" s="33"/>
      <c r="L947" s="33"/>
      <c r="M947" s="34"/>
      <c r="N947" s="34"/>
      <c r="O947" s="39"/>
      <c r="Q947" s="53"/>
      <c r="U947" s="37"/>
      <c r="Y947" s="38"/>
      <c r="Z947" s="39"/>
      <c r="AA947" s="33"/>
      <c r="AB947" s="39"/>
      <c r="AC947" s="40"/>
    </row>
    <row r="948">
      <c r="I948" s="40"/>
      <c r="J948" s="33"/>
      <c r="K948" s="33"/>
      <c r="L948" s="33"/>
      <c r="M948" s="34"/>
      <c r="N948" s="34"/>
      <c r="O948" s="39"/>
      <c r="Q948" s="53"/>
      <c r="U948" s="37"/>
      <c r="Y948" s="38"/>
      <c r="Z948" s="39"/>
      <c r="AA948" s="33"/>
      <c r="AB948" s="39"/>
      <c r="AC948" s="40"/>
    </row>
    <row r="949">
      <c r="I949" s="40"/>
      <c r="J949" s="33"/>
      <c r="K949" s="33"/>
      <c r="L949" s="33"/>
      <c r="M949" s="34"/>
      <c r="N949" s="34"/>
      <c r="O949" s="39"/>
      <c r="Q949" s="53"/>
      <c r="U949" s="37"/>
      <c r="Y949" s="38"/>
      <c r="Z949" s="39"/>
      <c r="AA949" s="33"/>
      <c r="AB949" s="39"/>
      <c r="AC949" s="40"/>
    </row>
    <row r="950">
      <c r="I950" s="40"/>
      <c r="J950" s="33"/>
      <c r="K950" s="33"/>
      <c r="L950" s="33"/>
      <c r="M950" s="34"/>
      <c r="N950" s="34"/>
      <c r="O950" s="39"/>
      <c r="Q950" s="53"/>
      <c r="U950" s="37"/>
      <c r="Y950" s="38"/>
      <c r="Z950" s="39"/>
      <c r="AA950" s="33"/>
      <c r="AB950" s="39"/>
      <c r="AC950" s="40"/>
    </row>
    <row r="951">
      <c r="I951" s="40"/>
      <c r="J951" s="33"/>
      <c r="K951" s="33"/>
      <c r="L951" s="33"/>
      <c r="M951" s="34"/>
      <c r="N951" s="34"/>
      <c r="O951" s="39"/>
      <c r="Q951" s="53"/>
      <c r="U951" s="37"/>
      <c r="Y951" s="38"/>
      <c r="Z951" s="39"/>
      <c r="AA951" s="33"/>
      <c r="AB951" s="39"/>
      <c r="AC951" s="40"/>
    </row>
    <row r="952">
      <c r="I952" s="40"/>
      <c r="J952" s="33"/>
      <c r="K952" s="33"/>
      <c r="L952" s="33"/>
      <c r="M952" s="34"/>
      <c r="N952" s="34"/>
      <c r="O952" s="39"/>
      <c r="Q952" s="53"/>
      <c r="U952" s="37"/>
      <c r="Y952" s="38"/>
      <c r="Z952" s="39"/>
      <c r="AA952" s="33"/>
      <c r="AB952" s="39"/>
      <c r="AC952" s="40"/>
    </row>
    <row r="953">
      <c r="I953" s="40"/>
      <c r="J953" s="33"/>
      <c r="K953" s="33"/>
      <c r="L953" s="33"/>
      <c r="M953" s="34"/>
      <c r="N953" s="34"/>
      <c r="O953" s="39"/>
      <c r="Q953" s="53"/>
      <c r="U953" s="37"/>
      <c r="Y953" s="38"/>
      <c r="Z953" s="39"/>
      <c r="AA953" s="33"/>
      <c r="AB953" s="39"/>
      <c r="AC953" s="40"/>
    </row>
    <row r="954">
      <c r="I954" s="40"/>
      <c r="J954" s="33"/>
      <c r="K954" s="33"/>
      <c r="L954" s="33"/>
      <c r="M954" s="34"/>
      <c r="N954" s="34"/>
      <c r="O954" s="39"/>
      <c r="Q954" s="53"/>
      <c r="U954" s="37"/>
      <c r="Y954" s="38"/>
      <c r="Z954" s="39"/>
      <c r="AA954" s="33"/>
      <c r="AB954" s="39"/>
      <c r="AC954" s="40"/>
    </row>
    <row r="955">
      <c r="I955" s="40"/>
      <c r="J955" s="33"/>
      <c r="K955" s="33"/>
      <c r="L955" s="33"/>
      <c r="M955" s="34"/>
      <c r="N955" s="34"/>
      <c r="O955" s="39"/>
      <c r="Q955" s="53"/>
      <c r="U955" s="37"/>
      <c r="Y955" s="38"/>
      <c r="Z955" s="39"/>
      <c r="AA955" s="33"/>
      <c r="AB955" s="39"/>
      <c r="AC955" s="40"/>
    </row>
    <row r="956">
      <c r="I956" s="40"/>
      <c r="J956" s="33"/>
      <c r="K956" s="33"/>
      <c r="L956" s="33"/>
      <c r="M956" s="34"/>
      <c r="N956" s="34"/>
      <c r="O956" s="39"/>
      <c r="Q956" s="53"/>
      <c r="U956" s="37"/>
      <c r="Y956" s="38"/>
      <c r="Z956" s="39"/>
      <c r="AA956" s="33"/>
      <c r="AB956" s="39"/>
      <c r="AC956" s="40"/>
    </row>
    <row r="957">
      <c r="I957" s="40"/>
      <c r="J957" s="33"/>
      <c r="K957" s="33"/>
      <c r="L957" s="33"/>
      <c r="M957" s="34"/>
      <c r="N957" s="34"/>
      <c r="O957" s="39"/>
      <c r="Q957" s="53"/>
      <c r="U957" s="37"/>
      <c r="Y957" s="38"/>
      <c r="Z957" s="39"/>
      <c r="AA957" s="33"/>
      <c r="AB957" s="39"/>
      <c r="AC957" s="40"/>
    </row>
    <row r="958">
      <c r="I958" s="40"/>
      <c r="J958" s="33"/>
      <c r="K958" s="33"/>
      <c r="L958" s="33"/>
      <c r="M958" s="34"/>
      <c r="N958" s="34"/>
      <c r="O958" s="39"/>
      <c r="Q958" s="53"/>
      <c r="U958" s="37"/>
      <c r="Y958" s="38"/>
      <c r="Z958" s="39"/>
      <c r="AA958" s="33"/>
      <c r="AB958" s="39"/>
      <c r="AC958" s="40"/>
    </row>
    <row r="959">
      <c r="I959" s="40"/>
      <c r="J959" s="33"/>
      <c r="K959" s="33"/>
      <c r="L959" s="33"/>
      <c r="M959" s="34"/>
      <c r="N959" s="34"/>
      <c r="O959" s="39"/>
      <c r="Q959" s="53"/>
      <c r="U959" s="37"/>
      <c r="Y959" s="38"/>
      <c r="Z959" s="39"/>
      <c r="AA959" s="33"/>
      <c r="AB959" s="39"/>
      <c r="AC959" s="40"/>
    </row>
    <row r="960">
      <c r="I960" s="40"/>
      <c r="J960" s="33"/>
      <c r="K960" s="33"/>
      <c r="L960" s="33"/>
      <c r="M960" s="34"/>
      <c r="N960" s="34"/>
      <c r="O960" s="39"/>
      <c r="Q960" s="53"/>
      <c r="U960" s="37"/>
      <c r="Y960" s="38"/>
      <c r="Z960" s="39"/>
      <c r="AA960" s="33"/>
      <c r="AB960" s="39"/>
      <c r="AC960" s="40"/>
    </row>
    <row r="961">
      <c r="I961" s="40"/>
      <c r="J961" s="33"/>
      <c r="K961" s="33"/>
      <c r="L961" s="33"/>
      <c r="M961" s="34"/>
      <c r="N961" s="34"/>
      <c r="O961" s="39"/>
      <c r="Q961" s="53"/>
      <c r="U961" s="37"/>
      <c r="Y961" s="38"/>
      <c r="Z961" s="39"/>
      <c r="AA961" s="33"/>
      <c r="AB961" s="39"/>
      <c r="AC961" s="40"/>
    </row>
    <row r="962">
      <c r="I962" s="40"/>
      <c r="J962" s="33"/>
      <c r="K962" s="33"/>
      <c r="L962" s="33"/>
      <c r="M962" s="34"/>
      <c r="N962" s="34"/>
      <c r="O962" s="39"/>
      <c r="Q962" s="53"/>
      <c r="U962" s="37"/>
      <c r="Y962" s="38"/>
      <c r="Z962" s="39"/>
      <c r="AA962" s="33"/>
      <c r="AB962" s="39"/>
      <c r="AC962" s="40"/>
    </row>
    <row r="963">
      <c r="I963" s="40"/>
      <c r="J963" s="33"/>
      <c r="K963" s="33"/>
      <c r="L963" s="33"/>
      <c r="M963" s="34"/>
      <c r="N963" s="34"/>
      <c r="O963" s="39"/>
      <c r="Q963" s="53"/>
      <c r="U963" s="37"/>
      <c r="Y963" s="38"/>
      <c r="Z963" s="39"/>
      <c r="AA963" s="33"/>
      <c r="AB963" s="39"/>
      <c r="AC963" s="40"/>
    </row>
    <row r="964">
      <c r="I964" s="40"/>
      <c r="J964" s="33"/>
      <c r="K964" s="33"/>
      <c r="L964" s="33"/>
      <c r="M964" s="34"/>
      <c r="N964" s="34"/>
      <c r="O964" s="39"/>
      <c r="Q964" s="53"/>
      <c r="U964" s="37"/>
      <c r="Y964" s="38"/>
      <c r="Z964" s="39"/>
      <c r="AA964" s="33"/>
      <c r="AB964" s="39"/>
      <c r="AC964" s="40"/>
    </row>
    <row r="965">
      <c r="I965" s="40"/>
      <c r="J965" s="33"/>
      <c r="K965" s="33"/>
      <c r="L965" s="33"/>
      <c r="M965" s="34"/>
      <c r="N965" s="34"/>
      <c r="O965" s="39"/>
      <c r="Q965" s="53"/>
      <c r="U965" s="37"/>
      <c r="Y965" s="38"/>
      <c r="Z965" s="39"/>
      <c r="AA965" s="33"/>
      <c r="AB965" s="39"/>
      <c r="AC965" s="40"/>
    </row>
    <row r="966">
      <c r="I966" s="40"/>
      <c r="J966" s="33"/>
      <c r="K966" s="33"/>
      <c r="L966" s="33"/>
      <c r="M966" s="34"/>
      <c r="N966" s="34"/>
      <c r="O966" s="39"/>
      <c r="Q966" s="53"/>
      <c r="U966" s="37"/>
      <c r="Y966" s="38"/>
      <c r="Z966" s="39"/>
      <c r="AA966" s="33"/>
      <c r="AB966" s="39"/>
      <c r="AC966" s="40"/>
    </row>
    <row r="967">
      <c r="I967" s="40"/>
      <c r="J967" s="33"/>
      <c r="K967" s="33"/>
      <c r="L967" s="33"/>
      <c r="M967" s="34"/>
      <c r="N967" s="34"/>
      <c r="O967" s="39"/>
      <c r="Q967" s="53"/>
      <c r="U967" s="37"/>
      <c r="Y967" s="38"/>
      <c r="Z967" s="39"/>
      <c r="AA967" s="33"/>
      <c r="AB967" s="39"/>
      <c r="AC967" s="40"/>
    </row>
    <row r="968">
      <c r="I968" s="40"/>
      <c r="J968" s="33"/>
      <c r="K968" s="33"/>
      <c r="L968" s="33"/>
      <c r="M968" s="34"/>
      <c r="N968" s="34"/>
      <c r="O968" s="39"/>
      <c r="Q968" s="53"/>
      <c r="U968" s="37"/>
      <c r="Y968" s="38"/>
      <c r="Z968" s="39"/>
      <c r="AA968" s="33"/>
      <c r="AB968" s="39"/>
      <c r="AC968" s="40"/>
    </row>
    <row r="969">
      <c r="I969" s="40"/>
      <c r="J969" s="33"/>
      <c r="K969" s="33"/>
      <c r="L969" s="33"/>
      <c r="M969" s="34"/>
      <c r="N969" s="34"/>
      <c r="O969" s="39"/>
      <c r="Q969" s="53"/>
      <c r="U969" s="37"/>
      <c r="Y969" s="38"/>
      <c r="Z969" s="39"/>
      <c r="AA969" s="33"/>
      <c r="AB969" s="39"/>
      <c r="AC969" s="40"/>
    </row>
    <row r="970">
      <c r="I970" s="40"/>
      <c r="J970" s="33"/>
      <c r="K970" s="33"/>
      <c r="L970" s="33"/>
      <c r="M970" s="34"/>
      <c r="N970" s="34"/>
      <c r="O970" s="39"/>
      <c r="Q970" s="53"/>
      <c r="U970" s="37"/>
      <c r="Y970" s="38"/>
      <c r="Z970" s="39"/>
      <c r="AA970" s="33"/>
      <c r="AB970" s="39"/>
      <c r="AC970" s="40"/>
    </row>
    <row r="971">
      <c r="I971" s="40"/>
      <c r="J971" s="33"/>
      <c r="K971" s="33"/>
      <c r="L971" s="33"/>
      <c r="M971" s="34"/>
      <c r="N971" s="34"/>
      <c r="O971" s="39"/>
      <c r="Q971" s="53"/>
      <c r="U971" s="37"/>
      <c r="Y971" s="38"/>
      <c r="Z971" s="39"/>
      <c r="AA971" s="33"/>
      <c r="AB971" s="39"/>
      <c r="AC971" s="40"/>
    </row>
    <row r="972">
      <c r="I972" s="40"/>
      <c r="J972" s="33"/>
      <c r="K972" s="33"/>
      <c r="L972" s="33"/>
      <c r="M972" s="34"/>
      <c r="N972" s="34"/>
      <c r="O972" s="39"/>
      <c r="Q972" s="53"/>
      <c r="U972" s="37"/>
      <c r="Y972" s="38"/>
      <c r="Z972" s="39"/>
      <c r="AA972" s="33"/>
      <c r="AB972" s="39"/>
      <c r="AC972" s="40"/>
    </row>
    <row r="973">
      <c r="I973" s="40"/>
      <c r="J973" s="33"/>
      <c r="K973" s="33"/>
      <c r="L973" s="33"/>
      <c r="M973" s="34"/>
      <c r="N973" s="34"/>
      <c r="O973" s="39"/>
      <c r="Q973" s="53"/>
      <c r="U973" s="37"/>
      <c r="Y973" s="38"/>
      <c r="Z973" s="39"/>
      <c r="AA973" s="33"/>
      <c r="AB973" s="39"/>
      <c r="AC973" s="40"/>
    </row>
    <row r="974">
      <c r="I974" s="40"/>
      <c r="J974" s="33"/>
      <c r="K974" s="33"/>
      <c r="L974" s="33"/>
      <c r="M974" s="34"/>
      <c r="N974" s="34"/>
      <c r="O974" s="39"/>
      <c r="Q974" s="53"/>
      <c r="U974" s="37"/>
      <c r="Y974" s="38"/>
      <c r="Z974" s="39"/>
      <c r="AA974" s="33"/>
      <c r="AB974" s="39"/>
      <c r="AC974" s="40"/>
    </row>
    <row r="975">
      <c r="I975" s="40"/>
      <c r="J975" s="33"/>
      <c r="K975" s="33"/>
      <c r="L975" s="33"/>
      <c r="M975" s="34"/>
      <c r="N975" s="34"/>
      <c r="O975" s="39"/>
      <c r="Q975" s="53"/>
      <c r="U975" s="37"/>
      <c r="Y975" s="38"/>
      <c r="Z975" s="39"/>
      <c r="AA975" s="33"/>
      <c r="AB975" s="39"/>
      <c r="AC975" s="40"/>
    </row>
    <row r="976">
      <c r="I976" s="40"/>
      <c r="J976" s="33"/>
      <c r="K976" s="33"/>
      <c r="L976" s="33"/>
      <c r="M976" s="34"/>
      <c r="N976" s="34"/>
      <c r="O976" s="39"/>
      <c r="Q976" s="53"/>
      <c r="U976" s="37"/>
      <c r="Y976" s="38"/>
      <c r="Z976" s="39"/>
      <c r="AA976" s="33"/>
      <c r="AB976" s="39"/>
      <c r="AC976" s="40"/>
    </row>
    <row r="977">
      <c r="I977" s="40"/>
      <c r="J977" s="33"/>
      <c r="K977" s="33"/>
      <c r="L977" s="33"/>
      <c r="M977" s="34"/>
      <c r="N977" s="34"/>
      <c r="O977" s="39"/>
      <c r="Q977" s="53"/>
      <c r="U977" s="37"/>
      <c r="Y977" s="38"/>
      <c r="Z977" s="39"/>
      <c r="AA977" s="33"/>
      <c r="AB977" s="39"/>
      <c r="AC977" s="40"/>
    </row>
    <row r="978">
      <c r="I978" s="40"/>
      <c r="J978" s="33"/>
      <c r="K978" s="33"/>
      <c r="L978" s="33"/>
      <c r="M978" s="34"/>
      <c r="N978" s="34"/>
      <c r="O978" s="39"/>
      <c r="Q978" s="53"/>
      <c r="U978" s="37"/>
      <c r="Y978" s="38"/>
      <c r="Z978" s="39"/>
      <c r="AA978" s="33"/>
      <c r="AB978" s="39"/>
      <c r="AC978" s="40"/>
    </row>
    <row r="979">
      <c r="I979" s="40"/>
      <c r="J979" s="33"/>
      <c r="K979" s="33"/>
      <c r="L979" s="33"/>
      <c r="M979" s="34"/>
      <c r="N979" s="34"/>
      <c r="O979" s="39"/>
      <c r="Q979" s="53"/>
      <c r="U979" s="37"/>
      <c r="Y979" s="38"/>
      <c r="Z979" s="39"/>
      <c r="AA979" s="33"/>
      <c r="AB979" s="39"/>
      <c r="AC979" s="40"/>
    </row>
    <row r="980">
      <c r="I980" s="40"/>
      <c r="J980" s="33"/>
      <c r="K980" s="33"/>
      <c r="L980" s="33"/>
      <c r="M980" s="34"/>
      <c r="N980" s="34"/>
      <c r="O980" s="39"/>
      <c r="Q980" s="53"/>
      <c r="U980" s="37"/>
      <c r="Y980" s="38"/>
      <c r="Z980" s="39"/>
      <c r="AA980" s="33"/>
      <c r="AB980" s="39"/>
      <c r="AC980" s="40"/>
    </row>
    <row r="981">
      <c r="I981" s="40"/>
      <c r="J981" s="33"/>
      <c r="K981" s="33"/>
      <c r="L981" s="33"/>
      <c r="M981" s="34"/>
      <c r="N981" s="34"/>
      <c r="O981" s="39"/>
      <c r="Q981" s="53"/>
      <c r="U981" s="37"/>
      <c r="Y981" s="38"/>
      <c r="Z981" s="39"/>
      <c r="AA981" s="33"/>
      <c r="AB981" s="39"/>
      <c r="AC981" s="40"/>
    </row>
    <row r="982">
      <c r="I982" s="40"/>
      <c r="J982" s="33"/>
      <c r="K982" s="33"/>
      <c r="L982" s="33"/>
      <c r="M982" s="34"/>
      <c r="N982" s="34"/>
      <c r="O982" s="39"/>
      <c r="Q982" s="53"/>
      <c r="U982" s="37"/>
      <c r="Y982" s="38"/>
      <c r="Z982" s="39"/>
      <c r="AA982" s="33"/>
      <c r="AB982" s="39"/>
      <c r="AC982" s="40"/>
    </row>
    <row r="983">
      <c r="I983" s="40"/>
      <c r="J983" s="33"/>
      <c r="K983" s="33"/>
      <c r="L983" s="33"/>
      <c r="M983" s="34"/>
      <c r="N983" s="34"/>
      <c r="O983" s="39"/>
      <c r="Q983" s="53"/>
      <c r="U983" s="37"/>
      <c r="Y983" s="38"/>
      <c r="Z983" s="39"/>
      <c r="AA983" s="33"/>
      <c r="AB983" s="39"/>
      <c r="AC983" s="40"/>
    </row>
    <row r="984">
      <c r="I984" s="40"/>
      <c r="J984" s="33"/>
      <c r="K984" s="33"/>
      <c r="L984" s="33"/>
      <c r="M984" s="34"/>
      <c r="N984" s="34"/>
      <c r="O984" s="39"/>
      <c r="Q984" s="53"/>
      <c r="U984" s="37"/>
      <c r="Y984" s="38"/>
      <c r="Z984" s="39"/>
      <c r="AA984" s="33"/>
      <c r="AB984" s="39"/>
      <c r="AC984" s="40"/>
    </row>
    <row r="985">
      <c r="I985" s="40"/>
      <c r="J985" s="33"/>
      <c r="K985" s="33"/>
      <c r="L985" s="33"/>
      <c r="M985" s="34"/>
      <c r="N985" s="34"/>
      <c r="O985" s="39"/>
      <c r="Q985" s="53"/>
      <c r="U985" s="37"/>
      <c r="Y985" s="38"/>
      <c r="Z985" s="39"/>
      <c r="AA985" s="33"/>
      <c r="AB985" s="39"/>
      <c r="AC985" s="40"/>
    </row>
    <row r="986">
      <c r="I986" s="40"/>
      <c r="J986" s="33"/>
      <c r="K986" s="33"/>
      <c r="L986" s="33"/>
      <c r="M986" s="34"/>
      <c r="N986" s="34"/>
      <c r="O986" s="39"/>
      <c r="Q986" s="53"/>
      <c r="U986" s="37"/>
      <c r="Y986" s="38"/>
      <c r="Z986" s="39"/>
      <c r="AA986" s="33"/>
      <c r="AB986" s="39"/>
      <c r="AC986" s="40"/>
    </row>
    <row r="987">
      <c r="I987" s="40"/>
      <c r="J987" s="33"/>
      <c r="K987" s="33"/>
      <c r="L987" s="33"/>
      <c r="M987" s="34"/>
      <c r="N987" s="34"/>
      <c r="O987" s="39"/>
      <c r="Q987" s="53"/>
      <c r="U987" s="37"/>
      <c r="Y987" s="38"/>
      <c r="Z987" s="39"/>
      <c r="AA987" s="33"/>
      <c r="AB987" s="39"/>
      <c r="AC987" s="40"/>
    </row>
    <row r="988">
      <c r="I988" s="40"/>
      <c r="J988" s="33"/>
      <c r="K988" s="33"/>
      <c r="L988" s="33"/>
      <c r="M988" s="34"/>
      <c r="N988" s="34"/>
      <c r="O988" s="39"/>
      <c r="Q988" s="53"/>
      <c r="U988" s="37"/>
      <c r="Y988" s="38"/>
      <c r="Z988" s="39"/>
      <c r="AA988" s="33"/>
      <c r="AB988" s="39"/>
      <c r="AC988" s="40"/>
    </row>
    <row r="989">
      <c r="I989" s="40"/>
      <c r="J989" s="33"/>
      <c r="K989" s="33"/>
      <c r="L989" s="33"/>
      <c r="M989" s="34"/>
      <c r="N989" s="34"/>
      <c r="O989" s="39"/>
      <c r="Q989" s="53"/>
      <c r="U989" s="37"/>
      <c r="Y989" s="38"/>
      <c r="Z989" s="39"/>
      <c r="AA989" s="33"/>
      <c r="AB989" s="39"/>
      <c r="AC989" s="40"/>
    </row>
    <row r="990">
      <c r="I990" s="40"/>
      <c r="J990" s="33"/>
      <c r="K990" s="33"/>
      <c r="L990" s="33"/>
      <c r="M990" s="34"/>
      <c r="N990" s="34"/>
      <c r="O990" s="39"/>
      <c r="Q990" s="53"/>
      <c r="U990" s="37"/>
      <c r="Y990" s="38"/>
      <c r="Z990" s="39"/>
      <c r="AA990" s="33"/>
      <c r="AB990" s="39"/>
      <c r="AC990" s="40"/>
    </row>
    <row r="991">
      <c r="I991" s="40"/>
      <c r="J991" s="33"/>
      <c r="K991" s="33"/>
      <c r="L991" s="33"/>
      <c r="M991" s="34"/>
      <c r="N991" s="34"/>
      <c r="O991" s="39"/>
      <c r="Q991" s="53"/>
      <c r="U991" s="37"/>
      <c r="Y991" s="38"/>
      <c r="Z991" s="39"/>
      <c r="AA991" s="33"/>
      <c r="AB991" s="39"/>
      <c r="AC991" s="40"/>
    </row>
    <row r="992">
      <c r="I992" s="40"/>
      <c r="J992" s="33"/>
      <c r="K992" s="33"/>
      <c r="L992" s="33"/>
      <c r="M992" s="34"/>
      <c r="N992" s="34"/>
      <c r="O992" s="39"/>
      <c r="Q992" s="53"/>
      <c r="U992" s="37"/>
      <c r="Y992" s="38"/>
      <c r="Z992" s="39"/>
      <c r="AA992" s="33"/>
      <c r="AB992" s="39"/>
      <c r="AC992" s="40"/>
    </row>
    <row r="993">
      <c r="I993" s="40"/>
      <c r="J993" s="33"/>
      <c r="K993" s="33"/>
      <c r="L993" s="33"/>
      <c r="M993" s="34"/>
      <c r="N993" s="34"/>
      <c r="O993" s="39"/>
      <c r="Q993" s="53"/>
      <c r="U993" s="37"/>
      <c r="Y993" s="38"/>
      <c r="Z993" s="39"/>
      <c r="AA993" s="33"/>
      <c r="AB993" s="39"/>
      <c r="AC993" s="40"/>
    </row>
    <row r="994">
      <c r="I994" s="40"/>
      <c r="J994" s="33"/>
      <c r="K994" s="33"/>
      <c r="L994" s="33"/>
      <c r="M994" s="34"/>
      <c r="N994" s="34"/>
      <c r="O994" s="39"/>
      <c r="Q994" s="53"/>
      <c r="U994" s="37"/>
      <c r="Y994" s="38"/>
      <c r="Z994" s="39"/>
      <c r="AA994" s="33"/>
      <c r="AB994" s="39"/>
      <c r="AC994" s="40"/>
    </row>
    <row r="995">
      <c r="I995" s="40"/>
      <c r="J995" s="33"/>
      <c r="K995" s="33"/>
      <c r="L995" s="33"/>
      <c r="M995" s="34"/>
      <c r="N995" s="34"/>
      <c r="O995" s="39"/>
      <c r="Q995" s="53"/>
      <c r="U995" s="37"/>
      <c r="Y995" s="38"/>
      <c r="Z995" s="39"/>
      <c r="AA995" s="33"/>
      <c r="AB995" s="39"/>
      <c r="AC995" s="40"/>
    </row>
    <row r="996">
      <c r="I996" s="40"/>
      <c r="J996" s="33"/>
      <c r="K996" s="33"/>
      <c r="L996" s="33"/>
      <c r="M996" s="34"/>
      <c r="N996" s="34"/>
      <c r="O996" s="39"/>
      <c r="Q996" s="53"/>
      <c r="U996" s="37"/>
      <c r="Y996" s="38"/>
      <c r="Z996" s="39"/>
      <c r="AA996" s="33"/>
      <c r="AB996" s="39"/>
      <c r="AC996" s="40"/>
    </row>
    <row r="997">
      <c r="I997" s="40"/>
      <c r="J997" s="33"/>
      <c r="K997" s="33"/>
      <c r="L997" s="33"/>
      <c r="M997" s="34"/>
      <c r="N997" s="34"/>
      <c r="O997" s="39"/>
      <c r="Q997" s="53"/>
      <c r="U997" s="37"/>
      <c r="Y997" s="38"/>
      <c r="Z997" s="39"/>
      <c r="AA997" s="33"/>
      <c r="AB997" s="39"/>
      <c r="AC997" s="40"/>
    </row>
    <row r="998">
      <c r="I998" s="40"/>
      <c r="J998" s="33"/>
      <c r="K998" s="33"/>
      <c r="L998" s="33"/>
      <c r="M998" s="34"/>
      <c r="N998" s="34"/>
      <c r="O998" s="39"/>
      <c r="Q998" s="53"/>
      <c r="U998" s="37"/>
      <c r="Y998" s="38"/>
      <c r="Z998" s="39"/>
      <c r="AA998" s="33"/>
      <c r="AB998" s="39"/>
      <c r="AC998" s="40"/>
    </row>
    <row r="999">
      <c r="I999" s="40"/>
      <c r="J999" s="33"/>
      <c r="K999" s="33"/>
      <c r="L999" s="33"/>
      <c r="M999" s="34"/>
      <c r="N999" s="34"/>
      <c r="O999" s="39"/>
      <c r="Q999" s="53"/>
      <c r="U999" s="37"/>
      <c r="Y999" s="38"/>
      <c r="Z999" s="39"/>
      <c r="AA999" s="33"/>
      <c r="AB999" s="39"/>
      <c r="AC999" s="40"/>
    </row>
    <row r="1000">
      <c r="I1000" s="40"/>
      <c r="J1000" s="33"/>
      <c r="K1000" s="33"/>
      <c r="L1000" s="33"/>
      <c r="M1000" s="34"/>
      <c r="N1000" s="34"/>
      <c r="O1000" s="39"/>
      <c r="Q1000" s="53"/>
      <c r="U1000" s="37"/>
      <c r="Y1000" s="38"/>
      <c r="Z1000" s="39"/>
      <c r="AA1000" s="33"/>
      <c r="AB1000" s="39"/>
      <c r="AC1000" s="40"/>
    </row>
    <row r="1001">
      <c r="I1001" s="40"/>
      <c r="J1001" s="33"/>
      <c r="K1001" s="33"/>
      <c r="L1001" s="33"/>
      <c r="M1001" s="34"/>
      <c r="N1001" s="34"/>
      <c r="O1001" s="39"/>
      <c r="Q1001" s="53"/>
      <c r="U1001" s="37"/>
      <c r="Y1001" s="38"/>
      <c r="Z1001" s="39"/>
      <c r="AA1001" s="33"/>
      <c r="AB1001" s="39"/>
      <c r="AC1001" s="40"/>
    </row>
    <row r="1002">
      <c r="I1002" s="40"/>
      <c r="J1002" s="33"/>
      <c r="K1002" s="33"/>
      <c r="L1002" s="33"/>
      <c r="M1002" s="34"/>
      <c r="N1002" s="34"/>
      <c r="O1002" s="39"/>
      <c r="Q1002" s="53"/>
      <c r="U1002" s="37"/>
      <c r="Y1002" s="38"/>
      <c r="Z1002" s="39"/>
      <c r="AA1002" s="33"/>
      <c r="AB1002" s="39"/>
      <c r="AC1002" s="40"/>
    </row>
    <row r="1003">
      <c r="I1003" s="40"/>
      <c r="J1003" s="33"/>
      <c r="K1003" s="33"/>
      <c r="L1003" s="33"/>
      <c r="M1003" s="34"/>
      <c r="N1003" s="34"/>
      <c r="O1003" s="39"/>
      <c r="Q1003" s="53"/>
      <c r="U1003" s="37"/>
      <c r="Y1003" s="38"/>
      <c r="Z1003" s="39"/>
      <c r="AA1003" s="33"/>
      <c r="AB1003" s="39"/>
      <c r="AC1003" s="40"/>
    </row>
    <row r="1004">
      <c r="I1004" s="40"/>
      <c r="J1004" s="33"/>
      <c r="K1004" s="33"/>
      <c r="L1004" s="33"/>
      <c r="M1004" s="34"/>
      <c r="N1004" s="34"/>
      <c r="O1004" s="39"/>
      <c r="Q1004" s="53"/>
      <c r="U1004" s="37"/>
      <c r="Y1004" s="38"/>
      <c r="Z1004" s="39"/>
      <c r="AA1004" s="33"/>
      <c r="AB1004" s="39"/>
      <c r="AC1004" s="40"/>
    </row>
    <row r="1005">
      <c r="I1005" s="40"/>
      <c r="J1005" s="33"/>
      <c r="K1005" s="33"/>
      <c r="L1005" s="33"/>
      <c r="M1005" s="34"/>
      <c r="N1005" s="34"/>
      <c r="O1005" s="39"/>
      <c r="Q1005" s="53"/>
      <c r="U1005" s="37"/>
      <c r="Y1005" s="38"/>
      <c r="Z1005" s="39"/>
      <c r="AA1005" s="33"/>
      <c r="AB1005" s="39"/>
      <c r="AC1005" s="40"/>
    </row>
    <row r="1006">
      <c r="I1006" s="40"/>
      <c r="J1006" s="33"/>
      <c r="K1006" s="33"/>
      <c r="L1006" s="33"/>
      <c r="M1006" s="34"/>
      <c r="N1006" s="34"/>
      <c r="O1006" s="39"/>
      <c r="Q1006" s="53"/>
      <c r="U1006" s="37"/>
      <c r="Y1006" s="38"/>
      <c r="Z1006" s="39"/>
      <c r="AA1006" s="33"/>
      <c r="AB1006" s="39"/>
      <c r="AC1006" s="40"/>
    </row>
    <row r="1007">
      <c r="I1007" s="40"/>
      <c r="J1007" s="33"/>
      <c r="K1007" s="33"/>
      <c r="L1007" s="33"/>
      <c r="M1007" s="34"/>
      <c r="N1007" s="34"/>
      <c r="O1007" s="39"/>
      <c r="Q1007" s="53"/>
      <c r="U1007" s="37"/>
      <c r="Y1007" s="38"/>
      <c r="Z1007" s="39"/>
      <c r="AA1007" s="33"/>
      <c r="AB1007" s="39"/>
      <c r="AC1007" s="40"/>
    </row>
    <row r="1008">
      <c r="I1008" s="40"/>
      <c r="J1008" s="33"/>
      <c r="K1008" s="33"/>
      <c r="L1008" s="33"/>
      <c r="M1008" s="34"/>
      <c r="N1008" s="34"/>
      <c r="O1008" s="39"/>
      <c r="Q1008" s="53"/>
      <c r="U1008" s="37"/>
      <c r="Y1008" s="38"/>
      <c r="Z1008" s="39"/>
      <c r="AA1008" s="33"/>
      <c r="AB1008" s="39"/>
      <c r="AC1008" s="40"/>
    </row>
    <row r="1009">
      <c r="I1009" s="40"/>
      <c r="J1009" s="33"/>
      <c r="K1009" s="33"/>
      <c r="L1009" s="33"/>
      <c r="M1009" s="34"/>
      <c r="N1009" s="34"/>
      <c r="O1009" s="39"/>
      <c r="Q1009" s="53"/>
      <c r="U1009" s="37"/>
      <c r="Y1009" s="38"/>
      <c r="Z1009" s="39"/>
      <c r="AA1009" s="33"/>
      <c r="AB1009" s="39"/>
      <c r="AC1009" s="40"/>
    </row>
    <row r="1010">
      <c r="I1010" s="40"/>
      <c r="J1010" s="33"/>
      <c r="K1010" s="33"/>
      <c r="L1010" s="33"/>
      <c r="M1010" s="34"/>
      <c r="N1010" s="34"/>
      <c r="O1010" s="39"/>
      <c r="Q1010" s="53"/>
      <c r="U1010" s="37"/>
      <c r="Y1010" s="38"/>
      <c r="Z1010" s="39"/>
      <c r="AA1010" s="33"/>
      <c r="AB1010" s="39"/>
      <c r="AC1010" s="40"/>
    </row>
    <row r="1011">
      <c r="I1011" s="40"/>
      <c r="J1011" s="33"/>
      <c r="K1011" s="33"/>
      <c r="L1011" s="33"/>
      <c r="M1011" s="34"/>
      <c r="N1011" s="34"/>
      <c r="O1011" s="39"/>
      <c r="Q1011" s="53"/>
      <c r="U1011" s="37"/>
      <c r="Y1011" s="38"/>
      <c r="Z1011" s="39"/>
      <c r="AA1011" s="33"/>
      <c r="AB1011" s="39"/>
      <c r="AC1011" s="40"/>
    </row>
    <row r="1012">
      <c r="I1012" s="40"/>
      <c r="J1012" s="33"/>
      <c r="K1012" s="33"/>
      <c r="L1012" s="33"/>
      <c r="M1012" s="34"/>
      <c r="N1012" s="34"/>
      <c r="O1012" s="39"/>
      <c r="Q1012" s="53"/>
      <c r="U1012" s="37"/>
      <c r="Y1012" s="38"/>
      <c r="Z1012" s="39"/>
      <c r="AA1012" s="33"/>
      <c r="AB1012" s="39"/>
      <c r="AC1012" s="40"/>
    </row>
    <row r="1013">
      <c r="I1013" s="40"/>
      <c r="J1013" s="33"/>
      <c r="K1013" s="33"/>
      <c r="L1013" s="33"/>
      <c r="M1013" s="34"/>
      <c r="N1013" s="34"/>
      <c r="O1013" s="39"/>
      <c r="Q1013" s="53"/>
      <c r="U1013" s="37"/>
      <c r="Y1013" s="38"/>
      <c r="Z1013" s="39"/>
      <c r="AA1013" s="33"/>
      <c r="AB1013" s="39"/>
      <c r="AC1013" s="40"/>
    </row>
    <row r="1014">
      <c r="I1014" s="40"/>
      <c r="J1014" s="33"/>
      <c r="K1014" s="33"/>
      <c r="L1014" s="33"/>
      <c r="M1014" s="34"/>
      <c r="N1014" s="34"/>
      <c r="O1014" s="39"/>
      <c r="Q1014" s="53"/>
      <c r="U1014" s="37"/>
      <c r="Y1014" s="38"/>
      <c r="Z1014" s="39"/>
      <c r="AA1014" s="33"/>
      <c r="AB1014" s="39"/>
      <c r="AC1014" s="40"/>
    </row>
  </sheetData>
  <autoFilter ref="$A$1:$AK$233">
    <sortState ref="A1:AK233">
      <sortCondition ref="A1:A233"/>
    </sortState>
  </autoFil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7.29" defaultRowHeight="15.0"/>
  <cols>
    <col customWidth="1" min="1" max="1" width="36.29"/>
    <col customWidth="1" min="2" max="2" width="6.14"/>
    <col customWidth="1" min="3" max="3" width="5.57"/>
    <col customWidth="1" min="4" max="4" width="8.86"/>
    <col customWidth="1" min="5" max="5" width="16.43"/>
    <col customWidth="1" min="6" max="6" width="12.0"/>
    <col customWidth="1" min="7" max="7" width="8.14"/>
    <col customWidth="1" min="8" max="8" width="4.86"/>
    <col customWidth="1" min="9" max="9" width="17.71"/>
    <col customWidth="1" min="10" max="10" width="12.29"/>
    <col customWidth="1" min="11" max="11" width="54.43"/>
    <col customWidth="1" min="12" max="12" width="18.57"/>
    <col customWidth="1" min="13" max="13" width="9.86"/>
    <col customWidth="1" min="14" max="14" width="8.86"/>
    <col customWidth="1" min="15" max="15" width="9.0"/>
    <col customWidth="1" min="16" max="17" width="17.29"/>
    <col customWidth="1" min="18" max="18" width="19.29"/>
    <col customWidth="1" min="19" max="19" width="23.14"/>
    <col customWidth="1" min="20" max="22" width="20.86"/>
    <col customWidth="1" min="23" max="25" width="20.14"/>
    <col customWidth="1" min="26" max="26" width="14.43"/>
    <col customWidth="1" min="27" max="28" width="11.0"/>
    <col customWidth="1" min="29" max="29" width="11.14"/>
    <col customWidth="1" min="30" max="31" width="10.29"/>
    <col customWidth="1" min="32" max="34" width="14.0"/>
    <col customWidth="1" min="35" max="35" width="12.29"/>
    <col customWidth="1" min="36" max="41" width="14.14"/>
    <col customWidth="1" min="42" max="42" width="14.0"/>
    <col customWidth="1" min="43" max="43" width="8.57"/>
    <col customWidth="1" min="44" max="45" width="13.29"/>
    <col customWidth="1" min="46" max="46" width="15.43"/>
    <col customWidth="1" min="47" max="49" width="13.29"/>
    <col customWidth="1" min="50" max="50" width="11.71"/>
    <col customWidth="1" min="51" max="53" width="8.71"/>
    <col customWidth="1" min="54" max="54" width="11.43"/>
    <col customWidth="1" min="55" max="65" width="8.71"/>
    <col customWidth="1" min="66" max="66" width="11.43"/>
    <col customWidth="1" min="67" max="77" width="8.71"/>
    <col customWidth="1" min="78" max="78" width="11.43"/>
    <col customWidth="1" min="79" max="87" width="8.71"/>
    <col customWidth="1" min="88" max="88" width="5.43"/>
    <col customWidth="1" min="89" max="89" width="8.71"/>
    <col customWidth="1" min="90" max="90" width="11.43"/>
    <col customWidth="1" min="91" max="101" width="8.71"/>
    <col customWidth="1" min="102" max="102" width="11.43"/>
    <col customWidth="1" min="103" max="113" width="8.71"/>
    <col customWidth="1" min="114" max="114" width="11.43"/>
    <col customWidth="1" min="115" max="115" width="9.14"/>
    <col customWidth="1" min="116" max="125" width="8.71"/>
    <col customWidth="1" min="126" max="126" width="10.86"/>
    <col customWidth="1" min="127" max="137" width="8.71"/>
    <col customWidth="1" min="138" max="138" width="13.14"/>
    <col customWidth="1" min="139" max="149" width="8.71"/>
    <col customWidth="1" min="150" max="150" width="12.71"/>
    <col customWidth="1" min="151" max="161" width="8.71"/>
    <col customWidth="1" min="162" max="162" width="11.57"/>
    <col customWidth="1" min="163" max="173" width="8.71"/>
  </cols>
  <sheetData>
    <row r="1" ht="46.5" customHeight="1">
      <c r="A1" s="54" t="s">
        <v>593</v>
      </c>
      <c r="B1" s="55" t="s">
        <v>594</v>
      </c>
      <c r="C1" s="55" t="s">
        <v>595</v>
      </c>
      <c r="D1" s="55" t="s">
        <v>596</v>
      </c>
      <c r="E1" s="55" t="s">
        <v>597</v>
      </c>
      <c r="F1" s="55" t="s">
        <v>76</v>
      </c>
      <c r="G1" s="56" t="s">
        <v>598</v>
      </c>
      <c r="H1" s="54" t="s">
        <v>599</v>
      </c>
      <c r="I1" s="55" t="s">
        <v>600</v>
      </c>
      <c r="J1" s="57" t="s">
        <v>601</v>
      </c>
      <c r="K1" s="57" t="s">
        <v>602</v>
      </c>
      <c r="L1" s="57" t="s">
        <v>603</v>
      </c>
      <c r="M1" s="57" t="s">
        <v>604</v>
      </c>
      <c r="N1" s="57" t="s">
        <v>605</v>
      </c>
      <c r="O1" s="57" t="s">
        <v>606</v>
      </c>
      <c r="P1" s="57" t="s">
        <v>607</v>
      </c>
      <c r="Q1" s="57" t="s">
        <v>608</v>
      </c>
      <c r="R1" s="57" t="s">
        <v>609</v>
      </c>
      <c r="S1" s="57" t="s">
        <v>610</v>
      </c>
      <c r="T1" s="57" t="s">
        <v>611</v>
      </c>
      <c r="U1" s="57" t="s">
        <v>612</v>
      </c>
      <c r="V1" s="57" t="s">
        <v>613</v>
      </c>
      <c r="W1" s="57" t="s">
        <v>614</v>
      </c>
      <c r="X1" s="57" t="s">
        <v>615</v>
      </c>
      <c r="Y1" s="57" t="s">
        <v>616</v>
      </c>
      <c r="Z1" s="57" t="s">
        <v>617</v>
      </c>
      <c r="AA1" s="57" t="s">
        <v>618</v>
      </c>
      <c r="AB1" s="57" t="s">
        <v>619</v>
      </c>
      <c r="AC1" s="57" t="s">
        <v>620</v>
      </c>
      <c r="AD1" s="57" t="s">
        <v>621</v>
      </c>
      <c r="AE1" s="57" t="s">
        <v>622</v>
      </c>
      <c r="AF1" s="57" t="s">
        <v>623</v>
      </c>
      <c r="AG1" s="57" t="s">
        <v>624</v>
      </c>
      <c r="AH1" s="57" t="s">
        <v>625</v>
      </c>
      <c r="AI1" s="57" t="s">
        <v>626</v>
      </c>
      <c r="AJ1" s="57" t="s">
        <v>627</v>
      </c>
      <c r="AK1" s="57" t="s">
        <v>628</v>
      </c>
      <c r="AL1" s="57" t="s">
        <v>629</v>
      </c>
      <c r="AM1" s="57" t="s">
        <v>630</v>
      </c>
      <c r="AN1" s="57" t="s">
        <v>631</v>
      </c>
      <c r="AO1" s="57" t="s">
        <v>632</v>
      </c>
      <c r="AP1" s="57" t="s">
        <v>633</v>
      </c>
      <c r="AQ1" s="57" t="s">
        <v>634</v>
      </c>
      <c r="AR1" s="57" t="s">
        <v>635</v>
      </c>
      <c r="AS1" s="57" t="s">
        <v>636</v>
      </c>
      <c r="AT1" s="57" t="s">
        <v>637</v>
      </c>
      <c r="AU1" s="57" t="s">
        <v>638</v>
      </c>
      <c r="AV1" s="57" t="s">
        <v>639</v>
      </c>
      <c r="AW1" s="57" t="s">
        <v>640</v>
      </c>
      <c r="AX1" s="58">
        <v>42248.0</v>
      </c>
      <c r="AY1" s="59" t="s">
        <v>641</v>
      </c>
      <c r="AZ1" s="59" t="s">
        <v>642</v>
      </c>
      <c r="BA1" s="59" t="s">
        <v>643</v>
      </c>
      <c r="BB1" s="58">
        <v>42370.0</v>
      </c>
      <c r="BC1" s="59" t="s">
        <v>644</v>
      </c>
      <c r="BD1" s="60" t="s">
        <v>645</v>
      </c>
      <c r="BE1" s="60" t="s">
        <v>646</v>
      </c>
      <c r="BF1" s="61" t="s">
        <v>647</v>
      </c>
      <c r="BG1" s="59" t="s">
        <v>648</v>
      </c>
      <c r="BH1" s="59" t="s">
        <v>649</v>
      </c>
      <c r="BI1" s="59" t="s">
        <v>650</v>
      </c>
      <c r="BJ1" s="59" t="s">
        <v>651</v>
      </c>
      <c r="BK1" s="59" t="s">
        <v>641</v>
      </c>
      <c r="BL1" s="59" t="s">
        <v>642</v>
      </c>
      <c r="BM1" s="59" t="s">
        <v>643</v>
      </c>
      <c r="BN1" s="58">
        <v>42736.0</v>
      </c>
      <c r="BO1" s="59" t="s">
        <v>644</v>
      </c>
      <c r="BP1" s="59" t="s">
        <v>645</v>
      </c>
      <c r="BQ1" s="61" t="s">
        <v>646</v>
      </c>
      <c r="BR1" s="59" t="s">
        <v>647</v>
      </c>
      <c r="BS1" s="59" t="s">
        <v>648</v>
      </c>
      <c r="BT1" s="59" t="s">
        <v>649</v>
      </c>
      <c r="BU1" s="59" t="s">
        <v>650</v>
      </c>
      <c r="BV1" s="59" t="s">
        <v>651</v>
      </c>
      <c r="BW1" s="59" t="s">
        <v>641</v>
      </c>
      <c r="BX1" s="59" t="s">
        <v>642</v>
      </c>
      <c r="BY1" s="59" t="s">
        <v>643</v>
      </c>
      <c r="BZ1" s="58">
        <v>43101.0</v>
      </c>
      <c r="CA1" s="59" t="s">
        <v>644</v>
      </c>
      <c r="CB1" s="59" t="s">
        <v>645</v>
      </c>
      <c r="CC1" s="59" t="s">
        <v>646</v>
      </c>
      <c r="CD1" s="59" t="s">
        <v>647</v>
      </c>
      <c r="CE1" s="59" t="s">
        <v>648</v>
      </c>
      <c r="CF1" s="59" t="s">
        <v>649</v>
      </c>
      <c r="CG1" s="59" t="s">
        <v>650</v>
      </c>
      <c r="CH1" s="59" t="s">
        <v>651</v>
      </c>
      <c r="CI1" s="59" t="s">
        <v>641</v>
      </c>
      <c r="CJ1" s="59" t="s">
        <v>642</v>
      </c>
      <c r="CK1" s="59" t="s">
        <v>643</v>
      </c>
      <c r="CL1" s="58">
        <v>43466.0</v>
      </c>
      <c r="CM1" s="59" t="s">
        <v>644</v>
      </c>
      <c r="CN1" s="59" t="s">
        <v>645</v>
      </c>
      <c r="CO1" s="60" t="s">
        <v>646</v>
      </c>
      <c r="CP1" s="61" t="s">
        <v>647</v>
      </c>
      <c r="CQ1" s="59" t="s">
        <v>648</v>
      </c>
      <c r="CR1" s="59" t="s">
        <v>649</v>
      </c>
      <c r="CS1" s="59" t="s">
        <v>650</v>
      </c>
      <c r="CT1" s="59" t="s">
        <v>651</v>
      </c>
      <c r="CU1" s="59" t="s">
        <v>641</v>
      </c>
      <c r="CV1" s="59" t="s">
        <v>642</v>
      </c>
      <c r="CW1" s="59" t="s">
        <v>643</v>
      </c>
      <c r="CX1" s="58">
        <v>43831.0</v>
      </c>
      <c r="CY1" s="59" t="s">
        <v>644</v>
      </c>
      <c r="CZ1" s="60" t="s">
        <v>645</v>
      </c>
      <c r="DA1" s="62" t="s">
        <v>646</v>
      </c>
      <c r="DB1" s="61" t="s">
        <v>647</v>
      </c>
      <c r="DC1" s="59" t="s">
        <v>648</v>
      </c>
      <c r="DD1" s="59" t="s">
        <v>649</v>
      </c>
      <c r="DE1" s="59" t="s">
        <v>650</v>
      </c>
      <c r="DF1" s="59" t="s">
        <v>651</v>
      </c>
      <c r="DG1" s="59" t="s">
        <v>641</v>
      </c>
      <c r="DH1" s="59" t="s">
        <v>642</v>
      </c>
      <c r="DI1" s="59" t="s">
        <v>643</v>
      </c>
      <c r="DJ1" s="58">
        <v>44197.0</v>
      </c>
      <c r="DK1" s="59" t="s">
        <v>644</v>
      </c>
      <c r="DL1" s="59" t="s">
        <v>645</v>
      </c>
      <c r="DM1" s="61" t="s">
        <v>646</v>
      </c>
      <c r="DN1" s="59" t="s">
        <v>647</v>
      </c>
      <c r="DO1" s="59" t="s">
        <v>648</v>
      </c>
      <c r="DP1" s="59" t="s">
        <v>649</v>
      </c>
      <c r="DQ1" s="59" t="s">
        <v>650</v>
      </c>
      <c r="DR1" s="59" t="s">
        <v>651</v>
      </c>
      <c r="DS1" s="59" t="s">
        <v>641</v>
      </c>
      <c r="DT1" s="59" t="s">
        <v>642</v>
      </c>
      <c r="DU1" s="59" t="s">
        <v>643</v>
      </c>
      <c r="DV1" s="58">
        <v>44562.0</v>
      </c>
      <c r="DW1" s="59" t="s">
        <v>644</v>
      </c>
      <c r="DX1" s="59" t="s">
        <v>645</v>
      </c>
      <c r="DY1" s="60" t="s">
        <v>646</v>
      </c>
      <c r="DZ1" s="61" t="s">
        <v>647</v>
      </c>
      <c r="EA1" s="59" t="s">
        <v>648</v>
      </c>
      <c r="EB1" s="59" t="s">
        <v>649</v>
      </c>
      <c r="EC1" s="59" t="s">
        <v>650</v>
      </c>
      <c r="ED1" s="59" t="s">
        <v>651</v>
      </c>
      <c r="EE1" s="59" t="s">
        <v>641</v>
      </c>
      <c r="EF1" s="59" t="s">
        <v>642</v>
      </c>
      <c r="EG1" s="59" t="s">
        <v>643</v>
      </c>
      <c r="EH1" s="58">
        <v>44927.0</v>
      </c>
      <c r="EI1" s="59" t="s">
        <v>644</v>
      </c>
      <c r="EJ1" s="59" t="s">
        <v>645</v>
      </c>
      <c r="EK1" s="60" t="s">
        <v>646</v>
      </c>
      <c r="EL1" s="61" t="s">
        <v>647</v>
      </c>
      <c r="EM1" s="59" t="s">
        <v>648</v>
      </c>
      <c r="EN1" s="59" t="s">
        <v>649</v>
      </c>
      <c r="EO1" s="59" t="s">
        <v>650</v>
      </c>
      <c r="EP1" s="59" t="s">
        <v>651</v>
      </c>
      <c r="EQ1" s="59" t="s">
        <v>641</v>
      </c>
      <c r="ER1" s="59" t="s">
        <v>642</v>
      </c>
      <c r="ES1" s="59" t="s">
        <v>643</v>
      </c>
      <c r="ET1" s="58">
        <v>45292.0</v>
      </c>
      <c r="EU1" s="61" t="s">
        <v>644</v>
      </c>
      <c r="EV1" s="60" t="s">
        <v>645</v>
      </c>
      <c r="EW1" s="62" t="s">
        <v>646</v>
      </c>
      <c r="EX1" s="61" t="s">
        <v>647</v>
      </c>
      <c r="EY1" s="59" t="s">
        <v>648</v>
      </c>
      <c r="EZ1" s="59" t="s">
        <v>649</v>
      </c>
      <c r="FA1" s="59" t="s">
        <v>650</v>
      </c>
      <c r="FB1" s="59" t="s">
        <v>651</v>
      </c>
      <c r="FC1" s="59" t="s">
        <v>641</v>
      </c>
      <c r="FD1" s="59" t="s">
        <v>642</v>
      </c>
      <c r="FE1" s="59" t="s">
        <v>643</v>
      </c>
      <c r="FF1" s="58">
        <v>45658.0</v>
      </c>
      <c r="FG1" s="59" t="s">
        <v>644</v>
      </c>
      <c r="FH1" s="59" t="s">
        <v>645</v>
      </c>
      <c r="FI1" s="59" t="s">
        <v>646</v>
      </c>
      <c r="FJ1" s="59" t="s">
        <v>647</v>
      </c>
      <c r="FK1" s="59" t="s">
        <v>648</v>
      </c>
      <c r="FL1" s="59" t="s">
        <v>649</v>
      </c>
      <c r="FM1" s="59" t="s">
        <v>650</v>
      </c>
      <c r="FN1" s="59" t="s">
        <v>651</v>
      </c>
      <c r="FO1" s="59" t="s">
        <v>641</v>
      </c>
      <c r="FP1" s="59" t="s">
        <v>642</v>
      </c>
      <c r="FQ1" s="59" t="s">
        <v>643</v>
      </c>
    </row>
    <row r="2" ht="15.0" hidden="1" customHeight="1">
      <c r="A2" s="1" t="s">
        <v>652</v>
      </c>
      <c r="B2" s="63">
        <v>2020.0</v>
      </c>
      <c r="C2" s="63">
        <v>1.0</v>
      </c>
      <c r="D2" s="63" t="str">
        <f>IFERROR(__xludf.DUMMYFUNCTION("if(regexmatch(E2,""Recycled""),""No"",""Yes"")"),"No")</f>
        <v>No</v>
      </c>
      <c r="E2" s="63" t="s">
        <v>653</v>
      </c>
      <c r="F2" s="63" t="s">
        <v>654</v>
      </c>
      <c r="G2" s="1" t="s">
        <v>655</v>
      </c>
      <c r="H2" s="1"/>
      <c r="I2" s="63" t="s">
        <v>656</v>
      </c>
      <c r="J2" s="17" t="s">
        <v>657</v>
      </c>
      <c r="L2" s="64">
        <f t="shared" ref="L2:L23" si="1">SUM(M2:AW2)</f>
        <v>4</v>
      </c>
      <c r="AC2" s="17"/>
      <c r="AD2" s="17"/>
      <c r="AE2" s="17">
        <v>1.0</v>
      </c>
      <c r="AI2" s="17">
        <v>1.0</v>
      </c>
      <c r="AN2" s="17"/>
      <c r="AO2" s="17">
        <v>1.0</v>
      </c>
      <c r="AP2" s="17">
        <v>1.0</v>
      </c>
    </row>
    <row r="3" ht="15.75" hidden="1" customHeight="1">
      <c r="A3" s="1" t="s">
        <v>658</v>
      </c>
      <c r="B3" s="63">
        <v>2017.0</v>
      </c>
      <c r="C3" s="63">
        <v>1.0</v>
      </c>
      <c r="D3" s="63" t="str">
        <f>IFERROR(__xludf.DUMMYFUNCTION("if(regexmatch(E3,""Recycled""),""No"",""Yes"")"),"No")</f>
        <v>No</v>
      </c>
      <c r="E3" s="63" t="s">
        <v>659</v>
      </c>
      <c r="F3" s="63" t="s">
        <v>660</v>
      </c>
      <c r="G3" s="1" t="s">
        <v>661</v>
      </c>
      <c r="H3" s="1"/>
      <c r="I3" s="63"/>
      <c r="L3" s="64">
        <f t="shared" si="1"/>
        <v>0</v>
      </c>
      <c r="BS3" s="65" t="s">
        <v>7</v>
      </c>
    </row>
    <row r="4" ht="16.5" customHeight="1">
      <c r="A4" s="1" t="s">
        <v>662</v>
      </c>
      <c r="B4" s="63">
        <v>2019.0</v>
      </c>
      <c r="C4" s="63">
        <v>1.0</v>
      </c>
      <c r="D4" s="63" t="str">
        <f>IFERROR(__xludf.DUMMYFUNCTION("if(regexmatch(E4,""Recycled""),""No"",""Yes"")"),"Yes")</f>
        <v>Yes</v>
      </c>
      <c r="E4" s="63" t="s">
        <v>18</v>
      </c>
      <c r="F4" s="63" t="s">
        <v>660</v>
      </c>
      <c r="G4" s="1" t="s">
        <v>100</v>
      </c>
      <c r="H4" s="1"/>
      <c r="I4" s="63" t="s">
        <v>663</v>
      </c>
      <c r="J4" s="17"/>
      <c r="K4" s="17"/>
      <c r="L4" s="64">
        <f t="shared" si="1"/>
        <v>0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6" t="s">
        <v>664</v>
      </c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5" t="s">
        <v>665</v>
      </c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</row>
    <row r="5" ht="16.5" hidden="1" customHeight="1">
      <c r="A5" s="1" t="s">
        <v>666</v>
      </c>
      <c r="B5" s="63">
        <v>2020.0</v>
      </c>
      <c r="C5" s="63">
        <v>1.0</v>
      </c>
      <c r="D5" s="63" t="str">
        <f>IFERROR(__xludf.DUMMYFUNCTION("if(regexmatch(E5,""Recycled""),""No"",""Yes"")"),"No")</f>
        <v>No</v>
      </c>
      <c r="E5" s="63" t="s">
        <v>653</v>
      </c>
      <c r="F5" s="63" t="s">
        <v>654</v>
      </c>
      <c r="G5" s="1" t="s">
        <v>655</v>
      </c>
      <c r="H5" s="1"/>
      <c r="I5" s="67" t="s">
        <v>667</v>
      </c>
      <c r="J5" s="17" t="s">
        <v>668</v>
      </c>
      <c r="L5" s="64">
        <f t="shared" si="1"/>
        <v>4</v>
      </c>
      <c r="AC5" s="17"/>
      <c r="AD5" s="17"/>
      <c r="AE5" s="17">
        <v>1.0</v>
      </c>
      <c r="AI5" s="17">
        <v>1.0</v>
      </c>
      <c r="AN5" s="17"/>
      <c r="AO5" s="17">
        <v>1.0</v>
      </c>
      <c r="AP5" s="17">
        <v>1.0</v>
      </c>
      <c r="CZ5" s="66" t="s">
        <v>669</v>
      </c>
      <c r="DA5" s="66" t="s">
        <v>669</v>
      </c>
      <c r="DB5" s="66" t="s">
        <v>669</v>
      </c>
    </row>
    <row r="6" ht="16.5" hidden="1" customHeight="1">
      <c r="A6" s="1" t="s">
        <v>670</v>
      </c>
      <c r="B6" s="63">
        <v>2021.0</v>
      </c>
      <c r="C6" s="63">
        <v>1.0</v>
      </c>
      <c r="D6" s="63" t="str">
        <f>IFERROR(__xludf.DUMMYFUNCTION("if(regexmatch(E6,""Recycled""),""No"",""Yes"")"),"No")</f>
        <v>No</v>
      </c>
      <c r="E6" s="63" t="s">
        <v>653</v>
      </c>
      <c r="F6" s="63" t="s">
        <v>654</v>
      </c>
      <c r="G6" s="1" t="s">
        <v>655</v>
      </c>
      <c r="H6" s="1"/>
      <c r="I6" s="68" t="s">
        <v>671</v>
      </c>
      <c r="J6" s="17"/>
      <c r="L6" s="64">
        <f t="shared" si="1"/>
        <v>5</v>
      </c>
      <c r="M6" s="17">
        <v>1.0</v>
      </c>
      <c r="AC6" s="17"/>
      <c r="AD6" s="17"/>
      <c r="AE6" s="17">
        <v>1.0</v>
      </c>
      <c r="AI6" s="17">
        <v>1.0</v>
      </c>
      <c r="AO6" s="17">
        <v>1.0</v>
      </c>
      <c r="AP6" s="17">
        <v>1.0</v>
      </c>
      <c r="DO6" s="65" t="s">
        <v>672</v>
      </c>
      <c r="DR6" s="66" t="s">
        <v>664</v>
      </c>
      <c r="DU6" s="66" t="s">
        <v>664</v>
      </c>
      <c r="DX6" s="66" t="s">
        <v>664</v>
      </c>
      <c r="EA6" s="65" t="s">
        <v>673</v>
      </c>
    </row>
    <row r="7" ht="16.5" hidden="1" customHeight="1">
      <c r="A7" s="1" t="s">
        <v>674</v>
      </c>
      <c r="B7" s="63">
        <v>2017.0</v>
      </c>
      <c r="C7" s="63">
        <v>1.0</v>
      </c>
      <c r="D7" s="63" t="str">
        <f>IFERROR(__xludf.DUMMYFUNCTION("if(regexmatch(E7,""Recycled""),""No"",""Yes"")"),"No")</f>
        <v>No</v>
      </c>
      <c r="E7" s="63" t="s">
        <v>653</v>
      </c>
      <c r="F7" s="63" t="s">
        <v>660</v>
      </c>
      <c r="G7" s="1" t="s">
        <v>655</v>
      </c>
      <c r="H7" s="1"/>
      <c r="I7" s="63" t="s">
        <v>675</v>
      </c>
      <c r="J7" s="17" t="s">
        <v>668</v>
      </c>
      <c r="L7" s="64">
        <f t="shared" si="1"/>
        <v>1</v>
      </c>
      <c r="AC7" s="17"/>
      <c r="AD7" s="17"/>
      <c r="AE7" s="17">
        <v>1.0</v>
      </c>
      <c r="CD7" s="66" t="s">
        <v>664</v>
      </c>
      <c r="CF7" s="66" t="s">
        <v>22</v>
      </c>
      <c r="CI7" s="66" t="s">
        <v>664</v>
      </c>
      <c r="CN7" s="66" t="s">
        <v>664</v>
      </c>
      <c r="CY7" s="66" t="s">
        <v>664</v>
      </c>
      <c r="DP7" s="66" t="s">
        <v>676</v>
      </c>
    </row>
    <row r="8" ht="16.5" hidden="1" customHeight="1">
      <c r="A8" s="1" t="s">
        <v>677</v>
      </c>
      <c r="B8" s="63">
        <v>2019.0</v>
      </c>
      <c r="C8" s="63">
        <v>1.0</v>
      </c>
      <c r="D8" s="63" t="str">
        <f>IFERROR(__xludf.DUMMYFUNCTION("if(regexmatch(E8,""Recycled""),""No"",""Yes"")"),"No")</f>
        <v>No</v>
      </c>
      <c r="E8" s="63" t="s">
        <v>653</v>
      </c>
      <c r="F8" s="63" t="s">
        <v>660</v>
      </c>
      <c r="G8" s="1" t="s">
        <v>655</v>
      </c>
      <c r="H8" s="1"/>
      <c r="I8" s="63" t="s">
        <v>675</v>
      </c>
      <c r="J8" s="17" t="s">
        <v>668</v>
      </c>
      <c r="L8" s="64">
        <f t="shared" si="1"/>
        <v>4</v>
      </c>
      <c r="M8" s="17">
        <v>1.0</v>
      </c>
      <c r="AC8" s="17"/>
      <c r="AD8" s="17"/>
      <c r="AE8" s="17">
        <v>1.0</v>
      </c>
      <c r="AN8" s="17"/>
      <c r="AO8" s="17">
        <v>1.0</v>
      </c>
      <c r="AP8" s="17">
        <v>1.0</v>
      </c>
      <c r="CY8" s="66" t="s">
        <v>676</v>
      </c>
      <c r="DB8" s="66" t="s">
        <v>676</v>
      </c>
      <c r="DO8" s="66" t="s">
        <v>676</v>
      </c>
    </row>
    <row r="9" ht="16.5" hidden="1" customHeight="1">
      <c r="A9" s="1" t="s">
        <v>678</v>
      </c>
      <c r="B9" s="63">
        <v>2018.0</v>
      </c>
      <c r="C9" s="63">
        <v>1.0</v>
      </c>
      <c r="D9" s="63" t="str">
        <f>IFERROR(__xludf.DUMMYFUNCTION("if(regexmatch(E9,""Recycled""),""No"",""Yes"")"),"No")</f>
        <v>No</v>
      </c>
      <c r="E9" s="63" t="s">
        <v>653</v>
      </c>
      <c r="F9" s="63" t="s">
        <v>660</v>
      </c>
      <c r="G9" s="1" t="s">
        <v>655</v>
      </c>
      <c r="H9" s="1"/>
      <c r="I9" s="63" t="s">
        <v>675</v>
      </c>
      <c r="J9" s="17" t="s">
        <v>668</v>
      </c>
      <c r="L9" s="64">
        <f t="shared" si="1"/>
        <v>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>
        <v>1.0</v>
      </c>
      <c r="CD9" s="66" t="s">
        <v>664</v>
      </c>
      <c r="CF9" s="66" t="s">
        <v>22</v>
      </c>
      <c r="CJ9" s="66" t="s">
        <v>22</v>
      </c>
      <c r="CK9" s="66" t="s">
        <v>22</v>
      </c>
      <c r="CN9" s="66" t="s">
        <v>664</v>
      </c>
      <c r="CY9" s="66" t="s">
        <v>664</v>
      </c>
      <c r="DP9" s="66" t="s">
        <v>676</v>
      </c>
    </row>
    <row r="10" ht="16.5" hidden="1" customHeight="1">
      <c r="A10" s="1" t="s">
        <v>679</v>
      </c>
      <c r="B10" s="63">
        <v>2018.0</v>
      </c>
      <c r="C10" s="63">
        <v>1.0</v>
      </c>
      <c r="D10" s="63" t="str">
        <f>IFERROR(__xludf.DUMMYFUNCTION("if(regexmatch(E10,""Recycled""),""No"",""Yes"")"),"No")</f>
        <v>No</v>
      </c>
      <c r="E10" s="63" t="s">
        <v>653</v>
      </c>
      <c r="F10" s="63" t="s">
        <v>660</v>
      </c>
      <c r="G10" s="1" t="s">
        <v>655</v>
      </c>
      <c r="H10" s="1"/>
      <c r="I10" s="68" t="s">
        <v>675</v>
      </c>
      <c r="L10" s="64">
        <f t="shared" si="1"/>
        <v>1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>
        <v>1.0</v>
      </c>
      <c r="BV10" s="65" t="s">
        <v>680</v>
      </c>
      <c r="CB10" s="65" t="s">
        <v>680</v>
      </c>
      <c r="CI10" s="65" t="s">
        <v>681</v>
      </c>
    </row>
    <row r="11" ht="16.5" hidden="1" customHeight="1">
      <c r="A11" s="1" t="s">
        <v>682</v>
      </c>
      <c r="B11" s="63">
        <v>2019.0</v>
      </c>
      <c r="C11" s="63">
        <v>1.0</v>
      </c>
      <c r="D11" s="63" t="str">
        <f>IFERROR(__xludf.DUMMYFUNCTION("if(regexmatch(E11,""Recycled""),""No"",""Yes"")"),"No")</f>
        <v>No</v>
      </c>
      <c r="E11" s="63" t="s">
        <v>653</v>
      </c>
      <c r="F11" s="63" t="s">
        <v>660</v>
      </c>
      <c r="G11" s="1" t="s">
        <v>655</v>
      </c>
      <c r="H11" s="1"/>
      <c r="I11" s="68" t="s">
        <v>675</v>
      </c>
      <c r="L11" s="64">
        <f t="shared" si="1"/>
        <v>4</v>
      </c>
      <c r="M11" s="17">
        <v>1.0</v>
      </c>
      <c r="AC11" s="17"/>
      <c r="AD11" s="17"/>
      <c r="AE11" s="17">
        <v>1.0</v>
      </c>
      <c r="AN11" s="17"/>
      <c r="AO11" s="17">
        <v>1.0</v>
      </c>
      <c r="AP11" s="17">
        <v>1.0</v>
      </c>
      <c r="CU11" s="65" t="s">
        <v>7</v>
      </c>
      <c r="CY11" s="65" t="s">
        <v>683</v>
      </c>
      <c r="DB11" s="65" t="s">
        <v>683</v>
      </c>
      <c r="DG11" s="65" t="s">
        <v>683</v>
      </c>
    </row>
    <row r="12" ht="16.5" hidden="1" customHeight="1">
      <c r="A12" s="1" t="s">
        <v>684</v>
      </c>
      <c r="B12" s="63">
        <v>2021.0</v>
      </c>
      <c r="C12" s="63">
        <v>1.0</v>
      </c>
      <c r="D12" s="63" t="str">
        <f>IFERROR(__xludf.DUMMYFUNCTION("if(regexmatch(E12,""Recycled""),""No"",""Yes"")"),"No")</f>
        <v>No</v>
      </c>
      <c r="E12" s="63" t="s">
        <v>653</v>
      </c>
      <c r="F12" s="63" t="s">
        <v>660</v>
      </c>
      <c r="G12" s="1" t="s">
        <v>655</v>
      </c>
      <c r="H12" s="1"/>
      <c r="I12" s="63" t="s">
        <v>675</v>
      </c>
      <c r="J12" s="17"/>
      <c r="K12" s="17"/>
      <c r="L12" s="64">
        <f t="shared" si="1"/>
        <v>8</v>
      </c>
      <c r="M12" s="17">
        <v>1.0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>
        <v>1.0</v>
      </c>
      <c r="AF12" s="17"/>
      <c r="AG12" s="17"/>
      <c r="AH12" s="17"/>
      <c r="AI12" s="17">
        <v>1.0</v>
      </c>
      <c r="AJ12" s="17"/>
      <c r="AK12" s="17"/>
      <c r="AL12" s="17"/>
      <c r="AM12" s="17">
        <v>1.0</v>
      </c>
      <c r="AN12" s="17">
        <v>1.0</v>
      </c>
      <c r="AO12" s="17">
        <v>1.0</v>
      </c>
      <c r="AP12" s="17">
        <v>1.0</v>
      </c>
      <c r="AW12" s="17">
        <v>1.0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5" t="s">
        <v>685</v>
      </c>
      <c r="DO12" s="6"/>
      <c r="DP12" s="6"/>
      <c r="DQ12" s="65" t="s">
        <v>685</v>
      </c>
      <c r="DR12" s="6"/>
      <c r="DS12" s="6"/>
      <c r="DT12" s="65" t="s">
        <v>685</v>
      </c>
      <c r="DU12" s="6"/>
      <c r="DV12" s="6"/>
      <c r="DW12" s="6"/>
      <c r="DX12" s="65" t="s">
        <v>685</v>
      </c>
      <c r="DY12" s="6"/>
      <c r="DZ12" s="66" t="s">
        <v>686</v>
      </c>
      <c r="EA12" s="6"/>
      <c r="EB12" s="6"/>
      <c r="EC12" s="6"/>
      <c r="ED12" s="6"/>
      <c r="EE12" s="66" t="s">
        <v>686</v>
      </c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</row>
    <row r="13" ht="16.5" customHeight="1">
      <c r="A13" s="1" t="s">
        <v>687</v>
      </c>
      <c r="B13" s="63">
        <v>2024.0</v>
      </c>
      <c r="C13" s="63">
        <v>1.0</v>
      </c>
      <c r="D13" s="63" t="str">
        <f>IFERROR(__xludf.DUMMYFUNCTION("if(regexmatch(E13,""Recycled""),""No"",""Yes"")"),"Yes")</f>
        <v>Yes</v>
      </c>
      <c r="E13" s="63" t="s">
        <v>18</v>
      </c>
      <c r="F13" s="63" t="s">
        <v>660</v>
      </c>
      <c r="G13" s="1" t="s">
        <v>655</v>
      </c>
      <c r="H13" s="2"/>
      <c r="I13" s="63" t="s">
        <v>675</v>
      </c>
      <c r="J13" s="18"/>
      <c r="K13" s="6"/>
      <c r="L13" s="64">
        <f t="shared" si="1"/>
        <v>10</v>
      </c>
      <c r="M13" s="18">
        <v>1.0</v>
      </c>
      <c r="N13" s="6"/>
      <c r="O13" s="6"/>
      <c r="P13" s="6"/>
      <c r="Q13" s="6"/>
      <c r="R13" s="18">
        <v>1.0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8">
        <v>1.0</v>
      </c>
      <c r="AF13" s="6"/>
      <c r="AG13" s="6"/>
      <c r="AH13" s="6"/>
      <c r="AI13" s="18">
        <v>1.0</v>
      </c>
      <c r="AJ13" s="6"/>
      <c r="AK13" s="6"/>
      <c r="AL13" s="6"/>
      <c r="AM13" s="18">
        <v>1.0</v>
      </c>
      <c r="AN13" s="18">
        <v>1.0</v>
      </c>
      <c r="AO13" s="18">
        <v>1.0</v>
      </c>
      <c r="AP13" s="18">
        <v>1.0</v>
      </c>
      <c r="AQ13" s="6"/>
      <c r="AR13" s="6"/>
      <c r="AS13" s="6"/>
      <c r="AT13" s="6"/>
      <c r="AU13" s="6"/>
      <c r="AV13" s="18">
        <v>1.0</v>
      </c>
      <c r="AW13" s="18">
        <v>1.0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7" t="s">
        <v>688</v>
      </c>
      <c r="EU13" s="6"/>
      <c r="EV13" s="68" t="s">
        <v>689</v>
      </c>
      <c r="EW13" s="6"/>
      <c r="EX13" s="68" t="s">
        <v>664</v>
      </c>
      <c r="EY13" s="6"/>
      <c r="EZ13" s="68" t="s">
        <v>664</v>
      </c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</row>
    <row r="14" ht="16.5" hidden="1" customHeight="1">
      <c r="A14" s="1" t="s">
        <v>690</v>
      </c>
      <c r="B14" s="63">
        <v>2024.0</v>
      </c>
      <c r="C14" s="63">
        <v>1.0</v>
      </c>
      <c r="D14" s="63" t="str">
        <f>IFERROR(__xludf.DUMMYFUNCTION("if(regexmatch(E14,""Recycled""),""No"",""Yes"")"),"No")</f>
        <v>No</v>
      </c>
      <c r="E14" s="63" t="s">
        <v>653</v>
      </c>
      <c r="F14" s="63" t="s">
        <v>660</v>
      </c>
      <c r="G14" s="1" t="s">
        <v>655</v>
      </c>
      <c r="H14" s="2"/>
      <c r="I14" s="69"/>
      <c r="J14" s="18"/>
      <c r="K14" s="6"/>
      <c r="L14" s="64">
        <f t="shared" si="1"/>
        <v>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18">
        <v>1.0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8" t="s">
        <v>664</v>
      </c>
      <c r="EV14" s="68" t="s">
        <v>664</v>
      </c>
      <c r="EW14" s="6"/>
      <c r="EX14" s="68" t="s">
        <v>664</v>
      </c>
      <c r="EY14" s="6"/>
      <c r="EZ14" s="68" t="s">
        <v>664</v>
      </c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</row>
    <row r="15" ht="16.5" hidden="1" customHeight="1">
      <c r="A15" s="1" t="s">
        <v>691</v>
      </c>
      <c r="B15" s="63">
        <v>2019.0</v>
      </c>
      <c r="C15" s="63">
        <v>1.0</v>
      </c>
      <c r="D15" s="63" t="str">
        <f>IFERROR(__xludf.DUMMYFUNCTION("if(regexmatch(E15,""Recycled""),""No"",""Yes"")"),"No")</f>
        <v>No</v>
      </c>
      <c r="E15" s="63" t="s">
        <v>653</v>
      </c>
      <c r="F15" s="63" t="s">
        <v>654</v>
      </c>
      <c r="G15" s="1" t="s">
        <v>655</v>
      </c>
      <c r="H15" s="1"/>
      <c r="I15" s="68" t="s">
        <v>692</v>
      </c>
      <c r="J15" s="17"/>
      <c r="K15" s="17" t="s">
        <v>693</v>
      </c>
      <c r="L15" s="64">
        <f t="shared" si="1"/>
        <v>4</v>
      </c>
      <c r="M15" s="17">
        <v>1.0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>
        <v>1.0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>
        <v>1.0</v>
      </c>
      <c r="AP15" s="17">
        <v>1.0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5" t="s">
        <v>694</v>
      </c>
      <c r="CT15" s="6"/>
      <c r="CU15" s="6"/>
      <c r="CV15" s="6"/>
      <c r="CW15" s="6"/>
      <c r="CX15" s="6"/>
      <c r="CY15" s="67" t="s">
        <v>694</v>
      </c>
      <c r="CZ15" s="6"/>
      <c r="DA15" s="6"/>
      <c r="DB15" s="6"/>
      <c r="DC15" s="6"/>
      <c r="DD15" s="6"/>
      <c r="DE15" s="65" t="s">
        <v>694</v>
      </c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</row>
    <row r="16" ht="16.5" hidden="1" customHeight="1">
      <c r="A16" s="1" t="s">
        <v>695</v>
      </c>
      <c r="B16" s="63">
        <v>2019.0</v>
      </c>
      <c r="C16" s="63">
        <v>1.0</v>
      </c>
      <c r="D16" s="63" t="str">
        <f>IFERROR(__xludf.DUMMYFUNCTION("if(regexmatch(E16,""Recycled""),""No"",""Yes"")"),"No")</f>
        <v>No</v>
      </c>
      <c r="E16" s="63" t="s">
        <v>653</v>
      </c>
      <c r="F16" s="63" t="s">
        <v>654</v>
      </c>
      <c r="G16" s="1" t="s">
        <v>655</v>
      </c>
      <c r="H16" s="1"/>
      <c r="I16" s="68" t="s">
        <v>692</v>
      </c>
      <c r="J16" s="17"/>
      <c r="K16" s="17" t="s">
        <v>693</v>
      </c>
      <c r="L16" s="64">
        <f t="shared" si="1"/>
        <v>4</v>
      </c>
      <c r="M16" s="17">
        <v>1.0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>
        <v>1.0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>
        <v>1.0</v>
      </c>
      <c r="AP16" s="17">
        <v>1.0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5" t="s">
        <v>694</v>
      </c>
      <c r="CT16" s="6"/>
      <c r="CU16" s="6"/>
      <c r="CV16" s="6"/>
      <c r="CW16" s="6"/>
      <c r="CX16" s="6"/>
      <c r="CY16" s="67" t="s">
        <v>694</v>
      </c>
      <c r="CZ16" s="6"/>
      <c r="DA16" s="6"/>
      <c r="DB16" s="6"/>
      <c r="DC16" s="6"/>
      <c r="DD16" s="6"/>
      <c r="DE16" s="65" t="s">
        <v>694</v>
      </c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</row>
    <row r="17" ht="16.5" hidden="1" customHeight="1">
      <c r="A17" s="1" t="s">
        <v>695</v>
      </c>
      <c r="B17" s="63">
        <v>2020.0</v>
      </c>
      <c r="C17" s="63">
        <v>2.0</v>
      </c>
      <c r="D17" s="63" t="str">
        <f>IFERROR(__xludf.DUMMYFUNCTION("if(regexmatch(E17,""Recycled""),""No"",""Yes"")"),"No")</f>
        <v>No</v>
      </c>
      <c r="E17" s="63" t="s">
        <v>696</v>
      </c>
      <c r="F17" s="63" t="s">
        <v>654</v>
      </c>
      <c r="G17" s="1"/>
      <c r="H17" s="1"/>
      <c r="I17" s="63"/>
      <c r="J17" s="17"/>
      <c r="K17" s="17"/>
      <c r="L17" s="64">
        <f t="shared" si="1"/>
        <v>4</v>
      </c>
      <c r="M17" s="17">
        <v>1.0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>
        <v>1.0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>
        <v>1.0</v>
      </c>
      <c r="AP17" s="17">
        <v>1.0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</row>
    <row r="18" ht="16.5" hidden="1" customHeight="1">
      <c r="A18" s="1" t="s">
        <v>697</v>
      </c>
      <c r="B18" s="63">
        <v>2019.0</v>
      </c>
      <c r="C18" s="63">
        <v>1.0</v>
      </c>
      <c r="D18" s="63" t="str">
        <f>IFERROR(__xludf.DUMMYFUNCTION("if(regexmatch(E18,""Recycled""),""No"",""Yes"")"),"No")</f>
        <v>No</v>
      </c>
      <c r="E18" s="63" t="s">
        <v>653</v>
      </c>
      <c r="F18" s="63" t="s">
        <v>654</v>
      </c>
      <c r="G18" s="1" t="s">
        <v>655</v>
      </c>
      <c r="H18" s="1"/>
      <c r="I18" s="68" t="s">
        <v>692</v>
      </c>
      <c r="J18" s="17"/>
      <c r="K18" s="17" t="s">
        <v>693</v>
      </c>
      <c r="L18" s="64">
        <f t="shared" si="1"/>
        <v>4</v>
      </c>
      <c r="M18" s="17">
        <v>1.0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>
        <v>1.0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>
        <v>1.0</v>
      </c>
      <c r="AP18" s="17">
        <v>1.0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5" t="s">
        <v>694</v>
      </c>
      <c r="CT18" s="6"/>
      <c r="CU18" s="6"/>
      <c r="CV18" s="6"/>
      <c r="CW18" s="6"/>
      <c r="CX18" s="6"/>
      <c r="CY18" s="67" t="s">
        <v>694</v>
      </c>
      <c r="CZ18" s="6"/>
      <c r="DA18" s="6"/>
      <c r="DB18" s="6"/>
      <c r="DC18" s="6"/>
      <c r="DD18" s="6"/>
      <c r="DE18" s="65" t="s">
        <v>694</v>
      </c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</row>
    <row r="19" ht="16.5" hidden="1" customHeight="1">
      <c r="A19" s="1" t="s">
        <v>697</v>
      </c>
      <c r="B19" s="63">
        <v>2020.0</v>
      </c>
      <c r="C19" s="63">
        <v>2.0</v>
      </c>
      <c r="D19" s="63" t="str">
        <f>IFERROR(__xludf.DUMMYFUNCTION("if(regexmatch(E19,""Recycled""),""No"",""Yes"")"),"No")</f>
        <v>No</v>
      </c>
      <c r="E19" s="63" t="s">
        <v>696</v>
      </c>
      <c r="F19" s="63" t="s">
        <v>654</v>
      </c>
      <c r="G19" s="1"/>
      <c r="H19" s="2"/>
      <c r="I19" s="63"/>
      <c r="J19" s="17"/>
      <c r="K19" s="17" t="s">
        <v>698</v>
      </c>
      <c r="L19" s="64">
        <f t="shared" si="1"/>
        <v>4</v>
      </c>
      <c r="M19" s="17">
        <v>1.0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>
        <v>1.0</v>
      </c>
      <c r="AF19" s="17"/>
      <c r="AG19" s="17"/>
      <c r="AH19" s="17"/>
      <c r="AI19" s="17"/>
      <c r="AJ19" s="17"/>
      <c r="AK19" s="17"/>
      <c r="AL19" s="17"/>
      <c r="AM19" s="17"/>
      <c r="AN19" s="17"/>
      <c r="AO19" s="17">
        <v>1.0</v>
      </c>
      <c r="AP19" s="17">
        <v>1.0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</row>
    <row r="20" ht="16.5" hidden="1" customHeight="1">
      <c r="A20" s="1" t="s">
        <v>699</v>
      </c>
      <c r="B20" s="63">
        <v>2021.0</v>
      </c>
      <c r="C20" s="63">
        <v>1.0</v>
      </c>
      <c r="D20" s="63" t="str">
        <f>IFERROR(__xludf.DUMMYFUNCTION("if(regexmatch(E20,""Recycled""),""No"",""Yes"")"),"No")</f>
        <v>No</v>
      </c>
      <c r="E20" s="63" t="s">
        <v>653</v>
      </c>
      <c r="F20" s="63" t="s">
        <v>654</v>
      </c>
      <c r="G20" s="1" t="s">
        <v>655</v>
      </c>
      <c r="H20" s="2"/>
      <c r="I20" s="68" t="s">
        <v>692</v>
      </c>
      <c r="J20" s="6"/>
      <c r="K20" s="17" t="s">
        <v>698</v>
      </c>
      <c r="L20" s="64">
        <f t="shared" si="1"/>
        <v>4</v>
      </c>
      <c r="M20" s="18">
        <v>1.0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18"/>
      <c r="AE20" s="18">
        <v>1.0</v>
      </c>
      <c r="AF20" s="6"/>
      <c r="AG20" s="6"/>
      <c r="AH20" s="6"/>
      <c r="AI20" s="6"/>
      <c r="AJ20" s="6"/>
      <c r="AK20" s="6"/>
      <c r="AL20" s="6"/>
      <c r="AM20" s="6"/>
      <c r="AN20" s="6"/>
      <c r="AO20" s="18">
        <v>1.0</v>
      </c>
      <c r="AP20" s="18">
        <v>1.0</v>
      </c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5" t="s">
        <v>700</v>
      </c>
      <c r="DR20" s="6"/>
      <c r="DS20" s="6"/>
      <c r="DT20" s="6"/>
      <c r="DU20" s="6"/>
      <c r="DV20" s="6"/>
      <c r="DW20" s="6"/>
      <c r="DX20" s="65" t="s">
        <v>701</v>
      </c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</row>
    <row r="21" ht="16.5" hidden="1" customHeight="1">
      <c r="A21" s="1" t="s">
        <v>702</v>
      </c>
      <c r="B21" s="63">
        <v>2021.0</v>
      </c>
      <c r="C21" s="63">
        <v>1.0</v>
      </c>
      <c r="D21" s="63" t="str">
        <f>IFERROR(__xludf.DUMMYFUNCTION("if(regexmatch(E21,""Recycled""),""No"",""Yes"")"),"No")</f>
        <v>No</v>
      </c>
      <c r="E21" s="63" t="s">
        <v>653</v>
      </c>
      <c r="F21" s="63" t="s">
        <v>654</v>
      </c>
      <c r="G21" s="1" t="s">
        <v>655</v>
      </c>
      <c r="H21" s="2"/>
      <c r="I21" s="68" t="s">
        <v>692</v>
      </c>
      <c r="J21" s="6"/>
      <c r="K21" s="17" t="s">
        <v>698</v>
      </c>
      <c r="L21" s="64">
        <f t="shared" si="1"/>
        <v>4</v>
      </c>
      <c r="M21" s="18">
        <v>1.0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18"/>
      <c r="AE21" s="18">
        <v>1.0</v>
      </c>
      <c r="AF21" s="6"/>
      <c r="AG21" s="6"/>
      <c r="AH21" s="6"/>
      <c r="AI21" s="6"/>
      <c r="AJ21" s="6"/>
      <c r="AK21" s="6"/>
      <c r="AL21" s="6"/>
      <c r="AM21" s="6"/>
      <c r="AN21" s="6"/>
      <c r="AO21" s="18">
        <v>1.0</v>
      </c>
      <c r="AP21" s="18">
        <v>1.0</v>
      </c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5" t="s">
        <v>700</v>
      </c>
      <c r="DR21" s="6"/>
      <c r="DS21" s="6"/>
      <c r="DT21" s="6"/>
      <c r="DU21" s="6"/>
      <c r="DV21" s="6"/>
      <c r="DW21" s="6"/>
      <c r="DX21" s="65" t="s">
        <v>701</v>
      </c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</row>
    <row r="22" ht="16.5" hidden="1" customHeight="1">
      <c r="A22" s="1" t="s">
        <v>703</v>
      </c>
      <c r="B22" s="63">
        <v>2021.0</v>
      </c>
      <c r="C22" s="63">
        <v>1.0</v>
      </c>
      <c r="D22" s="63" t="str">
        <f>IFERROR(__xludf.DUMMYFUNCTION("if(regexmatch(E22,""Recycled""),""No"",""Yes"")"),"No")</f>
        <v>No</v>
      </c>
      <c r="E22" s="63" t="s">
        <v>653</v>
      </c>
      <c r="F22" s="63" t="s">
        <v>654</v>
      </c>
      <c r="G22" s="1" t="s">
        <v>655</v>
      </c>
      <c r="H22" s="2"/>
      <c r="I22" s="68" t="s">
        <v>692</v>
      </c>
      <c r="J22" s="6"/>
      <c r="K22" s="17" t="s">
        <v>698</v>
      </c>
      <c r="L22" s="64">
        <f t="shared" si="1"/>
        <v>4</v>
      </c>
      <c r="M22" s="18">
        <v>1.0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18"/>
      <c r="AE22" s="18">
        <v>1.0</v>
      </c>
      <c r="AF22" s="6"/>
      <c r="AG22" s="6"/>
      <c r="AH22" s="6"/>
      <c r="AI22" s="6"/>
      <c r="AJ22" s="6"/>
      <c r="AK22" s="6"/>
      <c r="AL22" s="6"/>
      <c r="AM22" s="6"/>
      <c r="AN22" s="6"/>
      <c r="AO22" s="18">
        <v>1.0</v>
      </c>
      <c r="AP22" s="18">
        <v>1.0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5" t="s">
        <v>700</v>
      </c>
      <c r="DR22" s="6"/>
      <c r="DS22" s="6"/>
      <c r="DT22" s="6"/>
      <c r="DU22" s="6"/>
      <c r="DV22" s="6"/>
      <c r="DW22" s="6"/>
      <c r="DX22" s="65" t="s">
        <v>701</v>
      </c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</row>
    <row r="23" ht="16.5" hidden="1" customHeight="1">
      <c r="A23" s="1" t="s">
        <v>704</v>
      </c>
      <c r="B23" s="63">
        <v>2023.0</v>
      </c>
      <c r="C23" s="63">
        <v>1.0</v>
      </c>
      <c r="D23" s="63" t="str">
        <f>IFERROR(__xludf.DUMMYFUNCTION("if(regexmatch(E23,""Recycled""),""No"",""Yes"")"),"No")</f>
        <v>No</v>
      </c>
      <c r="E23" s="63" t="s">
        <v>705</v>
      </c>
      <c r="F23" s="63" t="s">
        <v>654</v>
      </c>
      <c r="G23" s="1" t="s">
        <v>655</v>
      </c>
      <c r="H23" s="2"/>
      <c r="I23" s="63" t="s">
        <v>706</v>
      </c>
      <c r="J23" s="17" t="s">
        <v>707</v>
      </c>
      <c r="L23" s="64">
        <f t="shared" si="1"/>
        <v>4</v>
      </c>
      <c r="M23" s="17">
        <v>1.0</v>
      </c>
      <c r="AE23" s="17">
        <v>1.0</v>
      </c>
      <c r="AO23" s="17">
        <v>1.0</v>
      </c>
      <c r="AP23" s="17">
        <v>1.0</v>
      </c>
      <c r="EO23" s="65" t="s">
        <v>708</v>
      </c>
      <c r="EQ23" s="65" t="s">
        <v>708</v>
      </c>
      <c r="ET23" s="66" t="s">
        <v>708</v>
      </c>
      <c r="EV23" s="66" t="s">
        <v>709</v>
      </c>
      <c r="EX23" s="66" t="s">
        <v>708</v>
      </c>
    </row>
    <row r="24" ht="16.5" customHeight="1">
      <c r="A24" s="1" t="s">
        <v>704</v>
      </c>
      <c r="B24" s="63">
        <v>2024.0</v>
      </c>
      <c r="C24" s="63">
        <v>2.0</v>
      </c>
      <c r="D24" s="63" t="str">
        <f>IFERROR(__xludf.DUMMYFUNCTION("if(regexmatch(E24,""Recycled""),""No"",""Yes"")"),"Yes")</f>
        <v>Yes</v>
      </c>
      <c r="E24" s="63"/>
      <c r="F24" s="63" t="s">
        <v>654</v>
      </c>
      <c r="G24" s="1"/>
      <c r="H24" s="2"/>
      <c r="I24" s="63"/>
      <c r="J24" s="17" t="s">
        <v>710</v>
      </c>
      <c r="L24" s="64"/>
      <c r="M24" s="17"/>
      <c r="AE24" s="17"/>
      <c r="AO24" s="17"/>
      <c r="AP24" s="17"/>
    </row>
    <row r="25" ht="16.5" hidden="1" customHeight="1">
      <c r="A25" s="1" t="s">
        <v>711</v>
      </c>
      <c r="B25" s="63">
        <v>2023.0</v>
      </c>
      <c r="C25" s="63">
        <v>1.0</v>
      </c>
      <c r="D25" s="63" t="str">
        <f>IFERROR(__xludf.DUMMYFUNCTION("if(regexmatch(E25,""Recycled""),""No"",""Yes"")"),"No")</f>
        <v>No</v>
      </c>
      <c r="E25" s="63" t="s">
        <v>705</v>
      </c>
      <c r="F25" s="63" t="s">
        <v>654</v>
      </c>
      <c r="G25" s="1" t="s">
        <v>655</v>
      </c>
      <c r="H25" s="2"/>
      <c r="I25" s="63" t="s">
        <v>706</v>
      </c>
      <c r="J25" s="17" t="s">
        <v>707</v>
      </c>
      <c r="L25" s="64">
        <f>SUM(M25:AW25)</f>
        <v>4</v>
      </c>
      <c r="M25" s="17">
        <v>1.0</v>
      </c>
      <c r="AE25" s="17">
        <v>1.0</v>
      </c>
      <c r="AO25" s="17">
        <v>1.0</v>
      </c>
      <c r="AP25" s="17">
        <v>1.0</v>
      </c>
      <c r="EO25" s="65" t="s">
        <v>708</v>
      </c>
      <c r="EQ25" s="65" t="s">
        <v>708</v>
      </c>
      <c r="ET25" s="66" t="s">
        <v>708</v>
      </c>
      <c r="EV25" s="66" t="s">
        <v>709</v>
      </c>
      <c r="EX25" s="66" t="s">
        <v>708</v>
      </c>
    </row>
    <row r="26" ht="16.5" customHeight="1">
      <c r="A26" s="1" t="s">
        <v>711</v>
      </c>
      <c r="B26" s="63">
        <v>2024.0</v>
      </c>
      <c r="C26" s="63">
        <v>2.0</v>
      </c>
      <c r="D26" s="63" t="str">
        <f>IFERROR(__xludf.DUMMYFUNCTION("if(regexmatch(E26,""Recycled""),""No"",""Yes"")"),"Yes")</f>
        <v>Yes</v>
      </c>
      <c r="E26" s="63"/>
      <c r="F26" s="63" t="s">
        <v>654</v>
      </c>
      <c r="G26" s="1"/>
      <c r="H26" s="2"/>
      <c r="I26" s="63"/>
      <c r="J26" s="17" t="s">
        <v>710</v>
      </c>
      <c r="L26" s="64"/>
      <c r="M26" s="17"/>
      <c r="AE26" s="17"/>
      <c r="AO26" s="17"/>
      <c r="AP26" s="17"/>
    </row>
    <row r="27" ht="16.5" hidden="1" customHeight="1">
      <c r="A27" s="1" t="s">
        <v>712</v>
      </c>
      <c r="B27" s="63">
        <v>2023.0</v>
      </c>
      <c r="C27" s="63">
        <v>1.0</v>
      </c>
      <c r="D27" s="63" t="str">
        <f>IFERROR(__xludf.DUMMYFUNCTION("if(regexmatch(E27,""Recycled""),""No"",""Yes"")"),"No")</f>
        <v>No</v>
      </c>
      <c r="E27" s="63" t="s">
        <v>705</v>
      </c>
      <c r="F27" s="63" t="s">
        <v>654</v>
      </c>
      <c r="G27" s="1" t="s">
        <v>655</v>
      </c>
      <c r="H27" s="2"/>
      <c r="I27" s="63" t="s">
        <v>706</v>
      </c>
      <c r="J27" s="17" t="s">
        <v>707</v>
      </c>
      <c r="L27" s="64">
        <f>SUM(M27:AW27)</f>
        <v>4</v>
      </c>
      <c r="M27" s="17">
        <v>1.0</v>
      </c>
      <c r="AE27" s="17">
        <v>1.0</v>
      </c>
      <c r="AO27" s="17">
        <v>1.0</v>
      </c>
      <c r="AP27" s="17">
        <v>1.0</v>
      </c>
      <c r="EO27" s="65" t="s">
        <v>708</v>
      </c>
      <c r="EQ27" s="65" t="s">
        <v>708</v>
      </c>
      <c r="ET27" s="66" t="s">
        <v>708</v>
      </c>
      <c r="EV27" s="66" t="s">
        <v>709</v>
      </c>
      <c r="EX27" s="66" t="s">
        <v>708</v>
      </c>
    </row>
    <row r="28" ht="16.5" customHeight="1">
      <c r="A28" s="1" t="s">
        <v>712</v>
      </c>
      <c r="B28" s="63">
        <v>2024.0</v>
      </c>
      <c r="C28" s="63">
        <v>2.0</v>
      </c>
      <c r="D28" s="63" t="str">
        <f>IFERROR(__xludf.DUMMYFUNCTION("if(regexmatch(E28,""Recycled""),""No"",""Yes"")"),"Yes")</f>
        <v>Yes</v>
      </c>
      <c r="E28" s="63"/>
      <c r="F28" s="63" t="s">
        <v>654</v>
      </c>
      <c r="G28" s="1"/>
      <c r="H28" s="2"/>
      <c r="I28" s="63"/>
      <c r="J28" s="17" t="s">
        <v>710</v>
      </c>
      <c r="L28" s="64"/>
      <c r="M28" s="17"/>
      <c r="AE28" s="17"/>
      <c r="AO28" s="17"/>
      <c r="AP28" s="17"/>
    </row>
    <row r="29" ht="16.5" hidden="1" customHeight="1">
      <c r="A29" s="1" t="s">
        <v>713</v>
      </c>
      <c r="B29" s="63">
        <v>2023.0</v>
      </c>
      <c r="C29" s="63">
        <v>1.0</v>
      </c>
      <c r="D29" s="63" t="str">
        <f>IFERROR(__xludf.DUMMYFUNCTION("if(regexmatch(E29,""Recycled""),""No"",""Yes"")"),"No")</f>
        <v>No</v>
      </c>
      <c r="E29" s="63" t="s">
        <v>705</v>
      </c>
      <c r="F29" s="63" t="s">
        <v>654</v>
      </c>
      <c r="G29" s="1" t="s">
        <v>655</v>
      </c>
      <c r="H29" s="2"/>
      <c r="I29" s="63" t="s">
        <v>706</v>
      </c>
      <c r="J29" s="17" t="s">
        <v>707</v>
      </c>
      <c r="L29" s="64">
        <f>SUM(M29:AW29)</f>
        <v>4</v>
      </c>
      <c r="M29" s="17">
        <v>1.0</v>
      </c>
      <c r="AE29" s="17">
        <v>1.0</v>
      </c>
      <c r="AO29" s="17">
        <v>1.0</v>
      </c>
      <c r="AP29" s="17">
        <v>1.0</v>
      </c>
      <c r="EO29" s="65" t="s">
        <v>708</v>
      </c>
      <c r="EQ29" s="65" t="s">
        <v>708</v>
      </c>
      <c r="ET29" s="66" t="s">
        <v>708</v>
      </c>
      <c r="EV29" s="66" t="s">
        <v>709</v>
      </c>
      <c r="EX29" s="66" t="s">
        <v>708</v>
      </c>
    </row>
    <row r="30" ht="16.5" customHeight="1">
      <c r="A30" s="1" t="s">
        <v>713</v>
      </c>
      <c r="B30" s="63">
        <v>2024.0</v>
      </c>
      <c r="C30" s="63">
        <v>2.0</v>
      </c>
      <c r="D30" s="63" t="str">
        <f>IFERROR(__xludf.DUMMYFUNCTION("if(regexmatch(E30,""Recycled""),""No"",""Yes"")"),"Yes")</f>
        <v>Yes</v>
      </c>
      <c r="E30" s="63"/>
      <c r="F30" s="63" t="s">
        <v>654</v>
      </c>
      <c r="G30" s="1"/>
      <c r="H30" s="2"/>
      <c r="I30" s="2"/>
      <c r="J30" s="17" t="s">
        <v>710</v>
      </c>
      <c r="K30" s="17"/>
      <c r="L30" s="6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</row>
    <row r="31" ht="16.5" hidden="1" customHeight="1">
      <c r="A31" s="1" t="s">
        <v>714</v>
      </c>
      <c r="B31" s="63">
        <v>2019.0</v>
      </c>
      <c r="C31" s="63">
        <v>1.0</v>
      </c>
      <c r="D31" s="63" t="str">
        <f>IFERROR(__xludf.DUMMYFUNCTION("if(regexmatch(E31,""Recycled""),""No"",""Yes"")"),"No")</f>
        <v>No</v>
      </c>
      <c r="E31" s="63" t="s">
        <v>653</v>
      </c>
      <c r="F31" s="63" t="s">
        <v>654</v>
      </c>
      <c r="G31" s="1" t="s">
        <v>655</v>
      </c>
      <c r="H31" s="2"/>
      <c r="I31" s="68" t="s">
        <v>715</v>
      </c>
      <c r="J31" s="17"/>
      <c r="K31" s="17"/>
      <c r="L31" s="64">
        <f t="shared" ref="L31:L36" si="2">SUM(M31:AW31)</f>
        <v>1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>
        <v>1.0</v>
      </c>
      <c r="AN31" s="17"/>
      <c r="AO31" s="17"/>
      <c r="AP31" s="17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5" t="s">
        <v>716</v>
      </c>
      <c r="CV31" s="6"/>
      <c r="CW31" s="65" t="s">
        <v>717</v>
      </c>
      <c r="CX31" s="6"/>
      <c r="CY31" s="6"/>
      <c r="CZ31" s="65" t="s">
        <v>717</v>
      </c>
      <c r="DA31" s="6"/>
      <c r="DB31" s="6"/>
      <c r="DC31" s="6"/>
      <c r="DD31" s="65" t="s">
        <v>718</v>
      </c>
      <c r="DE31" s="6"/>
      <c r="DF31" s="6"/>
      <c r="DG31" s="65" t="s">
        <v>719</v>
      </c>
      <c r="DH31" s="6"/>
      <c r="DI31" s="65" t="s">
        <v>718</v>
      </c>
      <c r="DJ31" s="6"/>
      <c r="DK31" s="6"/>
      <c r="DL31" s="70" t="s">
        <v>720</v>
      </c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</row>
    <row r="32" ht="16.5" customHeight="1">
      <c r="A32" s="1" t="s">
        <v>721</v>
      </c>
      <c r="B32" s="63">
        <v>2021.0</v>
      </c>
      <c r="C32" s="63">
        <v>1.0</v>
      </c>
      <c r="D32" s="63" t="str">
        <f>IFERROR(__xludf.DUMMYFUNCTION("if(regexmatch(E32,""Recycled""),""No"",""Yes"")"),"Yes")</f>
        <v>Yes</v>
      </c>
      <c r="E32" s="63" t="s">
        <v>18</v>
      </c>
      <c r="F32" s="63" t="s">
        <v>654</v>
      </c>
      <c r="G32" s="1" t="s">
        <v>655</v>
      </c>
      <c r="H32" s="2"/>
      <c r="I32" s="63" t="s">
        <v>715</v>
      </c>
      <c r="K32" s="17"/>
      <c r="L32" s="64">
        <f t="shared" si="2"/>
        <v>1</v>
      </c>
      <c r="M32" s="1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18"/>
      <c r="AD32" s="18"/>
      <c r="AE32" s="18"/>
      <c r="AF32" s="6"/>
      <c r="AG32" s="6"/>
      <c r="AH32" s="6"/>
      <c r="AI32" s="18"/>
      <c r="AJ32" s="6"/>
      <c r="AK32" s="6"/>
      <c r="AL32" s="6"/>
      <c r="AM32" s="18">
        <v>1.0</v>
      </c>
      <c r="AN32" s="18"/>
      <c r="AO32" s="18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6" t="s">
        <v>664</v>
      </c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6" t="s">
        <v>664</v>
      </c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</row>
    <row r="33" ht="15.75" customHeight="1">
      <c r="A33" s="1" t="s">
        <v>722</v>
      </c>
      <c r="B33" s="63">
        <v>2022.0</v>
      </c>
      <c r="C33" s="63">
        <v>1.0</v>
      </c>
      <c r="D33" s="63" t="str">
        <f>IFERROR(__xludf.DUMMYFUNCTION("if(regexmatch(E33,""Recycled""),""No"",""Yes"")"),"Yes")</f>
        <v>Yes</v>
      </c>
      <c r="E33" s="63" t="s">
        <v>18</v>
      </c>
      <c r="F33" s="63" t="s">
        <v>654</v>
      </c>
      <c r="G33" s="1" t="s">
        <v>655</v>
      </c>
      <c r="H33" s="1"/>
      <c r="I33" s="63" t="s">
        <v>722</v>
      </c>
      <c r="J33" s="17" t="s">
        <v>723</v>
      </c>
      <c r="K33" s="17"/>
      <c r="L33" s="64">
        <f t="shared" si="2"/>
        <v>3</v>
      </c>
      <c r="M33" s="17"/>
      <c r="R33" s="17">
        <v>1.0</v>
      </c>
      <c r="AC33" s="17"/>
      <c r="AD33" s="17"/>
      <c r="AE33" s="17"/>
      <c r="AN33" s="17"/>
      <c r="AO33" s="17"/>
      <c r="AP33" s="17">
        <v>1.0</v>
      </c>
      <c r="AU33" s="17"/>
      <c r="AV33" s="17">
        <v>1.0</v>
      </c>
      <c r="DZ33" s="65" t="s">
        <v>724</v>
      </c>
      <c r="EA33" s="65" t="s">
        <v>685</v>
      </c>
      <c r="EB33" s="6"/>
      <c r="EC33" s="65" t="s">
        <v>725</v>
      </c>
      <c r="EE33" s="66" t="s">
        <v>726</v>
      </c>
      <c r="EG33" s="65" t="s">
        <v>727</v>
      </c>
      <c r="EI33" s="6"/>
      <c r="EK33" s="6"/>
      <c r="EL33" s="6"/>
    </row>
    <row r="34">
      <c r="A34" s="1" t="s">
        <v>728</v>
      </c>
      <c r="B34" s="63">
        <v>2022.0</v>
      </c>
      <c r="C34" s="63">
        <v>1.0</v>
      </c>
      <c r="D34" s="63" t="str">
        <f>IFERROR(__xludf.DUMMYFUNCTION("if(regexmatch(E34,""Recycled""),""No"",""Yes"")"),"Yes")</f>
        <v>Yes</v>
      </c>
      <c r="E34" s="63" t="s">
        <v>18</v>
      </c>
      <c r="F34" s="63" t="s">
        <v>654</v>
      </c>
      <c r="G34" s="1" t="s">
        <v>655</v>
      </c>
      <c r="H34" s="2"/>
      <c r="I34" s="5" t="s">
        <v>729</v>
      </c>
      <c r="J34" s="17" t="s">
        <v>730</v>
      </c>
      <c r="K34" s="17"/>
      <c r="L34" s="64">
        <f t="shared" si="2"/>
        <v>1</v>
      </c>
      <c r="M34" s="1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8"/>
      <c r="AD34" s="18"/>
      <c r="AE34" s="18"/>
      <c r="AF34" s="6"/>
      <c r="AG34" s="6"/>
      <c r="AH34" s="6"/>
      <c r="AI34" s="18"/>
      <c r="AJ34" s="6"/>
      <c r="AK34" s="6"/>
      <c r="AL34" s="6"/>
      <c r="AM34" s="18">
        <v>1.0</v>
      </c>
      <c r="AN34" s="18"/>
      <c r="AO34" s="18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5" t="s">
        <v>731</v>
      </c>
      <c r="EG34" s="65" t="s">
        <v>731</v>
      </c>
      <c r="EH34" s="6"/>
      <c r="EI34" s="66" t="s">
        <v>732</v>
      </c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</row>
    <row r="35">
      <c r="A35" s="1" t="s">
        <v>733</v>
      </c>
      <c r="B35" s="63">
        <v>2023.0</v>
      </c>
      <c r="C35" s="63">
        <v>1.0</v>
      </c>
      <c r="D35" s="63" t="str">
        <f>IFERROR(__xludf.DUMMYFUNCTION("if(regexmatch(E35,""Recycled""),""No"",""Yes"")"),"Yes")</f>
        <v>Yes</v>
      </c>
      <c r="E35" s="63" t="s">
        <v>18</v>
      </c>
      <c r="F35" s="63" t="s">
        <v>654</v>
      </c>
      <c r="G35" s="1" t="s">
        <v>655</v>
      </c>
      <c r="H35" s="2"/>
      <c r="I35" s="68" t="s">
        <v>733</v>
      </c>
      <c r="J35" s="17" t="s">
        <v>734</v>
      </c>
      <c r="K35" s="17"/>
      <c r="L35" s="64">
        <f t="shared" si="2"/>
        <v>2</v>
      </c>
      <c r="M35" s="17"/>
      <c r="N35" s="6"/>
      <c r="O35" s="6"/>
      <c r="P35" s="6"/>
      <c r="Q35" s="6"/>
      <c r="R35" s="18">
        <v>1.0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18"/>
      <c r="AD35" s="18"/>
      <c r="AE35" s="18"/>
      <c r="AF35" s="6"/>
      <c r="AG35" s="6"/>
      <c r="AH35" s="6"/>
      <c r="AI35" s="18"/>
      <c r="AJ35" s="6"/>
      <c r="AK35" s="6"/>
      <c r="AL35" s="6"/>
      <c r="AM35" s="6"/>
      <c r="AN35" s="18"/>
      <c r="AO35" s="18"/>
      <c r="AP35" s="6"/>
      <c r="AQ35" s="6"/>
      <c r="AR35" s="6"/>
      <c r="AS35" s="6"/>
      <c r="AT35" s="6"/>
      <c r="AU35" s="6"/>
      <c r="AV35" s="18">
        <v>1.0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7" t="s">
        <v>735</v>
      </c>
      <c r="EJ35" s="67" t="s">
        <v>736</v>
      </c>
      <c r="EK35" s="67" t="s">
        <v>736</v>
      </c>
      <c r="EL35" s="67" t="s">
        <v>736</v>
      </c>
      <c r="EM35" s="67" t="s">
        <v>736</v>
      </c>
      <c r="EN35" s="6"/>
      <c r="EO35" s="65" t="s">
        <v>676</v>
      </c>
      <c r="EP35" s="6"/>
      <c r="EQ35" s="65" t="s">
        <v>737</v>
      </c>
      <c r="ER35" s="6"/>
      <c r="ES35" s="6"/>
      <c r="ET35" s="65" t="s">
        <v>738</v>
      </c>
      <c r="EU35" s="6"/>
      <c r="EV35" s="65" t="s">
        <v>739</v>
      </c>
      <c r="EW35" s="6"/>
      <c r="EX35" s="65" t="s">
        <v>739</v>
      </c>
      <c r="EY35" s="6"/>
      <c r="EZ35" s="65" t="s">
        <v>739</v>
      </c>
      <c r="FA35" s="6"/>
      <c r="FB35" s="66" t="s">
        <v>740</v>
      </c>
      <c r="FC35" s="6"/>
      <c r="FD35" s="6"/>
      <c r="FE35" s="6"/>
      <c r="FF35" s="6"/>
      <c r="FG35" s="66" t="s">
        <v>664</v>
      </c>
      <c r="FH35" s="6"/>
      <c r="FI35" s="6"/>
      <c r="FJ35" s="6"/>
      <c r="FK35" s="6"/>
      <c r="FL35" s="6"/>
      <c r="FM35" s="6"/>
      <c r="FN35" s="6"/>
      <c r="FO35" s="6"/>
      <c r="FP35" s="6"/>
      <c r="FQ35" s="6"/>
    </row>
    <row r="36">
      <c r="A36" s="1" t="s">
        <v>741</v>
      </c>
      <c r="B36" s="63">
        <v>2024.0</v>
      </c>
      <c r="C36" s="63">
        <v>1.0</v>
      </c>
      <c r="D36" s="63" t="str">
        <f>IFERROR(__xludf.DUMMYFUNCTION("if(regexmatch(E36,""Recycled""),""No"",""Yes"")"),"Yes")</f>
        <v>Yes</v>
      </c>
      <c r="E36" s="63" t="s">
        <v>18</v>
      </c>
      <c r="F36" s="63" t="s">
        <v>654</v>
      </c>
      <c r="G36" s="1" t="s">
        <v>655</v>
      </c>
      <c r="H36" s="2"/>
      <c r="I36" s="63"/>
      <c r="J36" s="17"/>
      <c r="K36" s="17"/>
      <c r="L36" s="64">
        <f t="shared" si="2"/>
        <v>1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T36" s="17">
        <v>1.0</v>
      </c>
      <c r="AV36" s="17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6" t="s">
        <v>664</v>
      </c>
      <c r="FE36" s="66" t="s">
        <v>664</v>
      </c>
      <c r="FF36" s="66" t="s">
        <v>664</v>
      </c>
      <c r="FG36" s="6"/>
      <c r="FH36" s="46" t="s">
        <v>742</v>
      </c>
      <c r="FI36" s="6"/>
      <c r="FJ36" s="6"/>
      <c r="FK36" s="6"/>
      <c r="FL36" s="6"/>
      <c r="FM36" s="6"/>
      <c r="FN36" s="6"/>
      <c r="FO36" s="6"/>
      <c r="FP36" s="6"/>
      <c r="FQ36" s="6"/>
    </row>
    <row r="37" hidden="1">
      <c r="A37" s="1" t="s">
        <v>743</v>
      </c>
      <c r="B37" s="63">
        <v>2023.0</v>
      </c>
      <c r="C37" s="63">
        <v>1.0</v>
      </c>
      <c r="D37" s="63" t="str">
        <f>IFERROR(__xludf.DUMMYFUNCTION("if(regexmatch(E37,""Recycled""),""No"",""Yes"")"),"No")</f>
        <v>No</v>
      </c>
      <c r="E37" s="63" t="s">
        <v>744</v>
      </c>
      <c r="F37" s="63" t="s">
        <v>654</v>
      </c>
      <c r="G37" s="1" t="s">
        <v>100</v>
      </c>
      <c r="H37" s="2"/>
      <c r="I37" s="17"/>
      <c r="J37" s="17"/>
      <c r="K37" s="17"/>
      <c r="L37" s="64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8"/>
      <c r="AD37" s="18"/>
      <c r="AE37" s="18"/>
      <c r="AF37" s="6"/>
      <c r="AG37" s="6"/>
      <c r="AH37" s="6"/>
      <c r="AI37" s="18"/>
      <c r="AJ37" s="6"/>
      <c r="AK37" s="6"/>
      <c r="AL37" s="6"/>
      <c r="AM37" s="6"/>
      <c r="AN37" s="18"/>
      <c r="AO37" s="18"/>
      <c r="AP37" s="18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7" t="s">
        <v>745</v>
      </c>
      <c r="DA37" s="67" t="s">
        <v>746</v>
      </c>
      <c r="DB37" s="67" t="s">
        <v>746</v>
      </c>
      <c r="DC37" s="67" t="s">
        <v>746</v>
      </c>
      <c r="DD37" s="67" t="s">
        <v>746</v>
      </c>
      <c r="DE37" s="67" t="s">
        <v>746</v>
      </c>
      <c r="DF37" s="67" t="s">
        <v>746</v>
      </c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7" t="s">
        <v>747</v>
      </c>
      <c r="EA37" s="67" t="s">
        <v>747</v>
      </c>
      <c r="EB37" s="67" t="s">
        <v>747</v>
      </c>
      <c r="EC37" s="67" t="s">
        <v>747</v>
      </c>
      <c r="ED37" s="67" t="s">
        <v>747</v>
      </c>
      <c r="EE37" s="6"/>
      <c r="EF37" s="67" t="s">
        <v>747</v>
      </c>
      <c r="EG37" s="67" t="s">
        <v>747</v>
      </c>
      <c r="EH37" s="67" t="s">
        <v>747</v>
      </c>
      <c r="EI37" s="67" t="s">
        <v>747</v>
      </c>
      <c r="EJ37" s="67" t="s">
        <v>747</v>
      </c>
      <c r="EK37" s="67" t="s">
        <v>747</v>
      </c>
      <c r="EL37" s="67" t="s">
        <v>747</v>
      </c>
      <c r="EM37" s="67" t="s">
        <v>747</v>
      </c>
      <c r="EN37" s="67" t="s">
        <v>747</v>
      </c>
      <c r="EO37" s="67" t="s">
        <v>747</v>
      </c>
      <c r="EP37" s="6"/>
      <c r="EQ37" s="71" t="s">
        <v>748</v>
      </c>
      <c r="ER37" s="71" t="s">
        <v>748</v>
      </c>
      <c r="ES37" s="71" t="s">
        <v>748</v>
      </c>
      <c r="ET37" s="71" t="s">
        <v>748</v>
      </c>
      <c r="EU37" s="71" t="s">
        <v>748</v>
      </c>
      <c r="EV37" s="71" t="s">
        <v>748</v>
      </c>
      <c r="EW37" s="71" t="s">
        <v>748</v>
      </c>
      <c r="EX37" s="71" t="s">
        <v>748</v>
      </c>
      <c r="EY37" s="5" t="s">
        <v>748</v>
      </c>
      <c r="EZ37" s="5"/>
      <c r="FA37" s="5"/>
      <c r="FB37" s="5"/>
      <c r="FC37" s="5" t="s">
        <v>748</v>
      </c>
      <c r="FD37" s="5" t="s">
        <v>748</v>
      </c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</row>
    <row r="38" ht="15.75" hidden="1" customHeight="1">
      <c r="A38" s="1" t="s">
        <v>749</v>
      </c>
      <c r="B38" s="63">
        <v>2019.0</v>
      </c>
      <c r="C38" s="63">
        <v>1.0</v>
      </c>
      <c r="D38" s="63" t="str">
        <f>IFERROR(__xludf.DUMMYFUNCTION("if(regexmatch(E38,""Recycled""),""No"",""Yes"")"),"No")</f>
        <v>No</v>
      </c>
      <c r="E38" s="63" t="s">
        <v>653</v>
      </c>
      <c r="F38" s="63" t="s">
        <v>654</v>
      </c>
      <c r="G38" s="1" t="s">
        <v>655</v>
      </c>
      <c r="H38" s="2"/>
      <c r="I38" s="67" t="s">
        <v>749</v>
      </c>
      <c r="J38" s="17" t="s">
        <v>750</v>
      </c>
      <c r="K38" s="17"/>
      <c r="L38" s="64">
        <f t="shared" ref="L38:L61" si="3">SUM(M38:AW38)</f>
        <v>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8"/>
      <c r="AD38" s="18"/>
      <c r="AE38" s="18">
        <v>1.0</v>
      </c>
      <c r="AF38" s="6"/>
      <c r="AG38" s="6"/>
      <c r="AH38" s="6"/>
      <c r="AI38" s="18">
        <v>1.0</v>
      </c>
      <c r="AJ38" s="6"/>
      <c r="AK38" s="6"/>
      <c r="AL38" s="6"/>
      <c r="AM38" s="6"/>
      <c r="AN38" s="18"/>
      <c r="AO38" s="18">
        <v>1.0</v>
      </c>
      <c r="AP38" s="18">
        <v>1.0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5" t="s">
        <v>751</v>
      </c>
      <c r="CX38" s="65" t="s">
        <v>751</v>
      </c>
      <c r="CY38" s="65" t="s">
        <v>752</v>
      </c>
      <c r="CZ38" s="65" t="s">
        <v>752</v>
      </c>
      <c r="DA38" s="65" t="s">
        <v>752</v>
      </c>
      <c r="DB38" s="65" t="s">
        <v>752</v>
      </c>
      <c r="DC38" s="6"/>
      <c r="DD38" s="65" t="s">
        <v>753</v>
      </c>
      <c r="DE38" s="6"/>
      <c r="DF38" s="6"/>
      <c r="DG38" s="65" t="s">
        <v>753</v>
      </c>
      <c r="DH38" s="6"/>
      <c r="DI38" s="65" t="s">
        <v>754</v>
      </c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</row>
    <row r="39" ht="15.75" hidden="1" customHeight="1">
      <c r="A39" s="1" t="s">
        <v>755</v>
      </c>
      <c r="B39" s="63">
        <v>2022.0</v>
      </c>
      <c r="C39" s="63">
        <v>1.0</v>
      </c>
      <c r="D39" s="63" t="str">
        <f>IFERROR(__xludf.DUMMYFUNCTION("if(regexmatch(E39,""Recycled""),""No"",""Yes"")"),"No")</f>
        <v>No</v>
      </c>
      <c r="E39" s="63" t="s">
        <v>653</v>
      </c>
      <c r="F39" s="63" t="s">
        <v>654</v>
      </c>
      <c r="G39" s="1" t="s">
        <v>655</v>
      </c>
      <c r="H39" s="1"/>
      <c r="I39" s="63" t="s">
        <v>755</v>
      </c>
      <c r="J39" s="17" t="s">
        <v>756</v>
      </c>
      <c r="K39" s="17"/>
      <c r="L39" s="64">
        <f t="shared" si="3"/>
        <v>4</v>
      </c>
      <c r="M39" s="17">
        <v>1.0</v>
      </c>
      <c r="R39" s="17">
        <v>1.0</v>
      </c>
      <c r="AC39" s="17"/>
      <c r="AD39" s="17"/>
      <c r="AE39" s="17"/>
      <c r="AN39" s="17"/>
      <c r="AO39" s="17"/>
      <c r="AP39" s="17">
        <v>1.0</v>
      </c>
      <c r="AU39" s="17"/>
      <c r="AV39" s="17">
        <v>1.0</v>
      </c>
      <c r="DZ39" s="65" t="s">
        <v>757</v>
      </c>
      <c r="EA39" s="65" t="s">
        <v>758</v>
      </c>
      <c r="EC39" s="65" t="s">
        <v>757</v>
      </c>
      <c r="EE39" s="65" t="s">
        <v>758</v>
      </c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</row>
    <row r="40" ht="15.75" hidden="1" customHeight="1">
      <c r="A40" s="1" t="s">
        <v>759</v>
      </c>
      <c r="B40" s="63">
        <v>2022.0</v>
      </c>
      <c r="C40" s="63">
        <v>1.0</v>
      </c>
      <c r="D40" s="63" t="str">
        <f>IFERROR(__xludf.DUMMYFUNCTION("if(regexmatch(E40,""Recycled""),""No"",""Yes"")"),"No")</f>
        <v>No</v>
      </c>
      <c r="E40" s="63" t="s">
        <v>653</v>
      </c>
      <c r="F40" s="63" t="s">
        <v>654</v>
      </c>
      <c r="G40" s="1" t="s">
        <v>655</v>
      </c>
      <c r="H40" s="2"/>
      <c r="I40" s="63" t="s">
        <v>759</v>
      </c>
      <c r="J40" s="17" t="s">
        <v>760</v>
      </c>
      <c r="K40" s="17"/>
      <c r="L40" s="64">
        <f t="shared" si="3"/>
        <v>4</v>
      </c>
      <c r="M40" s="17">
        <v>1.0</v>
      </c>
      <c r="N40" s="17"/>
      <c r="O40" s="17"/>
      <c r="P40" s="17"/>
      <c r="Q40" s="17"/>
      <c r="R40" s="17">
        <v>1.0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>
        <v>1.0</v>
      </c>
      <c r="AV40" s="17">
        <v>1.0</v>
      </c>
      <c r="DS40" s="6"/>
      <c r="DT40" s="6"/>
      <c r="DU40" s="6"/>
      <c r="DV40" s="6"/>
      <c r="DW40" s="6"/>
      <c r="DX40" s="6"/>
      <c r="DY40" s="6"/>
      <c r="DZ40" s="6"/>
      <c r="EA40" s="6"/>
      <c r="EB40" s="66" t="s">
        <v>761</v>
      </c>
      <c r="EC40" s="6"/>
      <c r="ED40" s="6"/>
      <c r="EE40" s="6"/>
      <c r="EF40" s="6"/>
      <c r="EH40" s="66" t="s">
        <v>762</v>
      </c>
      <c r="EI40" s="66" t="s">
        <v>762</v>
      </c>
      <c r="EJ40" s="66" t="s">
        <v>762</v>
      </c>
      <c r="EK40" s="66" t="s">
        <v>762</v>
      </c>
      <c r="EL40" s="66" t="s">
        <v>762</v>
      </c>
      <c r="EM40" s="66" t="s">
        <v>762</v>
      </c>
      <c r="EN40" s="6"/>
      <c r="EO40" s="66" t="s">
        <v>763</v>
      </c>
      <c r="EP40" s="6"/>
      <c r="EQ40" s="66" t="s">
        <v>763</v>
      </c>
      <c r="ER40" s="6"/>
      <c r="ES40" s="6"/>
      <c r="ET40" s="72" t="s">
        <v>763</v>
      </c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</row>
    <row r="41" ht="15.75" hidden="1" customHeight="1">
      <c r="A41" s="1" t="s">
        <v>764</v>
      </c>
      <c r="B41" s="63">
        <v>2017.0</v>
      </c>
      <c r="C41" s="63">
        <v>1.0</v>
      </c>
      <c r="D41" s="63" t="str">
        <f>IFERROR(__xludf.DUMMYFUNCTION("if(regexmatch(E41,""Recycled""),""No"",""Yes"")"),"No")</f>
        <v>No</v>
      </c>
      <c r="E41" s="63" t="s">
        <v>653</v>
      </c>
      <c r="F41" s="63" t="s">
        <v>654</v>
      </c>
      <c r="G41" s="1" t="s">
        <v>655</v>
      </c>
      <c r="H41" s="1"/>
      <c r="I41" s="67" t="s">
        <v>765</v>
      </c>
      <c r="J41" s="17"/>
      <c r="L41" s="64">
        <f t="shared" si="3"/>
        <v>1</v>
      </c>
      <c r="AC41" s="17"/>
      <c r="AD41" s="17"/>
      <c r="AE41" s="17">
        <v>1.0</v>
      </c>
      <c r="BX41" s="65" t="s">
        <v>766</v>
      </c>
      <c r="CB41" s="65" t="s">
        <v>766</v>
      </c>
    </row>
    <row r="42" ht="15.75" hidden="1" customHeight="1">
      <c r="A42" s="1" t="s">
        <v>764</v>
      </c>
      <c r="B42" s="63">
        <v>2017.0</v>
      </c>
      <c r="C42" s="63">
        <v>1.0</v>
      </c>
      <c r="D42" s="63" t="str">
        <f>IFERROR(__xludf.DUMMYFUNCTION("if(regexmatch(E42,""Recycled""),""No"",""Yes"")"),"No")</f>
        <v>No</v>
      </c>
      <c r="E42" s="63" t="s">
        <v>653</v>
      </c>
      <c r="F42" s="63" t="s">
        <v>767</v>
      </c>
      <c r="G42" s="1" t="s">
        <v>655</v>
      </c>
      <c r="H42" s="1"/>
      <c r="I42" s="67" t="s">
        <v>765</v>
      </c>
      <c r="J42" s="17"/>
      <c r="L42" s="64">
        <f t="shared" si="3"/>
        <v>1</v>
      </c>
      <c r="AC42" s="17"/>
      <c r="AD42" s="17"/>
      <c r="AE42" s="17">
        <v>1.0</v>
      </c>
      <c r="BX42" s="65" t="s">
        <v>766</v>
      </c>
      <c r="CB42" s="65" t="s">
        <v>766</v>
      </c>
    </row>
    <row r="43" ht="15.75" hidden="1" customHeight="1">
      <c r="A43" s="1" t="s">
        <v>764</v>
      </c>
      <c r="B43" s="63">
        <v>2017.0</v>
      </c>
      <c r="C43" s="63">
        <v>1.0</v>
      </c>
      <c r="D43" s="63" t="str">
        <f>IFERROR(__xludf.DUMMYFUNCTION("if(regexmatch(E43,""Recycled""),""No"",""Yes"")"),"No")</f>
        <v>No</v>
      </c>
      <c r="E43" s="63" t="s">
        <v>653</v>
      </c>
      <c r="F43" s="63" t="s">
        <v>768</v>
      </c>
      <c r="G43" s="1" t="s">
        <v>655</v>
      </c>
      <c r="H43" s="1"/>
      <c r="I43" s="67" t="s">
        <v>765</v>
      </c>
      <c r="J43" s="17"/>
      <c r="L43" s="64">
        <f t="shared" si="3"/>
        <v>1</v>
      </c>
      <c r="AC43" s="17"/>
      <c r="AD43" s="17"/>
      <c r="AE43" s="17">
        <v>1.0</v>
      </c>
      <c r="BX43" s="65" t="s">
        <v>766</v>
      </c>
      <c r="CB43" s="65" t="s">
        <v>766</v>
      </c>
    </row>
    <row r="44" ht="15.75" hidden="1" customHeight="1">
      <c r="A44" s="1" t="s">
        <v>764</v>
      </c>
      <c r="B44" s="63">
        <v>2017.0</v>
      </c>
      <c r="C44" s="63">
        <v>1.0</v>
      </c>
      <c r="D44" s="63" t="str">
        <f>IFERROR(__xludf.DUMMYFUNCTION("if(regexmatch(E44,""Recycled""),""No"",""Yes"")"),"No")</f>
        <v>No</v>
      </c>
      <c r="E44" s="63" t="s">
        <v>653</v>
      </c>
      <c r="F44" s="63" t="s">
        <v>769</v>
      </c>
      <c r="G44" s="1" t="s">
        <v>655</v>
      </c>
      <c r="H44" s="1"/>
      <c r="I44" s="67" t="s">
        <v>765</v>
      </c>
      <c r="J44" s="17"/>
      <c r="L44" s="64">
        <f t="shared" si="3"/>
        <v>1</v>
      </c>
      <c r="AC44" s="17"/>
      <c r="AD44" s="17"/>
      <c r="AE44" s="17">
        <v>1.0</v>
      </c>
      <c r="BX44" s="65" t="s">
        <v>766</v>
      </c>
      <c r="CB44" s="65" t="s">
        <v>766</v>
      </c>
    </row>
    <row r="45" ht="16.5" hidden="1" customHeight="1">
      <c r="A45" s="1" t="s">
        <v>764</v>
      </c>
      <c r="B45" s="63">
        <v>2017.0</v>
      </c>
      <c r="C45" s="63">
        <v>1.0</v>
      </c>
      <c r="D45" s="63" t="str">
        <f>IFERROR(__xludf.DUMMYFUNCTION("if(regexmatch(E45,""Recycled""),""No"",""Yes"")"),"No")</f>
        <v>No</v>
      </c>
      <c r="E45" s="63" t="s">
        <v>653</v>
      </c>
      <c r="F45" s="63" t="s">
        <v>770</v>
      </c>
      <c r="G45" s="1" t="s">
        <v>655</v>
      </c>
      <c r="H45" s="1"/>
      <c r="I45" s="67" t="s">
        <v>765</v>
      </c>
      <c r="J45" s="17"/>
      <c r="L45" s="64">
        <f t="shared" si="3"/>
        <v>1</v>
      </c>
      <c r="AC45" s="17"/>
      <c r="AD45" s="17"/>
      <c r="AE45" s="17">
        <v>1.0</v>
      </c>
      <c r="BX45" s="65" t="s">
        <v>766</v>
      </c>
      <c r="CB45" s="65" t="s">
        <v>766</v>
      </c>
    </row>
    <row r="46" ht="16.5" hidden="1" customHeight="1">
      <c r="A46" s="1" t="s">
        <v>764</v>
      </c>
      <c r="B46" s="63">
        <v>2017.0</v>
      </c>
      <c r="C46" s="63">
        <v>1.0</v>
      </c>
      <c r="D46" s="63" t="str">
        <f>IFERROR(__xludf.DUMMYFUNCTION("if(regexmatch(E46,""Recycled""),""No"",""Yes"")"),"No")</f>
        <v>No</v>
      </c>
      <c r="E46" s="63" t="s">
        <v>653</v>
      </c>
      <c r="F46" s="63" t="s">
        <v>660</v>
      </c>
      <c r="G46" s="1" t="s">
        <v>655</v>
      </c>
      <c r="H46" s="1"/>
      <c r="I46" s="67" t="s">
        <v>765</v>
      </c>
      <c r="J46" s="17"/>
      <c r="L46" s="64">
        <f t="shared" si="3"/>
        <v>1</v>
      </c>
      <c r="AC46" s="17"/>
      <c r="AD46" s="17"/>
      <c r="AE46" s="17">
        <v>1.0</v>
      </c>
      <c r="BX46" s="65" t="s">
        <v>766</v>
      </c>
      <c r="CB46" s="65" t="s">
        <v>766</v>
      </c>
    </row>
    <row r="47" ht="16.5" hidden="1" customHeight="1">
      <c r="A47" s="1" t="s">
        <v>771</v>
      </c>
      <c r="B47" s="63">
        <v>2015.0</v>
      </c>
      <c r="C47" s="63">
        <v>1.0</v>
      </c>
      <c r="D47" s="63" t="str">
        <f>IFERROR(__xludf.DUMMYFUNCTION("if(regexmatch(E47,""Recycled""),""No"",""Yes"")"),"No")</f>
        <v>No</v>
      </c>
      <c r="E47" s="63" t="s">
        <v>653</v>
      </c>
      <c r="F47" s="63" t="s">
        <v>654</v>
      </c>
      <c r="G47" s="1" t="s">
        <v>772</v>
      </c>
      <c r="H47" s="2"/>
      <c r="I47" s="69"/>
      <c r="J47" s="17"/>
      <c r="K47" s="17"/>
      <c r="L47" s="64">
        <f t="shared" si="3"/>
        <v>4</v>
      </c>
      <c r="M47" s="17">
        <v>1.0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>
        <v>1.0</v>
      </c>
      <c r="AJ47" s="17"/>
      <c r="AK47" s="17"/>
      <c r="AL47" s="17"/>
      <c r="AM47" s="17"/>
      <c r="AN47" s="17"/>
      <c r="AO47" s="17">
        <v>1.0</v>
      </c>
      <c r="AP47" s="17">
        <v>1.0</v>
      </c>
      <c r="AX47" s="67" t="s">
        <v>7</v>
      </c>
      <c r="AY47" s="67" t="s">
        <v>7</v>
      </c>
      <c r="AZ47" s="70" t="s">
        <v>773</v>
      </c>
      <c r="BA47" s="6"/>
      <c r="BB47" s="6"/>
      <c r="BC47" s="6"/>
      <c r="BD47" s="67" t="s">
        <v>774</v>
      </c>
      <c r="BE47" s="6"/>
      <c r="BF47" s="6"/>
      <c r="BG47" s="70" t="s">
        <v>774</v>
      </c>
      <c r="BH47" s="6"/>
      <c r="BI47" s="67" t="s">
        <v>775</v>
      </c>
      <c r="BJ47" s="6"/>
      <c r="BK47" s="67" t="s">
        <v>775</v>
      </c>
      <c r="BL47" s="6"/>
      <c r="BM47" s="6"/>
      <c r="BN47" s="6"/>
      <c r="BO47" s="67" t="s">
        <v>7</v>
      </c>
      <c r="BP47" s="6"/>
      <c r="BQ47" s="67" t="s">
        <v>7</v>
      </c>
      <c r="BR47" s="6"/>
      <c r="BS47" s="67" t="s">
        <v>7</v>
      </c>
      <c r="BT47" s="6"/>
      <c r="BU47" s="67" t="s">
        <v>7</v>
      </c>
      <c r="BV47" s="6"/>
      <c r="BW47" s="67" t="s">
        <v>7</v>
      </c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</row>
    <row r="48" ht="16.5" hidden="1" customHeight="1">
      <c r="A48" s="1" t="s">
        <v>776</v>
      </c>
      <c r="B48" s="63">
        <v>2015.0</v>
      </c>
      <c r="C48" s="63">
        <v>1.0</v>
      </c>
      <c r="D48" s="63" t="str">
        <f>IFERROR(__xludf.DUMMYFUNCTION("if(regexmatch(E48,""Recycled""),""No"",""Yes"")"),"No")</f>
        <v>No</v>
      </c>
      <c r="E48" s="63" t="s">
        <v>653</v>
      </c>
      <c r="F48" s="63" t="s">
        <v>660</v>
      </c>
      <c r="G48" s="1" t="s">
        <v>772</v>
      </c>
      <c r="H48" s="1"/>
      <c r="I48" s="69"/>
      <c r="J48" s="17"/>
      <c r="K48" s="17"/>
      <c r="L48" s="64">
        <f t="shared" si="3"/>
        <v>4</v>
      </c>
      <c r="M48" s="17">
        <v>1.0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>
        <v>1.0</v>
      </c>
      <c r="AJ48" s="17"/>
      <c r="AK48" s="17"/>
      <c r="AL48" s="17"/>
      <c r="AM48" s="17"/>
      <c r="AN48" s="17"/>
      <c r="AO48" s="17">
        <v>1.0</v>
      </c>
      <c r="AP48" s="17">
        <v>1.0</v>
      </c>
      <c r="AX48" s="6"/>
      <c r="AY48" s="67" t="s">
        <v>7</v>
      </c>
      <c r="AZ48" s="67" t="s">
        <v>773</v>
      </c>
      <c r="BA48" s="70" t="s">
        <v>773</v>
      </c>
      <c r="BB48" s="6"/>
      <c r="BC48" s="6"/>
      <c r="BD48" s="6"/>
      <c r="BE48" s="67" t="s">
        <v>774</v>
      </c>
      <c r="BF48" s="6"/>
      <c r="BG48" s="70" t="s">
        <v>774</v>
      </c>
      <c r="BH48" s="6"/>
      <c r="BI48" s="67" t="s">
        <v>775</v>
      </c>
      <c r="BJ48" s="6"/>
      <c r="BK48" s="67" t="s">
        <v>775</v>
      </c>
      <c r="BL48" s="6"/>
      <c r="BM48" s="6"/>
      <c r="BN48" s="6"/>
      <c r="BO48" s="67" t="s">
        <v>7</v>
      </c>
      <c r="BP48" s="6"/>
      <c r="BQ48" s="67" t="s">
        <v>7</v>
      </c>
      <c r="BR48" s="6"/>
      <c r="BS48" s="67" t="s">
        <v>7</v>
      </c>
      <c r="BT48" s="6"/>
      <c r="BU48" s="67" t="s">
        <v>7</v>
      </c>
      <c r="BV48" s="6"/>
      <c r="BW48" s="67" t="s">
        <v>7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</row>
    <row r="49" ht="16.5" hidden="1" customHeight="1">
      <c r="A49" s="1" t="s">
        <v>777</v>
      </c>
      <c r="B49" s="63">
        <v>2015.0</v>
      </c>
      <c r="C49" s="63">
        <v>1.0</v>
      </c>
      <c r="D49" s="63" t="str">
        <f>IFERROR(__xludf.DUMMYFUNCTION("if(regexmatch(E49,""Recycled""),""No"",""Yes"")"),"No")</f>
        <v>No</v>
      </c>
      <c r="E49" s="63" t="s">
        <v>653</v>
      </c>
      <c r="F49" s="63" t="s">
        <v>769</v>
      </c>
      <c r="G49" s="1" t="s">
        <v>772</v>
      </c>
      <c r="H49" s="1"/>
      <c r="I49" s="69"/>
      <c r="J49" s="17"/>
      <c r="K49" s="17"/>
      <c r="L49" s="64">
        <f t="shared" si="3"/>
        <v>4</v>
      </c>
      <c r="M49" s="17">
        <v>1.0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>
        <v>1.0</v>
      </c>
      <c r="AJ49" s="17"/>
      <c r="AK49" s="17"/>
      <c r="AL49" s="17"/>
      <c r="AM49" s="17"/>
      <c r="AN49" s="17"/>
      <c r="AO49" s="17">
        <v>1.0</v>
      </c>
      <c r="AP49" s="17">
        <v>1.0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7" t="s">
        <v>7</v>
      </c>
      <c r="BJ49" s="70" t="s">
        <v>778</v>
      </c>
      <c r="BK49" s="6"/>
      <c r="BL49" s="6"/>
      <c r="BM49" s="6"/>
      <c r="BN49" s="6"/>
      <c r="BO49" s="6"/>
      <c r="BP49" s="6"/>
      <c r="BQ49" s="67" t="s">
        <v>7</v>
      </c>
      <c r="BR49" s="6"/>
      <c r="BS49" s="67" t="s">
        <v>7</v>
      </c>
      <c r="BT49" s="6"/>
      <c r="BU49" s="67" t="s">
        <v>7</v>
      </c>
      <c r="BV49" s="6"/>
      <c r="BW49" s="67" t="s">
        <v>7</v>
      </c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</row>
    <row r="50" ht="16.5" hidden="1" customHeight="1">
      <c r="A50" s="1" t="s">
        <v>779</v>
      </c>
      <c r="B50" s="63">
        <v>2016.0</v>
      </c>
      <c r="C50" s="63">
        <v>1.0</v>
      </c>
      <c r="D50" s="63" t="str">
        <f>IFERROR(__xludf.DUMMYFUNCTION("if(regexmatch(E50,""Recycled""),""No"",""Yes"")"),"No")</f>
        <v>No</v>
      </c>
      <c r="E50" s="63" t="s">
        <v>653</v>
      </c>
      <c r="F50" s="63" t="s">
        <v>660</v>
      </c>
      <c r="G50" s="1" t="s">
        <v>655</v>
      </c>
      <c r="H50" s="2"/>
      <c r="I50" s="68" t="s">
        <v>780</v>
      </c>
      <c r="J50" s="6"/>
      <c r="K50" s="6"/>
      <c r="L50" s="64">
        <f t="shared" si="3"/>
        <v>3</v>
      </c>
      <c r="M50" s="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>
        <v>1.0</v>
      </c>
      <c r="AF50" s="18"/>
      <c r="AG50" s="18"/>
      <c r="AH50" s="18"/>
      <c r="AI50" s="18">
        <v>1.0</v>
      </c>
      <c r="AJ50" s="6"/>
      <c r="AK50" s="6"/>
      <c r="AL50" s="6"/>
      <c r="AM50" s="6"/>
      <c r="AN50" s="6"/>
      <c r="AO50" s="6"/>
      <c r="AP50" s="18">
        <v>1.0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70" t="s">
        <v>778</v>
      </c>
      <c r="BI50" s="70" t="s">
        <v>778</v>
      </c>
      <c r="BJ50" s="70" t="s">
        <v>778</v>
      </c>
      <c r="BK50" s="70" t="s">
        <v>778</v>
      </c>
      <c r="BL50" s="6"/>
      <c r="BM50" s="6"/>
      <c r="BN50" s="6"/>
      <c r="BO50" s="70" t="s">
        <v>781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</row>
    <row r="51" ht="16.5" customHeight="1">
      <c r="A51" s="1" t="s">
        <v>782</v>
      </c>
      <c r="B51" s="63">
        <v>2016.0</v>
      </c>
      <c r="C51" s="63">
        <v>1.0</v>
      </c>
      <c r="D51" s="63" t="str">
        <f>IFERROR(__xludf.DUMMYFUNCTION("if(regexmatch(E51,""Recycled""),""No"",""Yes"")"),"Yes")</f>
        <v>Yes</v>
      </c>
      <c r="E51" s="63" t="s">
        <v>783</v>
      </c>
      <c r="F51" s="63" t="s">
        <v>660</v>
      </c>
      <c r="G51" s="1" t="s">
        <v>655</v>
      </c>
      <c r="H51" s="2"/>
      <c r="I51" s="68" t="s">
        <v>780</v>
      </c>
      <c r="J51" s="6"/>
      <c r="K51" s="6"/>
      <c r="L51" s="64">
        <f t="shared" si="3"/>
        <v>3</v>
      </c>
      <c r="M51" s="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>
        <v>1.0</v>
      </c>
      <c r="AF51" s="18"/>
      <c r="AG51" s="18"/>
      <c r="AH51" s="18"/>
      <c r="AI51" s="18">
        <v>1.0</v>
      </c>
      <c r="AJ51" s="6"/>
      <c r="AK51" s="6"/>
      <c r="AL51" s="6"/>
      <c r="AM51" s="6"/>
      <c r="AN51" s="6"/>
      <c r="AO51" s="6"/>
      <c r="AP51" s="18">
        <v>1.0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70" t="s">
        <v>778</v>
      </c>
      <c r="BI51" s="70" t="s">
        <v>778</v>
      </c>
      <c r="BJ51" s="70" t="s">
        <v>778</v>
      </c>
      <c r="BK51" s="70" t="s">
        <v>778</v>
      </c>
      <c r="BL51" s="6"/>
      <c r="BM51" s="6"/>
      <c r="BN51" s="6"/>
      <c r="BO51" s="70" t="s">
        <v>781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</row>
    <row r="52" ht="16.5" customHeight="1">
      <c r="A52" s="1" t="s">
        <v>784</v>
      </c>
      <c r="B52" s="63">
        <v>2016.0</v>
      </c>
      <c r="C52" s="63">
        <v>1.0</v>
      </c>
      <c r="D52" s="63" t="str">
        <f>IFERROR(__xludf.DUMMYFUNCTION("if(regexmatch(E52,""Recycled""),""No"",""Yes"")"),"Yes")</f>
        <v>Yes</v>
      </c>
      <c r="E52" s="63" t="s">
        <v>783</v>
      </c>
      <c r="F52" s="63" t="s">
        <v>660</v>
      </c>
      <c r="G52" s="1" t="s">
        <v>655</v>
      </c>
      <c r="H52" s="2"/>
      <c r="I52" s="68" t="s">
        <v>780</v>
      </c>
      <c r="J52" s="6"/>
      <c r="K52" s="6"/>
      <c r="L52" s="64">
        <f t="shared" si="3"/>
        <v>3</v>
      </c>
      <c r="M52" s="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>
        <v>1.0</v>
      </c>
      <c r="AF52" s="18"/>
      <c r="AG52" s="18"/>
      <c r="AH52" s="18"/>
      <c r="AI52" s="18">
        <v>1.0</v>
      </c>
      <c r="AJ52" s="6"/>
      <c r="AK52" s="6"/>
      <c r="AL52" s="6"/>
      <c r="AM52" s="6"/>
      <c r="AN52" s="6"/>
      <c r="AO52" s="6"/>
      <c r="AP52" s="18">
        <v>1.0</v>
      </c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70" t="s">
        <v>778</v>
      </c>
      <c r="BI52" s="70" t="s">
        <v>778</v>
      </c>
      <c r="BJ52" s="70" t="s">
        <v>778</v>
      </c>
      <c r="BK52" s="70" t="s">
        <v>778</v>
      </c>
      <c r="BL52" s="6"/>
      <c r="BM52" s="6"/>
      <c r="BN52" s="6"/>
      <c r="BO52" s="70" t="s">
        <v>781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</row>
    <row r="53" ht="16.5" hidden="1" customHeight="1">
      <c r="A53" s="1" t="s">
        <v>785</v>
      </c>
      <c r="B53" s="63">
        <v>2023.0</v>
      </c>
      <c r="C53" s="63">
        <v>1.0</v>
      </c>
      <c r="D53" s="63" t="str">
        <f>IFERROR(__xludf.DUMMYFUNCTION("if(regexmatch(E53,""Recycled""),""No"",""Yes"")"),"No")</f>
        <v>No</v>
      </c>
      <c r="E53" s="63" t="s">
        <v>786</v>
      </c>
      <c r="F53" s="63" t="s">
        <v>787</v>
      </c>
      <c r="G53" s="1" t="s">
        <v>655</v>
      </c>
      <c r="H53" s="2"/>
      <c r="I53" s="63" t="s">
        <v>788</v>
      </c>
      <c r="J53" s="17" t="s">
        <v>789</v>
      </c>
      <c r="K53" s="44" t="s">
        <v>790</v>
      </c>
      <c r="L53" s="64">
        <f t="shared" si="3"/>
        <v>1</v>
      </c>
      <c r="M53" s="17">
        <v>1.0</v>
      </c>
    </row>
    <row r="54" ht="16.5" customHeight="1">
      <c r="A54" s="1" t="s">
        <v>791</v>
      </c>
      <c r="B54" s="63">
        <v>2023.0</v>
      </c>
      <c r="C54" s="63">
        <v>1.0</v>
      </c>
      <c r="D54" s="63" t="str">
        <f>IFERROR(__xludf.DUMMYFUNCTION("if(regexmatch(E54,""Recycled""),""No"",""Yes"")"),"Yes")</f>
        <v>Yes</v>
      </c>
      <c r="E54" s="63" t="s">
        <v>22</v>
      </c>
      <c r="F54" s="63" t="s">
        <v>787</v>
      </c>
      <c r="G54" s="1" t="s">
        <v>655</v>
      </c>
      <c r="H54" s="2"/>
      <c r="I54" s="63" t="s">
        <v>788</v>
      </c>
      <c r="J54" s="17" t="s">
        <v>789</v>
      </c>
      <c r="K54" s="73" t="s">
        <v>792</v>
      </c>
      <c r="L54" s="64">
        <f t="shared" si="3"/>
        <v>1</v>
      </c>
      <c r="M54" s="17">
        <v>1.0</v>
      </c>
    </row>
    <row r="55" ht="15.75" customHeight="1">
      <c r="A55" s="1" t="s">
        <v>793</v>
      </c>
      <c r="B55" s="63">
        <v>2023.0</v>
      </c>
      <c r="C55" s="63">
        <v>1.0</v>
      </c>
      <c r="D55" s="63" t="str">
        <f>IFERROR(__xludf.DUMMYFUNCTION("if(regexmatch(E55,""Recycled""),""No"",""Yes"")"),"Yes")</f>
        <v>Yes</v>
      </c>
      <c r="E55" s="63" t="s">
        <v>22</v>
      </c>
      <c r="F55" s="63" t="s">
        <v>787</v>
      </c>
      <c r="G55" s="1" t="s">
        <v>655</v>
      </c>
      <c r="H55" s="2"/>
      <c r="I55" s="63" t="s">
        <v>788</v>
      </c>
      <c r="J55" s="17" t="s">
        <v>794</v>
      </c>
      <c r="K55" s="73" t="s">
        <v>795</v>
      </c>
      <c r="L55" s="64">
        <f t="shared" si="3"/>
        <v>1</v>
      </c>
      <c r="M55" s="17">
        <v>1.0</v>
      </c>
    </row>
    <row r="56" hidden="1">
      <c r="A56" s="1" t="s">
        <v>796</v>
      </c>
      <c r="B56" s="63">
        <v>2023.0</v>
      </c>
      <c r="C56" s="63">
        <v>1.0</v>
      </c>
      <c r="D56" s="63" t="str">
        <f>IFERROR(__xludf.DUMMYFUNCTION("if(regexmatch(E56,""Recycled""),""No"",""Yes"")"),"No")</f>
        <v>No</v>
      </c>
      <c r="E56" s="63" t="s">
        <v>786</v>
      </c>
      <c r="F56" s="63" t="s">
        <v>787</v>
      </c>
      <c r="G56" s="1" t="s">
        <v>655</v>
      </c>
      <c r="H56" s="2"/>
      <c r="I56" s="63" t="s">
        <v>788</v>
      </c>
      <c r="J56" s="17" t="s">
        <v>789</v>
      </c>
      <c r="K56" s="73" t="s">
        <v>797</v>
      </c>
      <c r="L56" s="64">
        <f t="shared" si="3"/>
        <v>1</v>
      </c>
      <c r="M56" s="17">
        <v>1.0</v>
      </c>
    </row>
    <row r="57">
      <c r="A57" s="1" t="s">
        <v>798</v>
      </c>
      <c r="B57" s="63">
        <v>2023.0</v>
      </c>
      <c r="C57" s="63">
        <v>1.0</v>
      </c>
      <c r="D57" s="63" t="str">
        <f>IFERROR(__xludf.DUMMYFUNCTION("if(regexmatch(E57,""Recycled""),""No"",""Yes"")"),"Yes")</f>
        <v>Yes</v>
      </c>
      <c r="E57" s="63" t="s">
        <v>22</v>
      </c>
      <c r="F57" s="63" t="s">
        <v>787</v>
      </c>
      <c r="G57" s="1" t="s">
        <v>655</v>
      </c>
      <c r="H57" s="2"/>
      <c r="I57" s="63" t="s">
        <v>788</v>
      </c>
      <c r="J57" s="17" t="s">
        <v>789</v>
      </c>
      <c r="K57" s="73" t="s">
        <v>799</v>
      </c>
      <c r="L57" s="64">
        <f t="shared" si="3"/>
        <v>1</v>
      </c>
      <c r="M57" s="17">
        <v>1.0</v>
      </c>
    </row>
    <row r="58">
      <c r="A58" s="1" t="s">
        <v>800</v>
      </c>
      <c r="B58" s="63">
        <v>2023.0</v>
      </c>
      <c r="C58" s="63">
        <v>1.0</v>
      </c>
      <c r="D58" s="63" t="str">
        <f>IFERROR(__xludf.DUMMYFUNCTION("if(regexmatch(E58,""Recycled""),""No"",""Yes"")"),"Yes")</f>
        <v>Yes</v>
      </c>
      <c r="E58" s="63" t="s">
        <v>22</v>
      </c>
      <c r="F58" s="63" t="s">
        <v>787</v>
      </c>
      <c r="G58" s="1" t="s">
        <v>655</v>
      </c>
      <c r="H58" s="2"/>
      <c r="I58" s="63" t="s">
        <v>788</v>
      </c>
      <c r="J58" s="17" t="s">
        <v>794</v>
      </c>
      <c r="K58" s="73" t="s">
        <v>801</v>
      </c>
      <c r="L58" s="64">
        <f t="shared" si="3"/>
        <v>2</v>
      </c>
      <c r="M58" s="17">
        <v>1.0</v>
      </c>
      <c r="V58" s="17">
        <v>1.0</v>
      </c>
    </row>
    <row r="59" hidden="1">
      <c r="A59" s="1" t="s">
        <v>802</v>
      </c>
      <c r="B59" s="63">
        <v>2023.0</v>
      </c>
      <c r="C59" s="63">
        <v>1.0</v>
      </c>
      <c r="D59" s="63" t="str">
        <f>IFERROR(__xludf.DUMMYFUNCTION("if(regexmatch(E59,""Recycled""),""No"",""Yes"")"),"No")</f>
        <v>No</v>
      </c>
      <c r="E59" s="63" t="s">
        <v>786</v>
      </c>
      <c r="F59" s="63" t="s">
        <v>787</v>
      </c>
      <c r="G59" s="1" t="s">
        <v>655</v>
      </c>
      <c r="H59" s="2"/>
      <c r="I59" s="63" t="s">
        <v>788</v>
      </c>
      <c r="J59" s="17" t="s">
        <v>789</v>
      </c>
      <c r="K59" s="73" t="s">
        <v>797</v>
      </c>
      <c r="L59" s="64">
        <f t="shared" si="3"/>
        <v>1</v>
      </c>
      <c r="AO59" s="17">
        <v>1.0</v>
      </c>
    </row>
    <row r="60">
      <c r="A60" s="1" t="s">
        <v>803</v>
      </c>
      <c r="B60" s="63">
        <v>2023.0</v>
      </c>
      <c r="C60" s="63">
        <v>1.0</v>
      </c>
      <c r="D60" s="63" t="str">
        <f>IFERROR(__xludf.DUMMYFUNCTION("if(regexmatch(E60,""Recycled""),""No"",""Yes"")"),"Yes")</f>
        <v>Yes</v>
      </c>
      <c r="E60" s="63" t="s">
        <v>22</v>
      </c>
      <c r="F60" s="63" t="s">
        <v>787</v>
      </c>
      <c r="G60" s="1" t="s">
        <v>655</v>
      </c>
      <c r="H60" s="2"/>
      <c r="I60" s="63" t="s">
        <v>788</v>
      </c>
      <c r="J60" s="17" t="s">
        <v>789</v>
      </c>
      <c r="K60" s="73" t="s">
        <v>804</v>
      </c>
      <c r="L60" s="64">
        <f t="shared" si="3"/>
        <v>1</v>
      </c>
      <c r="M60" s="17">
        <v>1.0</v>
      </c>
    </row>
    <row r="61" hidden="1">
      <c r="A61" s="1" t="s">
        <v>805</v>
      </c>
      <c r="B61" s="63">
        <v>2023.0</v>
      </c>
      <c r="C61" s="63">
        <v>1.0</v>
      </c>
      <c r="D61" s="63" t="str">
        <f>IFERROR(__xludf.DUMMYFUNCTION("if(regexmatch(E61,""Recycled""),""No"",""Yes"")"),"No")</f>
        <v>No</v>
      </c>
      <c r="E61" s="63" t="s">
        <v>786</v>
      </c>
      <c r="F61" s="63" t="s">
        <v>787</v>
      </c>
      <c r="G61" s="1" t="s">
        <v>655</v>
      </c>
      <c r="H61" s="2"/>
      <c r="I61" s="63" t="s">
        <v>788</v>
      </c>
      <c r="J61" s="17" t="s">
        <v>794</v>
      </c>
      <c r="K61" s="73" t="s">
        <v>806</v>
      </c>
      <c r="L61" s="64">
        <f t="shared" si="3"/>
        <v>1</v>
      </c>
      <c r="M61" s="17">
        <v>1.0</v>
      </c>
    </row>
    <row r="62">
      <c r="A62" s="1" t="s">
        <v>805</v>
      </c>
      <c r="B62" s="63">
        <v>2024.0</v>
      </c>
      <c r="C62" s="63">
        <v>2.0</v>
      </c>
      <c r="D62" s="63" t="str">
        <f>IFERROR(__xludf.DUMMYFUNCTION("if(regexmatch(E62,""Recycled""),""No"",""Yes"")"),"Yes")</f>
        <v>Yes</v>
      </c>
      <c r="E62" s="63"/>
      <c r="F62" s="63" t="s">
        <v>787</v>
      </c>
      <c r="G62" s="1"/>
      <c r="H62" s="2"/>
      <c r="I62" s="63"/>
      <c r="J62" s="17" t="s">
        <v>807</v>
      </c>
      <c r="K62" s="63"/>
      <c r="L62" s="64"/>
      <c r="M62" s="17"/>
    </row>
    <row r="63">
      <c r="A63" s="1" t="s">
        <v>808</v>
      </c>
      <c r="B63" s="63">
        <v>2023.0</v>
      </c>
      <c r="C63" s="63">
        <v>1.0</v>
      </c>
      <c r="D63" s="63" t="str">
        <f>IFERROR(__xludf.DUMMYFUNCTION("if(regexmatch(E63,""Recycled""),""No"",""Yes"")"),"Yes")</f>
        <v>Yes</v>
      </c>
      <c r="E63" s="63" t="s">
        <v>22</v>
      </c>
      <c r="F63" s="63" t="s">
        <v>787</v>
      </c>
      <c r="G63" s="1" t="s">
        <v>655</v>
      </c>
      <c r="H63" s="2"/>
      <c r="I63" s="63" t="s">
        <v>788</v>
      </c>
      <c r="J63" s="17" t="s">
        <v>789</v>
      </c>
      <c r="K63" s="73" t="s">
        <v>809</v>
      </c>
      <c r="L63" s="64">
        <f t="shared" ref="L63:L71" si="4">SUM(M63:AW63)</f>
        <v>1</v>
      </c>
      <c r="M63" s="17">
        <v>1.0</v>
      </c>
    </row>
    <row r="64">
      <c r="A64" s="1" t="s">
        <v>810</v>
      </c>
      <c r="B64" s="63">
        <v>2023.0</v>
      </c>
      <c r="C64" s="63">
        <v>1.0</v>
      </c>
      <c r="D64" s="63" t="str">
        <f>IFERROR(__xludf.DUMMYFUNCTION("if(regexmatch(E64,""Recycled""),""No"",""Yes"")"),"Yes")</f>
        <v>Yes</v>
      </c>
      <c r="E64" s="63" t="s">
        <v>22</v>
      </c>
      <c r="F64" s="63" t="s">
        <v>787</v>
      </c>
      <c r="G64" s="1" t="s">
        <v>655</v>
      </c>
      <c r="H64" s="2"/>
      <c r="I64" s="63" t="s">
        <v>788</v>
      </c>
      <c r="J64" s="17" t="s">
        <v>789</v>
      </c>
      <c r="K64" s="73" t="s">
        <v>811</v>
      </c>
      <c r="L64" s="64">
        <f t="shared" si="4"/>
        <v>1</v>
      </c>
      <c r="AO64" s="17">
        <v>1.0</v>
      </c>
    </row>
    <row r="65">
      <c r="A65" s="1" t="s">
        <v>812</v>
      </c>
      <c r="B65" s="63">
        <v>2023.0</v>
      </c>
      <c r="C65" s="63">
        <v>1.0</v>
      </c>
      <c r="D65" s="63" t="str">
        <f>IFERROR(__xludf.DUMMYFUNCTION("if(regexmatch(E65,""Recycled""),""No"",""Yes"")"),"Yes")</f>
        <v>Yes</v>
      </c>
      <c r="E65" s="63" t="s">
        <v>22</v>
      </c>
      <c r="F65" s="63" t="s">
        <v>787</v>
      </c>
      <c r="G65" s="1" t="s">
        <v>655</v>
      </c>
      <c r="H65" s="2"/>
      <c r="I65" s="63" t="s">
        <v>788</v>
      </c>
      <c r="J65" s="17" t="s">
        <v>789</v>
      </c>
      <c r="K65" s="74" t="s">
        <v>813</v>
      </c>
      <c r="L65" s="64">
        <f t="shared" si="4"/>
        <v>1</v>
      </c>
      <c r="V65" s="17">
        <v>1.0</v>
      </c>
    </row>
    <row r="66">
      <c r="A66" s="1" t="s">
        <v>814</v>
      </c>
      <c r="B66" s="63">
        <v>2023.0</v>
      </c>
      <c r="C66" s="63">
        <v>1.0</v>
      </c>
      <c r="D66" s="63" t="str">
        <f>IFERROR(__xludf.DUMMYFUNCTION("if(regexmatch(E66,""Recycled""),""No"",""Yes"")"),"Yes")</f>
        <v>Yes</v>
      </c>
      <c r="E66" s="63" t="s">
        <v>22</v>
      </c>
      <c r="F66" s="63" t="s">
        <v>787</v>
      </c>
      <c r="G66" s="1" t="s">
        <v>655</v>
      </c>
      <c r="H66" s="2"/>
      <c r="I66" s="63" t="s">
        <v>788</v>
      </c>
      <c r="J66" s="17" t="s">
        <v>789</v>
      </c>
      <c r="K66" s="73" t="s">
        <v>815</v>
      </c>
      <c r="L66" s="64">
        <f t="shared" si="4"/>
        <v>1</v>
      </c>
      <c r="N66" s="17">
        <v>1.0</v>
      </c>
    </row>
    <row r="67" hidden="1">
      <c r="A67" s="1" t="s">
        <v>816</v>
      </c>
      <c r="B67" s="63">
        <v>2023.0</v>
      </c>
      <c r="C67" s="63">
        <v>1.0</v>
      </c>
      <c r="D67" s="63" t="str">
        <f>IFERROR(__xludf.DUMMYFUNCTION("if(regexmatch(E67,""Recycled""),""No"",""Yes"")"),"No")</f>
        <v>No</v>
      </c>
      <c r="E67" s="63" t="s">
        <v>786</v>
      </c>
      <c r="F67" s="63" t="s">
        <v>787</v>
      </c>
      <c r="G67" s="1" t="s">
        <v>655</v>
      </c>
      <c r="H67" s="2"/>
      <c r="I67" s="63" t="s">
        <v>788</v>
      </c>
      <c r="J67" s="17" t="s">
        <v>789</v>
      </c>
      <c r="K67" s="41" t="s">
        <v>817</v>
      </c>
      <c r="L67" s="64">
        <f t="shared" si="4"/>
        <v>1</v>
      </c>
      <c r="AP67" s="17">
        <v>1.0</v>
      </c>
    </row>
    <row r="68" hidden="1">
      <c r="A68" s="1" t="s">
        <v>818</v>
      </c>
      <c r="B68" s="63">
        <v>2023.0</v>
      </c>
      <c r="C68" s="63">
        <v>1.0</v>
      </c>
      <c r="D68" s="63" t="str">
        <f>IFERROR(__xludf.DUMMYFUNCTION("if(regexmatch(E68,""Recycled""),""No"",""Yes"")"),"No")</f>
        <v>No</v>
      </c>
      <c r="E68" s="63" t="s">
        <v>786</v>
      </c>
      <c r="F68" s="63" t="s">
        <v>787</v>
      </c>
      <c r="G68" s="1" t="s">
        <v>655</v>
      </c>
      <c r="H68" s="2"/>
      <c r="I68" s="63" t="s">
        <v>788</v>
      </c>
      <c r="J68" s="17" t="s">
        <v>789</v>
      </c>
      <c r="K68" s="41" t="s">
        <v>819</v>
      </c>
      <c r="L68" s="64">
        <f t="shared" si="4"/>
        <v>1</v>
      </c>
      <c r="AE68" s="17">
        <v>1.0</v>
      </c>
    </row>
    <row r="69">
      <c r="A69" s="1" t="s">
        <v>820</v>
      </c>
      <c r="B69" s="63">
        <v>2023.0</v>
      </c>
      <c r="C69" s="63">
        <v>1.0</v>
      </c>
      <c r="D69" s="63" t="str">
        <f>IFERROR(__xludf.DUMMYFUNCTION("if(regexmatch(E69,""Recycled""),""No"",""Yes"")"),"Yes")</f>
        <v>Yes</v>
      </c>
      <c r="E69" s="63" t="s">
        <v>22</v>
      </c>
      <c r="F69" s="63" t="s">
        <v>787</v>
      </c>
      <c r="G69" s="1" t="s">
        <v>655</v>
      </c>
      <c r="H69" s="2"/>
      <c r="I69" s="63" t="s">
        <v>788</v>
      </c>
      <c r="J69" s="17" t="s">
        <v>789</v>
      </c>
      <c r="K69" s="44" t="s">
        <v>821</v>
      </c>
      <c r="L69" s="64">
        <f t="shared" si="4"/>
        <v>1</v>
      </c>
      <c r="AE69" s="17">
        <v>1.0</v>
      </c>
    </row>
    <row r="70" hidden="1">
      <c r="A70" s="1" t="s">
        <v>822</v>
      </c>
      <c r="B70" s="63">
        <v>2023.0</v>
      </c>
      <c r="C70" s="63">
        <v>1.0</v>
      </c>
      <c r="D70" s="63" t="str">
        <f>IFERROR(__xludf.DUMMYFUNCTION("if(regexmatch(E70,""Recycled""),""No"",""Yes"")"),"No")</f>
        <v>No</v>
      </c>
      <c r="E70" s="63" t="s">
        <v>786</v>
      </c>
      <c r="F70" s="63" t="s">
        <v>787</v>
      </c>
      <c r="G70" s="1" t="s">
        <v>655</v>
      </c>
      <c r="H70" s="2"/>
      <c r="I70" s="63" t="s">
        <v>788</v>
      </c>
      <c r="J70" s="17" t="s">
        <v>794</v>
      </c>
      <c r="K70" s="41" t="s">
        <v>823</v>
      </c>
      <c r="L70" s="64">
        <f t="shared" si="4"/>
        <v>1</v>
      </c>
      <c r="AP70" s="17">
        <v>1.0</v>
      </c>
    </row>
    <row r="71" hidden="1">
      <c r="A71" s="1" t="s">
        <v>824</v>
      </c>
      <c r="B71" s="63">
        <v>2023.0</v>
      </c>
      <c r="C71" s="63">
        <v>1.0</v>
      </c>
      <c r="D71" s="63" t="str">
        <f>IFERROR(__xludf.DUMMYFUNCTION("if(regexmatch(E71,""Recycled""),""No"",""Yes"")"),"No")</f>
        <v>No</v>
      </c>
      <c r="E71" s="63" t="s">
        <v>786</v>
      </c>
      <c r="F71" s="63" t="s">
        <v>787</v>
      </c>
      <c r="G71" s="1" t="s">
        <v>655</v>
      </c>
      <c r="H71" s="2"/>
      <c r="I71" s="63" t="s">
        <v>788</v>
      </c>
      <c r="J71" s="17" t="s">
        <v>794</v>
      </c>
      <c r="K71" s="75" t="s">
        <v>825</v>
      </c>
      <c r="L71" s="64">
        <f t="shared" si="4"/>
        <v>1</v>
      </c>
      <c r="AO71" s="17">
        <v>1.0</v>
      </c>
    </row>
    <row r="72">
      <c r="A72" s="1" t="s">
        <v>824</v>
      </c>
      <c r="B72" s="63">
        <v>2025.0</v>
      </c>
      <c r="C72" s="63">
        <v>2.0</v>
      </c>
      <c r="D72" s="63" t="str">
        <f>IFERROR(__xludf.DUMMYFUNCTION("if(regexmatch(E72,""Recycled""),""No"",""Yes"")"),"Yes")</f>
        <v>Yes</v>
      </c>
      <c r="E72" s="63"/>
      <c r="F72" s="63" t="s">
        <v>787</v>
      </c>
      <c r="G72" s="1"/>
      <c r="H72" s="2"/>
      <c r="I72" s="63"/>
      <c r="J72" s="17" t="s">
        <v>826</v>
      </c>
      <c r="K72" s="17"/>
      <c r="L72" s="64"/>
      <c r="M72" s="17"/>
    </row>
    <row r="73">
      <c r="A73" s="1" t="s">
        <v>827</v>
      </c>
      <c r="B73" s="63">
        <v>2023.0</v>
      </c>
      <c r="C73" s="63">
        <v>1.0</v>
      </c>
      <c r="D73" s="63" t="str">
        <f>IFERROR(__xludf.DUMMYFUNCTION("if(regexmatch(E73,""Recycled""),""No"",""Yes"")"),"Yes")</f>
        <v>Yes</v>
      </c>
      <c r="E73" s="63" t="s">
        <v>22</v>
      </c>
      <c r="F73" s="63" t="s">
        <v>787</v>
      </c>
      <c r="G73" s="1" t="s">
        <v>655</v>
      </c>
      <c r="H73" s="2"/>
      <c r="I73" s="63" t="s">
        <v>788</v>
      </c>
      <c r="J73" s="17" t="s">
        <v>794</v>
      </c>
      <c r="K73" s="44" t="s">
        <v>828</v>
      </c>
      <c r="L73" s="64">
        <f t="shared" ref="L73:L77" si="5">SUM(M73:AW73)</f>
        <v>1</v>
      </c>
      <c r="M73" s="17">
        <v>1.0</v>
      </c>
    </row>
    <row r="74">
      <c r="A74" s="1" t="s">
        <v>829</v>
      </c>
      <c r="B74" s="63">
        <v>2023.0</v>
      </c>
      <c r="C74" s="63">
        <v>1.0</v>
      </c>
      <c r="D74" s="63" t="str">
        <f>IFERROR(__xludf.DUMMYFUNCTION("if(regexmatch(E74,""Recycled""),""No"",""Yes"")"),"Yes")</f>
        <v>Yes</v>
      </c>
      <c r="E74" s="63" t="s">
        <v>22</v>
      </c>
      <c r="F74" s="63" t="s">
        <v>787</v>
      </c>
      <c r="G74" s="1" t="s">
        <v>655</v>
      </c>
      <c r="H74" s="2"/>
      <c r="I74" s="63" t="s">
        <v>788</v>
      </c>
      <c r="J74" s="17" t="s">
        <v>789</v>
      </c>
      <c r="K74" s="44" t="s">
        <v>830</v>
      </c>
      <c r="L74" s="64">
        <f t="shared" si="5"/>
        <v>1</v>
      </c>
      <c r="M74" s="17">
        <v>1.0</v>
      </c>
    </row>
    <row r="75" hidden="1">
      <c r="A75" s="1" t="s">
        <v>831</v>
      </c>
      <c r="B75" s="63">
        <v>2023.0</v>
      </c>
      <c r="C75" s="63">
        <v>1.0</v>
      </c>
      <c r="D75" s="63" t="str">
        <f>IFERROR(__xludf.DUMMYFUNCTION("if(regexmatch(E75,""Recycled""),""No"",""Yes"")"),"No")</f>
        <v>No</v>
      </c>
      <c r="E75" s="63" t="s">
        <v>786</v>
      </c>
      <c r="F75" s="63" t="s">
        <v>787</v>
      </c>
      <c r="G75" s="1" t="s">
        <v>655</v>
      </c>
      <c r="H75" s="2"/>
      <c r="I75" s="63" t="s">
        <v>788</v>
      </c>
      <c r="J75" s="17" t="s">
        <v>794</v>
      </c>
      <c r="K75" s="75" t="s">
        <v>825</v>
      </c>
      <c r="L75" s="64">
        <f t="shared" si="5"/>
        <v>1</v>
      </c>
      <c r="AO75" s="17">
        <v>1.0</v>
      </c>
    </row>
    <row r="76" hidden="1">
      <c r="A76" s="1" t="s">
        <v>832</v>
      </c>
      <c r="B76" s="63">
        <v>2023.0</v>
      </c>
      <c r="C76" s="63">
        <v>1.0</v>
      </c>
      <c r="D76" s="63" t="str">
        <f>IFERROR(__xludf.DUMMYFUNCTION("if(regexmatch(E76,""Recycled""),""No"",""Yes"")"),"No")</f>
        <v>No</v>
      </c>
      <c r="E76" s="63" t="s">
        <v>786</v>
      </c>
      <c r="F76" s="63" t="s">
        <v>787</v>
      </c>
      <c r="G76" s="1" t="s">
        <v>655</v>
      </c>
      <c r="H76" s="2"/>
      <c r="I76" s="63" t="s">
        <v>788</v>
      </c>
      <c r="J76" s="17" t="s">
        <v>789</v>
      </c>
      <c r="K76" s="44" t="s">
        <v>833</v>
      </c>
      <c r="L76" s="64">
        <f t="shared" si="5"/>
        <v>1</v>
      </c>
      <c r="AE76" s="17">
        <v>1.0</v>
      </c>
    </row>
    <row r="77" hidden="1">
      <c r="A77" s="1" t="s">
        <v>834</v>
      </c>
      <c r="B77" s="63">
        <v>2023.0</v>
      </c>
      <c r="C77" s="63">
        <v>1.0</v>
      </c>
      <c r="D77" s="63" t="str">
        <f>IFERROR(__xludf.DUMMYFUNCTION("if(regexmatch(E77,""Recycled""),""No"",""Yes"")"),"No")</f>
        <v>No</v>
      </c>
      <c r="E77" s="63" t="s">
        <v>786</v>
      </c>
      <c r="F77" s="63" t="s">
        <v>787</v>
      </c>
      <c r="G77" s="1" t="s">
        <v>655</v>
      </c>
      <c r="H77" s="2"/>
      <c r="I77" s="63" t="s">
        <v>788</v>
      </c>
      <c r="J77" s="17" t="s">
        <v>794</v>
      </c>
      <c r="K77" s="41" t="s">
        <v>819</v>
      </c>
      <c r="L77" s="64">
        <f t="shared" si="5"/>
        <v>1</v>
      </c>
      <c r="AP77" s="17">
        <v>1.0</v>
      </c>
    </row>
    <row r="78">
      <c r="A78" s="1" t="s">
        <v>834</v>
      </c>
      <c r="B78" s="63">
        <v>2025.0</v>
      </c>
      <c r="C78" s="63">
        <v>2.0</v>
      </c>
      <c r="D78" s="63" t="str">
        <f>IFERROR(__xludf.DUMMYFUNCTION("if(regexmatch(E78,""Recycled""),""No"",""Yes"")"),"Yes")</f>
        <v>Yes</v>
      </c>
      <c r="E78" s="63"/>
      <c r="F78" s="63" t="s">
        <v>787</v>
      </c>
      <c r="G78" s="1"/>
      <c r="H78" s="2"/>
      <c r="I78" s="63"/>
      <c r="J78" s="17" t="s">
        <v>835</v>
      </c>
      <c r="K78" s="17"/>
      <c r="L78" s="64"/>
    </row>
    <row r="79">
      <c r="A79" s="1" t="s">
        <v>836</v>
      </c>
      <c r="B79" s="63">
        <v>2023.0</v>
      </c>
      <c r="C79" s="63">
        <v>1.0</v>
      </c>
      <c r="D79" s="63" t="str">
        <f>IFERROR(__xludf.DUMMYFUNCTION("if(regexmatch(E79,""Recycled""),""No"",""Yes"")"),"Yes")</f>
        <v>Yes</v>
      </c>
      <c r="E79" s="63" t="s">
        <v>22</v>
      </c>
      <c r="F79" s="63" t="s">
        <v>787</v>
      </c>
      <c r="G79" s="1" t="s">
        <v>655</v>
      </c>
      <c r="H79" s="2"/>
      <c r="I79" s="63" t="s">
        <v>788</v>
      </c>
      <c r="J79" s="17" t="s">
        <v>794</v>
      </c>
      <c r="K79" s="44" t="s">
        <v>837</v>
      </c>
      <c r="L79" s="64">
        <f t="shared" ref="L79:L80" si="6">SUM(M79:AW79)</f>
        <v>0</v>
      </c>
    </row>
    <row r="80" hidden="1">
      <c r="A80" s="1" t="s">
        <v>838</v>
      </c>
      <c r="B80" s="63">
        <v>2023.0</v>
      </c>
      <c r="C80" s="63">
        <v>1.0</v>
      </c>
      <c r="D80" s="63" t="str">
        <f>IFERROR(__xludf.DUMMYFUNCTION("if(regexmatch(E80,""Recycled""),""No"",""Yes"")"),"No")</f>
        <v>No</v>
      </c>
      <c r="E80" s="63" t="s">
        <v>786</v>
      </c>
      <c r="F80" s="63" t="s">
        <v>787</v>
      </c>
      <c r="G80" s="1" t="s">
        <v>655</v>
      </c>
      <c r="H80" s="2"/>
      <c r="I80" s="63" t="s">
        <v>788</v>
      </c>
      <c r="J80" s="17" t="s">
        <v>794</v>
      </c>
      <c r="K80" s="73" t="s">
        <v>839</v>
      </c>
      <c r="L80" s="64">
        <f t="shared" si="6"/>
        <v>1</v>
      </c>
      <c r="AO80" s="17">
        <v>1.0</v>
      </c>
    </row>
    <row r="81">
      <c r="A81" s="1" t="s">
        <v>838</v>
      </c>
      <c r="B81" s="63">
        <v>2024.0</v>
      </c>
      <c r="C81" s="63">
        <v>2.0</v>
      </c>
      <c r="D81" s="63" t="str">
        <f>IFERROR(__xludf.DUMMYFUNCTION("if(regexmatch(E81,""Recycled""),""No"",""Yes"")"),"Yes")</f>
        <v>Yes</v>
      </c>
      <c r="E81" s="63"/>
      <c r="F81" s="63" t="s">
        <v>787</v>
      </c>
      <c r="G81" s="1"/>
      <c r="H81" s="2"/>
      <c r="I81" s="63"/>
      <c r="J81" s="17" t="s">
        <v>840</v>
      </c>
      <c r="K81" s="17"/>
      <c r="L81" s="64"/>
      <c r="V81" s="17"/>
    </row>
    <row r="82" hidden="1">
      <c r="A82" s="1" t="s">
        <v>841</v>
      </c>
      <c r="B82" s="63">
        <v>2023.0</v>
      </c>
      <c r="C82" s="63">
        <v>1.0</v>
      </c>
      <c r="D82" s="63" t="str">
        <f>IFERROR(__xludf.DUMMYFUNCTION("if(regexmatch(E82,""Recycled""),""No"",""Yes"")"),"No")</f>
        <v>No</v>
      </c>
      <c r="E82" s="63" t="s">
        <v>786</v>
      </c>
      <c r="F82" s="63" t="s">
        <v>787</v>
      </c>
      <c r="G82" s="1" t="s">
        <v>655</v>
      </c>
      <c r="H82" s="2"/>
      <c r="I82" s="63" t="s">
        <v>788</v>
      </c>
      <c r="J82" s="17" t="s">
        <v>794</v>
      </c>
      <c r="K82" s="73" t="s">
        <v>842</v>
      </c>
      <c r="L82" s="64">
        <f>SUM(M82:AW82)</f>
        <v>1</v>
      </c>
      <c r="V82" s="17">
        <v>1.0</v>
      </c>
    </row>
    <row r="83" ht="15.75" customHeight="1">
      <c r="A83" s="1" t="s">
        <v>841</v>
      </c>
      <c r="B83" s="63">
        <v>2024.0</v>
      </c>
      <c r="C83" s="63">
        <v>2.0</v>
      </c>
      <c r="D83" s="63" t="str">
        <f>IFERROR(__xludf.DUMMYFUNCTION("if(regexmatch(E83,""Recycled""),""No"",""Yes"")"),"Yes")</f>
        <v>Yes</v>
      </c>
      <c r="E83" s="63"/>
      <c r="F83" s="63" t="s">
        <v>787</v>
      </c>
      <c r="G83" s="1"/>
      <c r="H83" s="2"/>
      <c r="I83" s="63"/>
      <c r="J83" s="17" t="s">
        <v>843</v>
      </c>
      <c r="K83" s="63"/>
      <c r="L83" s="64"/>
      <c r="R83" s="17"/>
    </row>
    <row r="84" ht="15.75" customHeight="1">
      <c r="A84" s="1" t="s">
        <v>844</v>
      </c>
      <c r="B84" s="63">
        <v>2023.0</v>
      </c>
      <c r="C84" s="63">
        <v>1.0</v>
      </c>
      <c r="D84" s="63" t="str">
        <f>IFERROR(__xludf.DUMMYFUNCTION("if(regexmatch(E84,""Recycled""),""No"",""Yes"")"),"Yes")</f>
        <v>Yes</v>
      </c>
      <c r="E84" s="63" t="s">
        <v>22</v>
      </c>
      <c r="F84" s="63" t="s">
        <v>787</v>
      </c>
      <c r="G84" s="1" t="s">
        <v>655</v>
      </c>
      <c r="H84" s="2"/>
      <c r="I84" s="63" t="s">
        <v>788</v>
      </c>
      <c r="J84" s="17" t="s">
        <v>794</v>
      </c>
      <c r="K84" s="44" t="s">
        <v>845</v>
      </c>
      <c r="L84" s="64">
        <f t="shared" ref="L84:L90" si="7">SUM(M84:AW84)</f>
        <v>1</v>
      </c>
      <c r="R84" s="17">
        <v>1.0</v>
      </c>
    </row>
    <row r="85" ht="15.75" customHeight="1">
      <c r="A85" s="1" t="s">
        <v>846</v>
      </c>
      <c r="B85" s="63">
        <v>2023.0</v>
      </c>
      <c r="C85" s="63">
        <v>1.0</v>
      </c>
      <c r="D85" s="63" t="str">
        <f>IFERROR(__xludf.DUMMYFUNCTION("if(regexmatch(E85,""Recycled""),""No"",""Yes"")"),"Yes")</f>
        <v>Yes</v>
      </c>
      <c r="E85" s="63" t="s">
        <v>22</v>
      </c>
      <c r="F85" s="63" t="s">
        <v>787</v>
      </c>
      <c r="G85" s="1" t="s">
        <v>655</v>
      </c>
      <c r="H85" s="2"/>
      <c r="I85" s="63" t="s">
        <v>788</v>
      </c>
      <c r="J85" s="17" t="s">
        <v>794</v>
      </c>
      <c r="K85" s="44" t="s">
        <v>847</v>
      </c>
      <c r="L85" s="64">
        <f t="shared" si="7"/>
        <v>1</v>
      </c>
      <c r="R85" s="17">
        <v>1.0</v>
      </c>
    </row>
    <row r="86" ht="15.75" customHeight="1">
      <c r="A86" s="1" t="s">
        <v>848</v>
      </c>
      <c r="B86" s="63">
        <v>2023.0</v>
      </c>
      <c r="C86" s="63">
        <v>1.0</v>
      </c>
      <c r="D86" s="63" t="str">
        <f>IFERROR(__xludf.DUMMYFUNCTION("if(regexmatch(E86,""Recycled""),""No"",""Yes"")"),"Yes")</f>
        <v>Yes</v>
      </c>
      <c r="E86" s="63" t="s">
        <v>22</v>
      </c>
      <c r="F86" s="63" t="s">
        <v>787</v>
      </c>
      <c r="G86" s="1" t="s">
        <v>655</v>
      </c>
      <c r="H86" s="2"/>
      <c r="I86" s="63" t="s">
        <v>788</v>
      </c>
      <c r="J86" s="17" t="s">
        <v>794</v>
      </c>
      <c r="K86" s="74" t="s">
        <v>849</v>
      </c>
      <c r="L86" s="64">
        <f t="shared" si="7"/>
        <v>1</v>
      </c>
      <c r="R86" s="17">
        <v>1.0</v>
      </c>
    </row>
    <row r="87">
      <c r="A87" s="1" t="s">
        <v>850</v>
      </c>
      <c r="B87" s="63">
        <v>2023.0</v>
      </c>
      <c r="C87" s="63">
        <v>1.0</v>
      </c>
      <c r="D87" s="63" t="str">
        <f>IFERROR(__xludf.DUMMYFUNCTION("if(regexmatch(E87,""Recycled""),""No"",""Yes"")"),"Yes")</f>
        <v>Yes</v>
      </c>
      <c r="E87" s="63" t="s">
        <v>22</v>
      </c>
      <c r="F87" s="63" t="s">
        <v>787</v>
      </c>
      <c r="G87" s="1" t="s">
        <v>655</v>
      </c>
      <c r="H87" s="2"/>
      <c r="I87" s="63" t="s">
        <v>788</v>
      </c>
      <c r="J87" s="17" t="s">
        <v>794</v>
      </c>
      <c r="K87" s="44" t="s">
        <v>851</v>
      </c>
      <c r="L87" s="64">
        <f t="shared" si="7"/>
        <v>2</v>
      </c>
      <c r="R87" s="17">
        <v>1.0</v>
      </c>
      <c r="AO87" s="17">
        <v>1.0</v>
      </c>
    </row>
    <row r="88" hidden="1">
      <c r="A88" s="1" t="s">
        <v>852</v>
      </c>
      <c r="B88" s="63">
        <v>2015.0</v>
      </c>
      <c r="C88" s="63">
        <v>1.0</v>
      </c>
      <c r="D88" s="63" t="str">
        <f>IFERROR(__xludf.DUMMYFUNCTION("if(regexmatch(E88,""Recycled""),""No"",""Yes"")"),"No")</f>
        <v>No</v>
      </c>
      <c r="E88" s="63" t="s">
        <v>653</v>
      </c>
      <c r="F88" s="63" t="s">
        <v>654</v>
      </c>
      <c r="G88" s="1" t="s">
        <v>772</v>
      </c>
      <c r="H88" s="2"/>
      <c r="I88" s="69"/>
      <c r="J88" s="6"/>
      <c r="K88" s="6"/>
      <c r="L88" s="64">
        <f t="shared" si="7"/>
        <v>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7" t="s">
        <v>7</v>
      </c>
      <c r="AY88" s="67" t="s">
        <v>7</v>
      </c>
      <c r="AZ88" s="70" t="s">
        <v>773</v>
      </c>
      <c r="BA88" s="6"/>
      <c r="BB88" s="6"/>
      <c r="BC88" s="6"/>
      <c r="BD88" s="67" t="s">
        <v>774</v>
      </c>
      <c r="BE88" s="6"/>
      <c r="BF88" s="6"/>
      <c r="BG88" s="70" t="s">
        <v>774</v>
      </c>
      <c r="BH88" s="6"/>
      <c r="BI88" s="67" t="s">
        <v>775</v>
      </c>
      <c r="BJ88" s="6"/>
      <c r="BK88" s="67" t="s">
        <v>775</v>
      </c>
      <c r="BL88" s="6"/>
      <c r="BM88" s="6"/>
      <c r="BN88" s="6"/>
      <c r="BO88" s="67" t="s">
        <v>7</v>
      </c>
      <c r="BP88" s="6"/>
      <c r="BQ88" s="76" t="s">
        <v>7</v>
      </c>
      <c r="BR88" s="6"/>
      <c r="BS88" s="67" t="s">
        <v>7</v>
      </c>
      <c r="BT88" s="6"/>
      <c r="BU88" s="67" t="s">
        <v>7</v>
      </c>
      <c r="BV88" s="6"/>
      <c r="BW88" s="67" t="s">
        <v>775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</row>
    <row r="89" hidden="1">
      <c r="A89" s="1" t="s">
        <v>852</v>
      </c>
      <c r="B89" s="63">
        <v>2019.0</v>
      </c>
      <c r="C89" s="63">
        <v>2.0</v>
      </c>
      <c r="D89" s="63" t="str">
        <f>IFERROR(__xludf.DUMMYFUNCTION("if(regexmatch(E89,""Recycled""),""No"",""Yes"")"),"No")</f>
        <v>No</v>
      </c>
      <c r="E89" s="63" t="s">
        <v>696</v>
      </c>
      <c r="F89" s="63" t="s">
        <v>660</v>
      </c>
      <c r="G89" s="1" t="s">
        <v>655</v>
      </c>
      <c r="H89" s="1"/>
      <c r="I89" s="69"/>
      <c r="J89" s="18"/>
      <c r="K89" s="18" t="s">
        <v>853</v>
      </c>
      <c r="L89" s="64">
        <f t="shared" si="7"/>
        <v>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18"/>
      <c r="AO89" s="18">
        <v>1.0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</row>
    <row r="90" hidden="1">
      <c r="A90" s="1" t="s">
        <v>852</v>
      </c>
      <c r="B90" s="63">
        <v>2020.0</v>
      </c>
      <c r="C90" s="63">
        <v>3.0</v>
      </c>
      <c r="D90" s="63" t="str">
        <f>IFERROR(__xludf.DUMMYFUNCTION("if(regexmatch(E90,""Recycled""),""No"",""Yes"")"),"No")</f>
        <v>No</v>
      </c>
      <c r="E90" s="63" t="s">
        <v>786</v>
      </c>
      <c r="F90" s="63" t="s">
        <v>660</v>
      </c>
      <c r="G90" s="1" t="s">
        <v>655</v>
      </c>
      <c r="H90" s="2"/>
      <c r="I90" s="69"/>
      <c r="J90" s="18"/>
      <c r="K90" s="6"/>
      <c r="L90" s="64">
        <f t="shared" si="7"/>
        <v>1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18">
        <v>1.0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</row>
    <row r="91">
      <c r="A91" s="1" t="s">
        <v>852</v>
      </c>
      <c r="B91" s="63">
        <v>2024.0</v>
      </c>
      <c r="C91" s="63">
        <v>4.0</v>
      </c>
      <c r="D91" s="63" t="str">
        <f>IFERROR(__xludf.DUMMYFUNCTION("if(regexmatch(E91,""Recycled""),""No"",""Yes"")"),"Yes")</f>
        <v>Yes</v>
      </c>
      <c r="E91" s="63"/>
      <c r="F91" s="63" t="s">
        <v>660</v>
      </c>
      <c r="G91" s="1"/>
      <c r="H91" s="1">
        <v>2.0</v>
      </c>
      <c r="I91" s="69"/>
      <c r="J91" s="17" t="s">
        <v>854</v>
      </c>
      <c r="K91" s="6"/>
      <c r="L91" s="64"/>
      <c r="M91" s="18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18"/>
      <c r="AF91" s="6"/>
      <c r="AG91" s="6"/>
      <c r="AH91" s="6"/>
      <c r="AI91" s="6"/>
      <c r="AJ91" s="6"/>
      <c r="AK91" s="6"/>
      <c r="AL91" s="6"/>
      <c r="AM91" s="6"/>
      <c r="AN91" s="6"/>
      <c r="AO91" s="18"/>
      <c r="AP91" s="18"/>
      <c r="AQ91" s="6"/>
      <c r="AR91" s="6"/>
      <c r="AS91" s="6"/>
      <c r="AT91" s="6"/>
      <c r="AU91" s="6"/>
      <c r="AV91" s="6"/>
      <c r="AW91" s="6"/>
      <c r="AX91" s="6"/>
      <c r="AY91" s="6"/>
      <c r="AZ91" s="67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</row>
    <row r="92" hidden="1">
      <c r="A92" s="1" t="s">
        <v>855</v>
      </c>
      <c r="B92" s="63">
        <v>2015.0</v>
      </c>
      <c r="C92" s="63">
        <v>1.0</v>
      </c>
      <c r="D92" s="63" t="str">
        <f>IFERROR(__xludf.DUMMYFUNCTION("if(regexmatch(E92,""Recycled""),""No"",""Yes"")"),"No")</f>
        <v>No</v>
      </c>
      <c r="E92" s="63" t="s">
        <v>696</v>
      </c>
      <c r="F92" s="63" t="s">
        <v>660</v>
      </c>
      <c r="G92" s="1" t="s">
        <v>655</v>
      </c>
      <c r="H92" s="2"/>
      <c r="I92" s="69"/>
      <c r="J92" s="18" t="s">
        <v>856</v>
      </c>
      <c r="K92" s="6"/>
      <c r="L92" s="64">
        <f t="shared" ref="L92:L94" si="8">SUM(M92:AW92)</f>
        <v>4</v>
      </c>
      <c r="M92" s="18">
        <v>1.0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18">
        <v>1.0</v>
      </c>
      <c r="AF92" s="6"/>
      <c r="AG92" s="6"/>
      <c r="AH92" s="6"/>
      <c r="AI92" s="6"/>
      <c r="AJ92" s="6"/>
      <c r="AK92" s="6"/>
      <c r="AL92" s="6"/>
      <c r="AM92" s="6"/>
      <c r="AN92" s="6"/>
      <c r="AO92" s="18">
        <v>1.0</v>
      </c>
      <c r="AP92" s="18">
        <v>1.0</v>
      </c>
      <c r="AQ92" s="6"/>
      <c r="AR92" s="6"/>
      <c r="AS92" s="6"/>
      <c r="AT92" s="6"/>
      <c r="AU92" s="6"/>
      <c r="AV92" s="6"/>
      <c r="AW92" s="6"/>
      <c r="AX92" s="6"/>
      <c r="AY92" s="6"/>
      <c r="AZ92" s="67" t="s">
        <v>773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</row>
    <row r="93" hidden="1">
      <c r="A93" s="1" t="s">
        <v>855</v>
      </c>
      <c r="B93" s="63">
        <v>2019.0</v>
      </c>
      <c r="C93" s="63">
        <v>2.0</v>
      </c>
      <c r="D93" s="63" t="str">
        <f>IFERROR(__xludf.DUMMYFUNCTION("if(regexmatch(E93,""Recycled""),""No"",""Yes"")"),"No")</f>
        <v>No</v>
      </c>
      <c r="E93" s="63" t="s">
        <v>857</v>
      </c>
      <c r="F93" s="63" t="s">
        <v>660</v>
      </c>
      <c r="G93" s="1" t="s">
        <v>655</v>
      </c>
      <c r="H93" s="1"/>
      <c r="I93" s="69"/>
      <c r="J93" s="17"/>
      <c r="K93" s="17"/>
      <c r="L93" s="64">
        <f t="shared" si="8"/>
        <v>1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18"/>
      <c r="AO93" s="18">
        <v>1.0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</row>
    <row r="94" hidden="1">
      <c r="A94" s="1" t="s">
        <v>855</v>
      </c>
      <c r="B94" s="63">
        <v>2023.0</v>
      </c>
      <c r="C94" s="63">
        <v>3.0</v>
      </c>
      <c r="D94" s="63" t="str">
        <f>IFERROR(__xludf.DUMMYFUNCTION("if(regexmatch(E94,""Recycled""),""No"",""Yes"")"),"No")</f>
        <v>No</v>
      </c>
      <c r="E94" s="63" t="s">
        <v>786</v>
      </c>
      <c r="F94" s="63" t="s">
        <v>660</v>
      </c>
      <c r="G94" s="1" t="s">
        <v>655</v>
      </c>
      <c r="H94" s="2"/>
      <c r="I94" s="69"/>
      <c r="L94" s="64">
        <f t="shared" si="8"/>
        <v>1</v>
      </c>
      <c r="R94" s="17">
        <v>1.0</v>
      </c>
    </row>
    <row r="95">
      <c r="A95" s="1" t="s">
        <v>855</v>
      </c>
      <c r="B95" s="63">
        <v>2024.0</v>
      </c>
      <c r="C95" s="63">
        <v>4.0</v>
      </c>
      <c r="D95" s="63" t="str">
        <f>IFERROR(__xludf.DUMMYFUNCTION("if(regexmatch(E95,""Recycled""),""No"",""Yes"")"),"Yes")</f>
        <v>Yes</v>
      </c>
      <c r="E95" s="63"/>
      <c r="F95" s="63" t="s">
        <v>660</v>
      </c>
      <c r="G95" s="1"/>
      <c r="H95" s="1">
        <v>3.0</v>
      </c>
      <c r="I95" s="69"/>
      <c r="J95" s="17" t="s">
        <v>858</v>
      </c>
      <c r="K95" s="17"/>
      <c r="L95" s="6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70"/>
      <c r="BK95" s="6"/>
      <c r="BL95" s="6"/>
      <c r="BM95" s="6"/>
      <c r="BN95" s="6"/>
      <c r="BO95" s="6"/>
      <c r="BP95" s="6"/>
      <c r="BQ95" s="67"/>
      <c r="BR95" s="6"/>
      <c r="BS95" s="67"/>
      <c r="BT95" s="6"/>
      <c r="BU95" s="67"/>
      <c r="BV95" s="6"/>
      <c r="BW95" s="67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</row>
    <row r="96" hidden="1">
      <c r="A96" s="1" t="s">
        <v>859</v>
      </c>
      <c r="B96" s="63">
        <v>2015.0</v>
      </c>
      <c r="C96" s="63">
        <v>1.0</v>
      </c>
      <c r="D96" s="63" t="str">
        <f>IFERROR(__xludf.DUMMYFUNCTION("if(regexmatch(E96,""Recycled""),""No"",""Yes"")"),"No")</f>
        <v>No</v>
      </c>
      <c r="E96" s="63" t="s">
        <v>653</v>
      </c>
      <c r="F96" s="63" t="s">
        <v>769</v>
      </c>
      <c r="G96" s="1" t="s">
        <v>772</v>
      </c>
      <c r="H96" s="1"/>
      <c r="I96" s="69"/>
      <c r="J96" s="17"/>
      <c r="K96" s="17"/>
      <c r="L96" s="64">
        <f t="shared" ref="L96:L98" si="9">SUM(M96:AW96)</f>
        <v>4</v>
      </c>
      <c r="M96" s="17">
        <v>1.0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>
        <v>1.0</v>
      </c>
      <c r="AJ96" s="17"/>
      <c r="AK96" s="17"/>
      <c r="AL96" s="17"/>
      <c r="AM96" s="17"/>
      <c r="AN96" s="17"/>
      <c r="AO96" s="17">
        <v>1.0</v>
      </c>
      <c r="AP96" s="17">
        <v>1.0</v>
      </c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70" t="s">
        <v>778</v>
      </c>
      <c r="BK96" s="6"/>
      <c r="BL96" s="6"/>
      <c r="BM96" s="6"/>
      <c r="BN96" s="6"/>
      <c r="BO96" s="6"/>
      <c r="BP96" s="6"/>
      <c r="BQ96" s="67" t="s">
        <v>860</v>
      </c>
      <c r="BR96" s="6"/>
      <c r="BS96" s="67" t="s">
        <v>7</v>
      </c>
      <c r="BT96" s="6"/>
      <c r="BU96" s="67" t="s">
        <v>774</v>
      </c>
      <c r="BV96" s="6"/>
      <c r="BW96" s="67" t="s">
        <v>775</v>
      </c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</row>
    <row r="97" hidden="1">
      <c r="A97" s="1" t="s">
        <v>859</v>
      </c>
      <c r="B97" s="63">
        <v>2020.0</v>
      </c>
      <c r="C97" s="63">
        <v>2.0</v>
      </c>
      <c r="D97" s="63" t="str">
        <f>IFERROR(__xludf.DUMMYFUNCTION("if(regexmatch(E97,""Recycled""),""No"",""Yes"")"),"No")</f>
        <v>No</v>
      </c>
      <c r="E97" s="63" t="s">
        <v>696</v>
      </c>
      <c r="F97" s="63" t="s">
        <v>654</v>
      </c>
      <c r="G97" s="1" t="s">
        <v>655</v>
      </c>
      <c r="H97" s="1"/>
      <c r="I97" s="63"/>
      <c r="L97" s="64">
        <f t="shared" si="9"/>
        <v>2</v>
      </c>
      <c r="M97" s="17">
        <v>1.0</v>
      </c>
      <c r="AC97" s="17"/>
      <c r="AD97" s="17"/>
      <c r="AE97" s="17">
        <v>1.0</v>
      </c>
      <c r="AN97" s="17"/>
      <c r="AO97" s="17"/>
      <c r="AP97" s="17"/>
    </row>
    <row r="98" hidden="1">
      <c r="A98" s="1" t="s">
        <v>859</v>
      </c>
      <c r="B98" s="63">
        <v>2022.0</v>
      </c>
      <c r="C98" s="63">
        <v>3.0</v>
      </c>
      <c r="D98" s="63" t="str">
        <f>IFERROR(__xludf.DUMMYFUNCTION("if(regexmatch(E98,""Recycled""),""No"",""Yes"")"),"No")</f>
        <v>No</v>
      </c>
      <c r="E98" s="63" t="s">
        <v>786</v>
      </c>
      <c r="F98" s="63" t="s">
        <v>654</v>
      </c>
      <c r="G98" s="1" t="s">
        <v>655</v>
      </c>
      <c r="H98" s="2"/>
      <c r="I98" s="69"/>
      <c r="J98" s="17"/>
      <c r="K98" s="41" t="s">
        <v>861</v>
      </c>
      <c r="L98" s="64">
        <f t="shared" si="9"/>
        <v>1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8">
        <v>1.0</v>
      </c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</row>
    <row r="99">
      <c r="A99" s="1" t="s">
        <v>859</v>
      </c>
      <c r="B99" s="63">
        <v>2024.0</v>
      </c>
      <c r="C99" s="63">
        <v>4.0</v>
      </c>
      <c r="D99" s="63" t="str">
        <f>IFERROR(__xludf.DUMMYFUNCTION("if(regexmatch(E99,""Recycled""),""No"",""Yes"")"),"Yes")</f>
        <v>Yes</v>
      </c>
      <c r="E99" s="63"/>
      <c r="F99" s="63" t="s">
        <v>660</v>
      </c>
      <c r="G99" s="1"/>
      <c r="H99" s="1">
        <v>2.0</v>
      </c>
      <c r="I99" s="69"/>
      <c r="J99" s="17" t="s">
        <v>862</v>
      </c>
      <c r="K99" s="17"/>
      <c r="L99" s="6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70"/>
      <c r="BH99" s="70"/>
      <c r="BI99" s="70"/>
      <c r="BJ99" s="68"/>
      <c r="BK99" s="68"/>
      <c r="BL99" s="6"/>
      <c r="BM99" s="6"/>
      <c r="BN99" s="6"/>
      <c r="BO99" s="67"/>
      <c r="BP99" s="6"/>
      <c r="BQ99" s="67"/>
      <c r="BR99" s="6"/>
      <c r="BS99" s="68"/>
      <c r="BT99" s="6"/>
      <c r="BU99" s="68"/>
      <c r="BV99" s="6"/>
      <c r="BW99" s="68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</row>
    <row r="100" hidden="1">
      <c r="A100" s="1" t="s">
        <v>863</v>
      </c>
      <c r="B100" s="63">
        <v>2016.0</v>
      </c>
      <c r="C100" s="63">
        <v>1.0</v>
      </c>
      <c r="D100" s="63" t="str">
        <f>IFERROR(__xludf.DUMMYFUNCTION("if(regexmatch(E100,""Recycled""),""No"",""Yes"")"),"No")</f>
        <v>No</v>
      </c>
      <c r="E100" s="63" t="s">
        <v>653</v>
      </c>
      <c r="F100" s="63" t="s">
        <v>654</v>
      </c>
      <c r="G100" s="1" t="s">
        <v>772</v>
      </c>
      <c r="H100" s="2"/>
      <c r="I100" s="69"/>
      <c r="J100" s="17"/>
      <c r="K100" s="17"/>
      <c r="L100" s="64">
        <f t="shared" ref="L100:L101" si="10">SUM(M100:AW100)</f>
        <v>4</v>
      </c>
      <c r="M100" s="17">
        <v>1.0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>
        <v>1.0</v>
      </c>
      <c r="AJ100" s="17"/>
      <c r="AK100" s="17"/>
      <c r="AL100" s="17"/>
      <c r="AM100" s="17"/>
      <c r="AN100" s="17"/>
      <c r="AO100" s="17">
        <v>1.0</v>
      </c>
      <c r="AP100" s="17">
        <v>1.0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70" t="s">
        <v>774</v>
      </c>
      <c r="BH100" s="70" t="s">
        <v>778</v>
      </c>
      <c r="BI100" s="70" t="s">
        <v>778</v>
      </c>
      <c r="BJ100" s="68" t="s">
        <v>864</v>
      </c>
      <c r="BK100" s="68" t="s">
        <v>864</v>
      </c>
      <c r="BL100" s="6"/>
      <c r="BM100" s="6"/>
      <c r="BN100" s="6"/>
      <c r="BO100" s="67" t="s">
        <v>7</v>
      </c>
      <c r="BP100" s="6"/>
      <c r="BQ100" s="67" t="s">
        <v>7</v>
      </c>
      <c r="BR100" s="6"/>
      <c r="BS100" s="68" t="s">
        <v>865</v>
      </c>
      <c r="BT100" s="6"/>
      <c r="BU100" s="68" t="s">
        <v>865</v>
      </c>
      <c r="BV100" s="6"/>
      <c r="BW100" s="68" t="s">
        <v>865</v>
      </c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</row>
    <row r="101" hidden="1">
      <c r="A101" s="1" t="s">
        <v>863</v>
      </c>
      <c r="B101" s="63">
        <v>2019.0</v>
      </c>
      <c r="C101" s="63">
        <v>2.0</v>
      </c>
      <c r="D101" s="63" t="str">
        <f>IFERROR(__xludf.DUMMYFUNCTION("if(regexmatch(E101,""Recycled""),""No"",""Yes"")"),"No")</f>
        <v>No</v>
      </c>
      <c r="E101" s="63" t="s">
        <v>786</v>
      </c>
      <c r="F101" s="63" t="s">
        <v>660</v>
      </c>
      <c r="G101" s="1" t="s">
        <v>655</v>
      </c>
      <c r="H101" s="1"/>
      <c r="I101" s="69"/>
      <c r="K101" s="73" t="s">
        <v>866</v>
      </c>
      <c r="L101" s="64">
        <f t="shared" si="10"/>
        <v>2</v>
      </c>
      <c r="M101" s="17"/>
      <c r="N101" s="17"/>
      <c r="O101" s="17">
        <v>1.0</v>
      </c>
      <c r="P101" s="17"/>
      <c r="Q101" s="17">
        <v>1.0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I101" s="17"/>
      <c r="AJ101" s="17"/>
      <c r="AK101" s="17"/>
      <c r="AL101" s="17"/>
      <c r="AM101" s="17"/>
      <c r="AN101" s="17"/>
      <c r="AO101" s="17"/>
      <c r="AP101" s="17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</row>
    <row r="102">
      <c r="A102" s="1" t="s">
        <v>863</v>
      </c>
      <c r="B102" s="63">
        <v>2024.0</v>
      </c>
      <c r="C102" s="63">
        <v>3.0</v>
      </c>
      <c r="D102" s="63" t="str">
        <f>IFERROR(__xludf.DUMMYFUNCTION("if(regexmatch(E102,""Recycled""),""No"",""Yes"")"),"Yes")</f>
        <v>Yes</v>
      </c>
      <c r="E102" s="63"/>
      <c r="F102" s="63" t="s">
        <v>654</v>
      </c>
      <c r="G102" s="1"/>
      <c r="H102" s="1">
        <v>1.0</v>
      </c>
      <c r="I102" s="69"/>
      <c r="J102" s="17" t="s">
        <v>867</v>
      </c>
      <c r="K102" s="17"/>
      <c r="L102" s="6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70"/>
      <c r="BH102" s="70"/>
      <c r="BI102" s="70"/>
      <c r="BJ102" s="70"/>
      <c r="BK102" s="6"/>
      <c r="BL102" s="6"/>
      <c r="BM102" s="6"/>
      <c r="BN102" s="6"/>
      <c r="BO102" s="67"/>
      <c r="BP102" s="6"/>
      <c r="BQ102" s="67"/>
      <c r="BR102" s="6"/>
      <c r="BS102" s="67"/>
      <c r="BT102" s="6"/>
      <c r="BU102" s="67"/>
      <c r="BV102" s="6"/>
      <c r="BW102" s="67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</row>
    <row r="103" hidden="1">
      <c r="A103" s="1" t="s">
        <v>868</v>
      </c>
      <c r="B103" s="63">
        <v>2016.0</v>
      </c>
      <c r="C103" s="63">
        <v>1.0</v>
      </c>
      <c r="D103" s="63" t="str">
        <f>IFERROR(__xludf.DUMMYFUNCTION("if(regexmatch(E103,""Recycled""),""No"",""Yes"")"),"No")</f>
        <v>No</v>
      </c>
      <c r="E103" s="63" t="s">
        <v>653</v>
      </c>
      <c r="F103" s="63" t="s">
        <v>660</v>
      </c>
      <c r="G103" s="1" t="s">
        <v>772</v>
      </c>
      <c r="H103" s="2"/>
      <c r="I103" s="68" t="s">
        <v>869</v>
      </c>
      <c r="J103" s="17"/>
      <c r="K103" s="17"/>
      <c r="L103" s="64">
        <f t="shared" ref="L103:L105" si="11">SUM(M103:AW103)</f>
        <v>4</v>
      </c>
      <c r="M103" s="17">
        <v>1.0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>
        <v>1.0</v>
      </c>
      <c r="AJ103" s="17"/>
      <c r="AK103" s="17"/>
      <c r="AL103" s="17"/>
      <c r="AM103" s="17"/>
      <c r="AN103" s="17"/>
      <c r="AO103" s="17">
        <v>1.0</v>
      </c>
      <c r="AP103" s="17">
        <v>1.0</v>
      </c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70" t="s">
        <v>774</v>
      </c>
      <c r="BH103" s="70" t="s">
        <v>774</v>
      </c>
      <c r="BI103" s="70" t="s">
        <v>774</v>
      </c>
      <c r="BJ103" s="70" t="s">
        <v>778</v>
      </c>
      <c r="BK103" s="6"/>
      <c r="BL103" s="6"/>
      <c r="BM103" s="6"/>
      <c r="BN103" s="6"/>
      <c r="BO103" s="67" t="s">
        <v>7</v>
      </c>
      <c r="BP103" s="6"/>
      <c r="BQ103" s="67" t="s">
        <v>781</v>
      </c>
      <c r="BR103" s="6"/>
      <c r="BS103" s="67" t="s">
        <v>775</v>
      </c>
      <c r="BT103" s="6"/>
      <c r="BU103" s="67" t="s">
        <v>775</v>
      </c>
      <c r="BV103" s="6"/>
      <c r="BW103" s="67" t="s">
        <v>775</v>
      </c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</row>
    <row r="104" hidden="1">
      <c r="A104" s="1" t="s">
        <v>870</v>
      </c>
      <c r="B104" s="63">
        <v>2016.0</v>
      </c>
      <c r="C104" s="63">
        <v>1.0</v>
      </c>
      <c r="D104" s="63" t="str">
        <f>IFERROR(__xludf.DUMMYFUNCTION("if(regexmatch(E104,""Recycled""),""No"",""Yes"")"),"No")</f>
        <v>No</v>
      </c>
      <c r="E104" s="63" t="s">
        <v>653</v>
      </c>
      <c r="F104" s="63" t="s">
        <v>660</v>
      </c>
      <c r="G104" s="1" t="s">
        <v>871</v>
      </c>
      <c r="H104" s="2"/>
      <c r="I104" s="68" t="s">
        <v>780</v>
      </c>
      <c r="J104" s="6"/>
      <c r="K104" s="6"/>
      <c r="L104" s="64">
        <f t="shared" si="11"/>
        <v>3</v>
      </c>
      <c r="M104" s="6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>
        <v>1.0</v>
      </c>
      <c r="AF104" s="18"/>
      <c r="AG104" s="18"/>
      <c r="AH104" s="18"/>
      <c r="AI104" s="18">
        <v>1.0</v>
      </c>
      <c r="AJ104" s="6"/>
      <c r="AK104" s="6"/>
      <c r="AL104" s="6"/>
      <c r="AM104" s="6"/>
      <c r="AN104" s="6"/>
      <c r="AO104" s="6"/>
      <c r="AP104" s="18">
        <v>1.0</v>
      </c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70" t="s">
        <v>778</v>
      </c>
      <c r="BI104" s="70" t="s">
        <v>778</v>
      </c>
      <c r="BJ104" s="70" t="s">
        <v>778</v>
      </c>
      <c r="BK104" s="70" t="s">
        <v>778</v>
      </c>
      <c r="BL104" s="6"/>
      <c r="BM104" s="6"/>
      <c r="BN104" s="6"/>
      <c r="BO104" s="70" t="s">
        <v>781</v>
      </c>
      <c r="BP104" s="6"/>
      <c r="BQ104" s="67" t="s">
        <v>872</v>
      </c>
      <c r="BR104" s="67" t="s">
        <v>872</v>
      </c>
      <c r="BS104" s="68" t="s">
        <v>872</v>
      </c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</row>
    <row r="105" hidden="1">
      <c r="A105" s="1" t="s">
        <v>870</v>
      </c>
      <c r="B105" s="63">
        <v>2019.0</v>
      </c>
      <c r="C105" s="63">
        <v>2.0</v>
      </c>
      <c r="D105" s="63" t="str">
        <f>IFERROR(__xludf.DUMMYFUNCTION("if(regexmatch(E105,""Recycled""),""No"",""Yes"")"),"No")</f>
        <v>No</v>
      </c>
      <c r="E105" s="63" t="s">
        <v>786</v>
      </c>
      <c r="F105" s="63" t="s">
        <v>660</v>
      </c>
      <c r="G105" s="1" t="s">
        <v>655</v>
      </c>
      <c r="H105" s="1"/>
      <c r="I105" s="69"/>
      <c r="J105" s="6"/>
      <c r="K105" s="73" t="s">
        <v>873</v>
      </c>
      <c r="L105" s="64">
        <f t="shared" si="11"/>
        <v>4</v>
      </c>
      <c r="M105" s="6"/>
      <c r="N105" s="18"/>
      <c r="O105" s="18">
        <v>1.0</v>
      </c>
      <c r="P105" s="18"/>
      <c r="Q105" s="18"/>
      <c r="R105" s="18"/>
      <c r="S105" s="18">
        <v>1.0</v>
      </c>
      <c r="T105" s="18"/>
      <c r="U105" s="18"/>
      <c r="V105" s="18">
        <v>1.0</v>
      </c>
      <c r="W105" s="18"/>
      <c r="X105" s="18"/>
      <c r="Y105" s="18"/>
      <c r="Z105" s="18"/>
      <c r="AA105" s="18"/>
      <c r="AB105" s="18"/>
      <c r="AC105" s="18"/>
      <c r="AD105" s="18"/>
      <c r="AE105" s="18">
        <v>1.0</v>
      </c>
      <c r="AF105" s="18"/>
      <c r="AG105" s="18"/>
      <c r="AH105" s="18"/>
      <c r="AI105" s="18"/>
      <c r="AJ105" s="6"/>
      <c r="AK105" s="6"/>
      <c r="AL105" s="6"/>
      <c r="AM105" s="6"/>
      <c r="AN105" s="18"/>
      <c r="AO105" s="18"/>
      <c r="AP105" s="18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</row>
    <row r="106">
      <c r="A106" s="1" t="s">
        <v>870</v>
      </c>
      <c r="B106" s="63">
        <v>2025.0</v>
      </c>
      <c r="C106" s="63">
        <v>3.0</v>
      </c>
      <c r="D106" s="63" t="str">
        <f>IFERROR(__xludf.DUMMYFUNCTION("if(regexmatch(E106,""Recycled""),""No"",""Yes"")"),"Yes")</f>
        <v>Yes</v>
      </c>
      <c r="E106" s="63"/>
      <c r="F106" s="63" t="s">
        <v>660</v>
      </c>
      <c r="G106" s="1"/>
      <c r="H106" s="2"/>
      <c r="I106" s="2"/>
      <c r="J106" s="17" t="s">
        <v>874</v>
      </c>
      <c r="K106" s="6"/>
      <c r="L106" s="64"/>
      <c r="M106" s="6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6"/>
      <c r="AK106" s="6"/>
      <c r="AL106" s="6"/>
      <c r="AM106" s="6"/>
      <c r="AN106" s="6"/>
      <c r="AO106" s="6"/>
      <c r="AP106" s="18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70"/>
      <c r="BI106" s="70"/>
      <c r="BJ106" s="70"/>
      <c r="BK106" s="70"/>
      <c r="BL106" s="6"/>
      <c r="BM106" s="6"/>
      <c r="BN106" s="6"/>
      <c r="BO106" s="67"/>
      <c r="BP106" s="6"/>
      <c r="BQ106" s="65"/>
      <c r="BR106" s="67"/>
      <c r="BS106" s="68"/>
      <c r="BT106" s="6"/>
      <c r="BU106" s="68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</row>
    <row r="107" hidden="1">
      <c r="A107" s="1" t="s">
        <v>875</v>
      </c>
      <c r="B107" s="63">
        <v>2016.0</v>
      </c>
      <c r="C107" s="63">
        <v>1.0</v>
      </c>
      <c r="D107" s="63" t="str">
        <f>IFERROR(__xludf.DUMMYFUNCTION("if(regexmatch(E107,""Recycled""),""No"",""Yes"")"),"No")</f>
        <v>No</v>
      </c>
      <c r="E107" s="63" t="s">
        <v>653</v>
      </c>
      <c r="F107" s="63" t="s">
        <v>660</v>
      </c>
      <c r="G107" s="1" t="s">
        <v>871</v>
      </c>
      <c r="H107" s="2"/>
      <c r="I107" s="68" t="s">
        <v>780</v>
      </c>
      <c r="J107" s="6"/>
      <c r="K107" s="6"/>
      <c r="L107" s="64">
        <f t="shared" ref="L107:L108" si="12">SUM(M107:AW107)</f>
        <v>3</v>
      </c>
      <c r="M107" s="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>
        <v>1.0</v>
      </c>
      <c r="AF107" s="18"/>
      <c r="AG107" s="18"/>
      <c r="AH107" s="18"/>
      <c r="AI107" s="18">
        <v>1.0</v>
      </c>
      <c r="AJ107" s="6"/>
      <c r="AK107" s="6"/>
      <c r="AL107" s="6"/>
      <c r="AM107" s="6"/>
      <c r="AN107" s="6"/>
      <c r="AO107" s="6"/>
      <c r="AP107" s="18">
        <v>1.0</v>
      </c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70" t="s">
        <v>778</v>
      </c>
      <c r="BI107" s="70" t="s">
        <v>778</v>
      </c>
      <c r="BJ107" s="70" t="s">
        <v>778</v>
      </c>
      <c r="BK107" s="70" t="s">
        <v>778</v>
      </c>
      <c r="BL107" s="6"/>
      <c r="BM107" s="6"/>
      <c r="BN107" s="6"/>
      <c r="BO107" s="67" t="s">
        <v>781</v>
      </c>
      <c r="BP107" s="6"/>
      <c r="BQ107" s="65" t="s">
        <v>872</v>
      </c>
      <c r="BR107" s="67" t="s">
        <v>872</v>
      </c>
      <c r="BS107" s="68" t="s">
        <v>872</v>
      </c>
      <c r="BT107" s="6"/>
      <c r="BU107" s="68" t="s">
        <v>872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</row>
    <row r="108" hidden="1">
      <c r="A108" s="1" t="s">
        <v>875</v>
      </c>
      <c r="B108" s="63">
        <v>2019.0</v>
      </c>
      <c r="C108" s="63">
        <v>2.0</v>
      </c>
      <c r="D108" s="63" t="str">
        <f>IFERROR(__xludf.DUMMYFUNCTION("if(regexmatch(E108,""Recycled""),""No"",""Yes"")"),"No")</f>
        <v>No</v>
      </c>
      <c r="E108" s="63" t="s">
        <v>876</v>
      </c>
      <c r="F108" s="63" t="s">
        <v>660</v>
      </c>
      <c r="G108" s="1" t="s">
        <v>655</v>
      </c>
      <c r="H108" s="1"/>
      <c r="I108" s="69"/>
      <c r="K108" s="18"/>
      <c r="L108" s="64">
        <f t="shared" si="12"/>
        <v>3</v>
      </c>
      <c r="M108" s="6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>
        <v>1.0</v>
      </c>
      <c r="AF108" s="18"/>
      <c r="AG108" s="18"/>
      <c r="AH108" s="18"/>
      <c r="AI108" s="18"/>
      <c r="AJ108" s="6"/>
      <c r="AK108" s="6"/>
      <c r="AL108" s="6"/>
      <c r="AM108" s="6"/>
      <c r="AN108" s="6"/>
      <c r="AO108" s="18">
        <v>1.0</v>
      </c>
      <c r="AP108" s="18">
        <v>1.0</v>
      </c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</row>
    <row r="109">
      <c r="A109" s="1" t="s">
        <v>875</v>
      </c>
      <c r="B109" s="63">
        <v>2024.0</v>
      </c>
      <c r="C109" s="63">
        <v>3.0</v>
      </c>
      <c r="D109" s="63" t="str">
        <f>IFERROR(__xludf.DUMMYFUNCTION("if(regexmatch(E109,""Recycled""),""No"",""Yes"")"),"Yes")</f>
        <v>Yes</v>
      </c>
      <c r="E109" s="63"/>
      <c r="F109" s="63" t="s">
        <v>654</v>
      </c>
      <c r="G109" s="1"/>
      <c r="H109" s="1">
        <v>2.0</v>
      </c>
      <c r="I109" s="1"/>
      <c r="J109" s="17" t="s">
        <v>877</v>
      </c>
      <c r="K109" s="18"/>
      <c r="L109" s="64"/>
      <c r="M109" s="6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6"/>
      <c r="AK109" s="6"/>
      <c r="AL109" s="6"/>
      <c r="AM109" s="6"/>
      <c r="AN109" s="6"/>
      <c r="AO109" s="6"/>
      <c r="AP109" s="18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70"/>
      <c r="BI109" s="70"/>
      <c r="BJ109" s="70"/>
      <c r="BK109" s="70"/>
      <c r="BL109" s="6"/>
      <c r="BM109" s="6"/>
      <c r="BN109" s="6"/>
      <c r="BO109" s="70"/>
      <c r="BP109" s="6"/>
      <c r="BQ109" s="67"/>
      <c r="BR109" s="67"/>
      <c r="BS109" s="68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</row>
    <row r="110" hidden="1">
      <c r="A110" s="1" t="s">
        <v>878</v>
      </c>
      <c r="B110" s="63">
        <v>2016.0</v>
      </c>
      <c r="C110" s="63">
        <v>1.0</v>
      </c>
      <c r="D110" s="63" t="str">
        <f>IFERROR(__xludf.DUMMYFUNCTION("if(regexmatch(E110,""Recycled""),""No"",""Yes"")"),"No")</f>
        <v>No</v>
      </c>
      <c r="E110" s="63" t="s">
        <v>653</v>
      </c>
      <c r="F110" s="63" t="s">
        <v>660</v>
      </c>
      <c r="G110" s="1" t="s">
        <v>879</v>
      </c>
      <c r="H110" s="1"/>
      <c r="I110" s="68" t="s">
        <v>780</v>
      </c>
      <c r="K110" s="18"/>
      <c r="L110" s="64">
        <f t="shared" ref="L110:L111" si="13">SUM(M110:AW110)</f>
        <v>3</v>
      </c>
      <c r="M110" s="6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>
        <v>1.0</v>
      </c>
      <c r="AF110" s="18"/>
      <c r="AG110" s="18"/>
      <c r="AH110" s="18"/>
      <c r="AI110" s="18">
        <v>1.0</v>
      </c>
      <c r="AJ110" s="6"/>
      <c r="AK110" s="6"/>
      <c r="AL110" s="6"/>
      <c r="AM110" s="6"/>
      <c r="AN110" s="6"/>
      <c r="AO110" s="6"/>
      <c r="AP110" s="18">
        <v>1.0</v>
      </c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70" t="s">
        <v>778</v>
      </c>
      <c r="BI110" s="70" t="s">
        <v>778</v>
      </c>
      <c r="BJ110" s="70" t="s">
        <v>778</v>
      </c>
      <c r="BK110" s="70" t="s">
        <v>778</v>
      </c>
      <c r="BL110" s="6"/>
      <c r="BM110" s="6"/>
      <c r="BN110" s="6"/>
      <c r="BO110" s="70" t="s">
        <v>781</v>
      </c>
      <c r="BP110" s="6"/>
      <c r="BQ110" s="67" t="s">
        <v>7</v>
      </c>
      <c r="BR110" s="67" t="s">
        <v>872</v>
      </c>
      <c r="BS110" s="68" t="s">
        <v>872</v>
      </c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</row>
    <row r="111" hidden="1">
      <c r="A111" s="1" t="s">
        <v>878</v>
      </c>
      <c r="B111" s="63">
        <v>2021.0</v>
      </c>
      <c r="C111" s="63">
        <v>3.0</v>
      </c>
      <c r="D111" s="63" t="str">
        <f>IFERROR(__xludf.DUMMYFUNCTION("if(regexmatch(E111,""Recycled""),""No"",""Yes"")"),"No")</f>
        <v>No</v>
      </c>
      <c r="E111" s="63" t="s">
        <v>786</v>
      </c>
      <c r="F111" s="63" t="s">
        <v>654</v>
      </c>
      <c r="G111" s="2"/>
      <c r="H111" s="2"/>
      <c r="I111" s="69"/>
      <c r="J111" s="17" t="s">
        <v>880</v>
      </c>
      <c r="K111" s="73" t="s">
        <v>881</v>
      </c>
      <c r="L111" s="64">
        <f t="shared" si="13"/>
        <v>0</v>
      </c>
    </row>
    <row r="112">
      <c r="A112" s="1" t="s">
        <v>878</v>
      </c>
      <c r="B112" s="63">
        <v>2025.0</v>
      </c>
      <c r="C112" s="63">
        <v>4.0</v>
      </c>
      <c r="D112" s="63" t="str">
        <f>IFERROR(__xludf.DUMMYFUNCTION("if(regexmatch(E112,""Recycled""),""No"",""Yes"")"),"Yes")</f>
        <v>Yes</v>
      </c>
      <c r="E112" s="63"/>
      <c r="F112" s="63" t="s">
        <v>660</v>
      </c>
      <c r="G112" s="1"/>
      <c r="H112" s="2"/>
      <c r="I112" s="69"/>
      <c r="J112" s="17" t="s">
        <v>882</v>
      </c>
      <c r="K112" s="6"/>
      <c r="L112" s="64"/>
      <c r="M112" s="6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6"/>
      <c r="AK112" s="6"/>
      <c r="AL112" s="6"/>
      <c r="AM112" s="6"/>
      <c r="AN112" s="6"/>
      <c r="AO112" s="6"/>
      <c r="AP112" s="18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70"/>
      <c r="BI112" s="70"/>
      <c r="BJ112" s="70"/>
      <c r="BK112" s="6"/>
      <c r="BL112" s="6"/>
      <c r="BM112" s="6"/>
      <c r="BN112" s="6"/>
      <c r="BO112" s="67"/>
      <c r="BP112" s="6"/>
      <c r="BR112" s="68"/>
      <c r="BS112" s="67"/>
      <c r="BT112" s="77"/>
      <c r="BU112" s="6"/>
      <c r="BV112" s="68"/>
      <c r="BW112" s="77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</row>
    <row r="113" hidden="1">
      <c r="A113" s="1" t="s">
        <v>883</v>
      </c>
      <c r="B113" s="63">
        <v>2020.0</v>
      </c>
      <c r="C113" s="63">
        <v>2.0</v>
      </c>
      <c r="D113" s="63" t="str">
        <f>IFERROR(__xludf.DUMMYFUNCTION("if(regexmatch(E113,""Recycled""),""No"",""Yes"")"),"No")</f>
        <v>No</v>
      </c>
      <c r="E113" s="63" t="s">
        <v>696</v>
      </c>
      <c r="F113" s="63" t="s">
        <v>654</v>
      </c>
      <c r="G113" s="1" t="s">
        <v>655</v>
      </c>
      <c r="H113" s="2"/>
      <c r="I113" s="69"/>
      <c r="J113" s="6"/>
      <c r="K113" s="18" t="s">
        <v>884</v>
      </c>
      <c r="L113" s="64">
        <f t="shared" ref="L113:L115" si="14">SUM(M113:AW113)</f>
        <v>4</v>
      </c>
      <c r="M113" s="18">
        <v>1.0</v>
      </c>
      <c r="N113" s="18"/>
      <c r="O113" s="18">
        <v>1.0</v>
      </c>
      <c r="P113" s="18"/>
      <c r="Q113" s="18"/>
      <c r="R113" s="18">
        <v>1.0</v>
      </c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6"/>
      <c r="AK113" s="6"/>
      <c r="AL113" s="6"/>
      <c r="AM113" s="6"/>
      <c r="AN113" s="6"/>
      <c r="AO113" s="6"/>
      <c r="AP113" s="18"/>
      <c r="AQ113" s="6"/>
      <c r="AR113" s="6"/>
      <c r="AS113" s="6"/>
      <c r="AT113" s="18"/>
      <c r="AU113" s="18"/>
      <c r="AV113" s="18">
        <v>1.0</v>
      </c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</row>
    <row r="114" hidden="1">
      <c r="A114" s="1" t="s">
        <v>885</v>
      </c>
      <c r="B114" s="63">
        <v>2016.0</v>
      </c>
      <c r="C114" s="63">
        <v>1.0</v>
      </c>
      <c r="D114" s="63" t="str">
        <f>IFERROR(__xludf.DUMMYFUNCTION("if(regexmatch(E114,""Recycled""),""No"",""Yes"")"),"No")</f>
        <v>No</v>
      </c>
      <c r="E114" s="63" t="s">
        <v>653</v>
      </c>
      <c r="F114" s="63" t="s">
        <v>660</v>
      </c>
      <c r="G114" s="1" t="s">
        <v>886</v>
      </c>
      <c r="H114" s="2"/>
      <c r="I114" s="69"/>
      <c r="J114" s="6"/>
      <c r="K114" s="6"/>
      <c r="L114" s="64">
        <f t="shared" si="14"/>
        <v>4</v>
      </c>
      <c r="M114" s="6"/>
      <c r="N114" s="18">
        <v>1.0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>
        <v>1.0</v>
      </c>
      <c r="AF114" s="18"/>
      <c r="AG114" s="18"/>
      <c r="AH114" s="18"/>
      <c r="AI114" s="18">
        <v>1.0</v>
      </c>
      <c r="AJ114" s="6"/>
      <c r="AK114" s="6"/>
      <c r="AL114" s="6"/>
      <c r="AM114" s="6"/>
      <c r="AN114" s="6"/>
      <c r="AO114" s="6"/>
      <c r="AP114" s="18">
        <v>1.0</v>
      </c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70" t="s">
        <v>778</v>
      </c>
      <c r="BI114" s="70" t="s">
        <v>778</v>
      </c>
      <c r="BJ114" s="70" t="s">
        <v>778</v>
      </c>
      <c r="BK114" s="6"/>
      <c r="BL114" s="6"/>
      <c r="BM114" s="6"/>
      <c r="BN114" s="6"/>
      <c r="BO114" s="67" t="s">
        <v>887</v>
      </c>
      <c r="BP114" s="6"/>
      <c r="BR114" s="68" t="s">
        <v>872</v>
      </c>
      <c r="BS114" s="67" t="s">
        <v>888</v>
      </c>
      <c r="BT114" s="77" t="s">
        <v>872</v>
      </c>
      <c r="BU114" s="6"/>
      <c r="BV114" s="68" t="s">
        <v>872</v>
      </c>
      <c r="BW114" s="77" t="s">
        <v>872</v>
      </c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</row>
    <row r="115" hidden="1">
      <c r="A115" s="1" t="s">
        <v>885</v>
      </c>
      <c r="B115" s="63">
        <v>2019.0</v>
      </c>
      <c r="C115" s="63">
        <v>2.0</v>
      </c>
      <c r="D115" s="63" t="str">
        <f>IFERROR(__xludf.DUMMYFUNCTION("if(regexmatch(E115,""Recycled""),""No"",""Yes"")"),"No")</f>
        <v>No</v>
      </c>
      <c r="E115" s="63" t="s">
        <v>786</v>
      </c>
      <c r="F115" s="63" t="s">
        <v>660</v>
      </c>
      <c r="G115" s="1" t="s">
        <v>655</v>
      </c>
      <c r="H115" s="1"/>
      <c r="I115" s="69"/>
      <c r="J115" s="6"/>
      <c r="K115" s="41" t="s">
        <v>889</v>
      </c>
      <c r="L115" s="64">
        <f t="shared" si="14"/>
        <v>1</v>
      </c>
      <c r="M115" s="18">
        <v>1.0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18"/>
      <c r="AD115" s="18"/>
      <c r="AE115" s="18"/>
      <c r="AF115" s="6"/>
      <c r="AG115" s="6"/>
      <c r="AH115" s="6"/>
      <c r="AI115" s="6"/>
      <c r="AJ115" s="6"/>
      <c r="AK115" s="6"/>
      <c r="AL115" s="6"/>
      <c r="AM115" s="6"/>
      <c r="AN115" s="18"/>
      <c r="AO115" s="18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</row>
    <row r="116">
      <c r="A116" s="1" t="s">
        <v>885</v>
      </c>
      <c r="B116" s="63">
        <v>2024.0</v>
      </c>
      <c r="C116" s="63">
        <v>3.0</v>
      </c>
      <c r="D116" s="63" t="str">
        <f>IFERROR(__xludf.DUMMYFUNCTION("if(regexmatch(E116,""Recycled""),""No"",""Yes"")"),"Yes")</f>
        <v>Yes</v>
      </c>
      <c r="E116" s="63"/>
      <c r="F116" s="63" t="s">
        <v>654</v>
      </c>
      <c r="G116" s="1"/>
      <c r="H116" s="1">
        <v>2.0</v>
      </c>
      <c r="I116" s="69"/>
      <c r="J116" s="17" t="s">
        <v>890</v>
      </c>
      <c r="K116" s="18"/>
      <c r="L116" s="64"/>
      <c r="M116" s="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6"/>
      <c r="AK116" s="6"/>
      <c r="AL116" s="6"/>
      <c r="AM116" s="6"/>
      <c r="AN116" s="6"/>
      <c r="AO116" s="6"/>
      <c r="AP116" s="18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70"/>
      <c r="BI116" s="70"/>
      <c r="BJ116" s="70"/>
      <c r="BK116" s="6"/>
      <c r="BL116" s="6"/>
      <c r="BM116" s="6"/>
      <c r="BN116" s="6"/>
      <c r="BO116" s="67"/>
      <c r="BP116" s="6"/>
      <c r="BR116" s="77"/>
      <c r="BS116" s="68"/>
      <c r="BT116" s="77"/>
      <c r="BU116" s="6"/>
      <c r="BV116" s="68"/>
      <c r="BW116" s="77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</row>
    <row r="117" hidden="1">
      <c r="A117" s="1" t="s">
        <v>891</v>
      </c>
      <c r="B117" s="63">
        <v>2016.0</v>
      </c>
      <c r="C117" s="63">
        <v>1.0</v>
      </c>
      <c r="D117" s="63" t="str">
        <f>IFERROR(__xludf.DUMMYFUNCTION("if(regexmatch(E117,""Recycled""),""No"",""Yes"")"),"No")</f>
        <v>No</v>
      </c>
      <c r="E117" s="63" t="s">
        <v>653</v>
      </c>
      <c r="F117" s="63" t="s">
        <v>660</v>
      </c>
      <c r="G117" s="1" t="s">
        <v>886</v>
      </c>
      <c r="H117" s="2"/>
      <c r="I117" s="69"/>
      <c r="J117" s="6"/>
      <c r="K117" s="18" t="s">
        <v>892</v>
      </c>
      <c r="L117" s="64">
        <f t="shared" ref="L117:L118" si="15">SUM(M117:AW117)</f>
        <v>4</v>
      </c>
      <c r="M117" s="6"/>
      <c r="N117" s="18">
        <v>1.0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>
        <v>1.0</v>
      </c>
      <c r="AF117" s="18"/>
      <c r="AG117" s="18"/>
      <c r="AH117" s="18"/>
      <c r="AI117" s="18">
        <v>1.0</v>
      </c>
      <c r="AJ117" s="6"/>
      <c r="AK117" s="6"/>
      <c r="AL117" s="6"/>
      <c r="AM117" s="6"/>
      <c r="AN117" s="6"/>
      <c r="AO117" s="6"/>
      <c r="AP117" s="18">
        <v>1.0</v>
      </c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70" t="s">
        <v>778</v>
      </c>
      <c r="BI117" s="70" t="s">
        <v>778</v>
      </c>
      <c r="BJ117" s="70" t="s">
        <v>778</v>
      </c>
      <c r="BK117" s="6"/>
      <c r="BL117" s="6"/>
      <c r="BM117" s="6"/>
      <c r="BN117" s="6"/>
      <c r="BO117" s="67" t="s">
        <v>887</v>
      </c>
      <c r="BP117" s="6"/>
      <c r="BR117" s="77" t="s">
        <v>781</v>
      </c>
      <c r="BS117" s="68" t="s">
        <v>872</v>
      </c>
      <c r="BT117" s="77" t="s">
        <v>872</v>
      </c>
      <c r="BU117" s="6"/>
      <c r="BV117" s="68" t="s">
        <v>872</v>
      </c>
      <c r="BW117" s="77" t="s">
        <v>872</v>
      </c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</row>
    <row r="118">
      <c r="A118" s="1" t="s">
        <v>891</v>
      </c>
      <c r="B118" s="63">
        <v>2020.0</v>
      </c>
      <c r="C118" s="63">
        <v>2.0</v>
      </c>
      <c r="D118" s="63" t="str">
        <f>IFERROR(__xludf.DUMMYFUNCTION("if(regexmatch(E118,""Recycled""),""No"",""Yes"")"),"Yes")</f>
        <v>Yes</v>
      </c>
      <c r="E118" s="63" t="s">
        <v>22</v>
      </c>
      <c r="F118" s="63" t="s">
        <v>654</v>
      </c>
      <c r="G118" s="1" t="s">
        <v>655</v>
      </c>
      <c r="H118" s="2"/>
      <c r="I118" s="69"/>
      <c r="J118" s="6"/>
      <c r="K118" s="73" t="s">
        <v>893</v>
      </c>
      <c r="L118" s="64">
        <f t="shared" si="15"/>
        <v>6</v>
      </c>
      <c r="M118" s="6"/>
      <c r="N118" s="18"/>
      <c r="O118" s="18">
        <v>1.0</v>
      </c>
      <c r="P118" s="18"/>
      <c r="Q118" s="18"/>
      <c r="R118" s="18">
        <v>1.0</v>
      </c>
      <c r="S118" s="18">
        <v>1.0</v>
      </c>
      <c r="T118" s="18"/>
      <c r="U118" s="18"/>
      <c r="V118" s="18"/>
      <c r="W118" s="18"/>
      <c r="X118" s="18"/>
      <c r="Y118" s="18"/>
      <c r="Z118" s="18"/>
      <c r="AA118" s="18"/>
      <c r="AB118" s="18">
        <v>1.0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v>1.0</v>
      </c>
      <c r="AM118" s="6"/>
      <c r="AN118" s="6"/>
      <c r="AO118" s="6"/>
      <c r="AP118" s="18"/>
      <c r="AQ118" s="18">
        <v>1.0</v>
      </c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</row>
    <row r="119">
      <c r="A119" s="1" t="s">
        <v>891</v>
      </c>
      <c r="B119" s="63">
        <v>2024.0</v>
      </c>
      <c r="C119" s="63">
        <v>3.0</v>
      </c>
      <c r="D119" s="63" t="str">
        <f>IFERROR(__xludf.DUMMYFUNCTION("if(regexmatch(E119,""Recycled""),""No"",""Yes"")"),"Yes")</f>
        <v>Yes</v>
      </c>
      <c r="E119" s="63"/>
      <c r="F119" s="63" t="s">
        <v>787</v>
      </c>
      <c r="G119" s="1"/>
      <c r="H119" s="2"/>
      <c r="I119" s="69"/>
      <c r="J119" s="17" t="s">
        <v>894</v>
      </c>
      <c r="K119" s="6"/>
      <c r="L119" s="64"/>
      <c r="M119" s="6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6"/>
      <c r="AK119" s="6"/>
      <c r="AL119" s="6"/>
      <c r="AM119" s="6"/>
      <c r="AN119" s="6"/>
      <c r="AO119" s="6"/>
      <c r="AP119" s="18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70"/>
      <c r="BI119" s="70"/>
      <c r="BJ119" s="70"/>
      <c r="BK119" s="6"/>
      <c r="BL119" s="6"/>
      <c r="BM119" s="6"/>
      <c r="BN119" s="6"/>
      <c r="BO119" s="67"/>
      <c r="BP119" s="6"/>
      <c r="BR119" s="67"/>
      <c r="BS119" s="68"/>
      <c r="BT119" s="77"/>
      <c r="BU119" s="6"/>
      <c r="BV119" s="68"/>
      <c r="BW119" s="77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</row>
    <row r="120" hidden="1">
      <c r="A120" s="1" t="s">
        <v>895</v>
      </c>
      <c r="B120" s="63">
        <v>2016.0</v>
      </c>
      <c r="C120" s="63">
        <v>1.0</v>
      </c>
      <c r="D120" s="63" t="str">
        <f>IFERROR(__xludf.DUMMYFUNCTION("if(regexmatch(E120,""Recycled""),""No"",""Yes"")"),"No")</f>
        <v>No</v>
      </c>
      <c r="E120" s="63" t="s">
        <v>653</v>
      </c>
      <c r="F120" s="63" t="s">
        <v>660</v>
      </c>
      <c r="G120" s="1" t="s">
        <v>886</v>
      </c>
      <c r="H120" s="2"/>
      <c r="I120" s="69"/>
      <c r="J120" s="6"/>
      <c r="K120" s="6"/>
      <c r="L120" s="64">
        <f t="shared" ref="L120:L124" si="16">SUM(M120:AW120)</f>
        <v>4</v>
      </c>
      <c r="M120" s="6"/>
      <c r="N120" s="18">
        <v>1.0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>
        <v>1.0</v>
      </c>
      <c r="AF120" s="18"/>
      <c r="AG120" s="18"/>
      <c r="AH120" s="18"/>
      <c r="AI120" s="18">
        <v>1.0</v>
      </c>
      <c r="AJ120" s="6"/>
      <c r="AK120" s="6"/>
      <c r="AL120" s="6"/>
      <c r="AM120" s="6"/>
      <c r="AN120" s="6"/>
      <c r="AO120" s="6"/>
      <c r="AP120" s="18">
        <v>1.0</v>
      </c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70" t="s">
        <v>778</v>
      </c>
      <c r="BI120" s="70" t="s">
        <v>778</v>
      </c>
      <c r="BJ120" s="70" t="s">
        <v>778</v>
      </c>
      <c r="BK120" s="6"/>
      <c r="BL120" s="6"/>
      <c r="BM120" s="6"/>
      <c r="BN120" s="6"/>
      <c r="BO120" s="67" t="s">
        <v>887</v>
      </c>
      <c r="BP120" s="6"/>
      <c r="BR120" s="67" t="s">
        <v>872</v>
      </c>
      <c r="BS120" s="68" t="s">
        <v>872</v>
      </c>
      <c r="BT120" s="77" t="s">
        <v>872</v>
      </c>
      <c r="BU120" s="6"/>
      <c r="BV120" s="68" t="s">
        <v>872</v>
      </c>
      <c r="BW120" s="77" t="s">
        <v>872</v>
      </c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</row>
    <row r="121" hidden="1">
      <c r="A121" s="1" t="s">
        <v>895</v>
      </c>
      <c r="B121" s="63">
        <v>2019.0</v>
      </c>
      <c r="C121" s="63">
        <v>2.0</v>
      </c>
      <c r="D121" s="63" t="str">
        <f>IFERROR(__xludf.DUMMYFUNCTION("if(regexmatch(E121,""Recycled""),""No"",""Yes"")"),"No")</f>
        <v>No</v>
      </c>
      <c r="E121" s="63" t="s">
        <v>696</v>
      </c>
      <c r="F121" s="63" t="s">
        <v>654</v>
      </c>
      <c r="G121" s="1" t="s">
        <v>655</v>
      </c>
      <c r="H121" s="2"/>
      <c r="I121" s="69"/>
      <c r="J121" s="6"/>
      <c r="K121" s="6"/>
      <c r="L121" s="64">
        <f t="shared" si="16"/>
        <v>1</v>
      </c>
      <c r="M121" s="6"/>
      <c r="N121" s="6"/>
      <c r="O121" s="6"/>
      <c r="P121" s="6"/>
      <c r="Q121" s="6"/>
      <c r="R121" s="18">
        <v>1.0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18"/>
      <c r="AD121" s="18"/>
      <c r="AE121" s="18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18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</row>
    <row r="122" hidden="1">
      <c r="A122" s="18" t="s">
        <v>895</v>
      </c>
      <c r="B122" s="63">
        <v>2023.0</v>
      </c>
      <c r="C122" s="63">
        <v>3.0</v>
      </c>
      <c r="D122" s="63" t="str">
        <f>IFERROR(__xludf.DUMMYFUNCTION("if(regexmatch(E122,""Recycled""),""No"",""Yes"")"),"No")</f>
        <v>No</v>
      </c>
      <c r="E122" s="63" t="s">
        <v>786</v>
      </c>
      <c r="F122" s="63" t="s">
        <v>654</v>
      </c>
      <c r="G122" s="2"/>
      <c r="H122" s="2"/>
      <c r="I122" s="69"/>
      <c r="K122" s="75" t="s">
        <v>896</v>
      </c>
      <c r="L122" s="64">
        <f t="shared" si="16"/>
        <v>0</v>
      </c>
    </row>
    <row r="123" hidden="1">
      <c r="A123" s="1" t="s">
        <v>897</v>
      </c>
      <c r="B123" s="63">
        <v>2016.0</v>
      </c>
      <c r="C123" s="63">
        <v>1.0</v>
      </c>
      <c r="D123" s="63" t="str">
        <f>IFERROR(__xludf.DUMMYFUNCTION("if(regexmatch(E123,""Recycled""),""No"",""Yes"")"),"No")</f>
        <v>No</v>
      </c>
      <c r="E123" s="63" t="s">
        <v>659</v>
      </c>
      <c r="F123" s="63" t="s">
        <v>660</v>
      </c>
      <c r="G123" s="1" t="s">
        <v>37</v>
      </c>
      <c r="H123" s="2"/>
      <c r="I123" s="69"/>
      <c r="J123" s="6"/>
      <c r="K123" s="18" t="s">
        <v>898</v>
      </c>
      <c r="L123" s="64">
        <f t="shared" si="16"/>
        <v>2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18"/>
      <c r="AO123" s="18">
        <v>1.0</v>
      </c>
      <c r="AP123" s="18">
        <v>1.0</v>
      </c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7" t="s">
        <v>781</v>
      </c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5" t="s">
        <v>774</v>
      </c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6" t="s">
        <v>664</v>
      </c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</row>
    <row r="124" hidden="1">
      <c r="A124" s="1" t="s">
        <v>897</v>
      </c>
      <c r="B124" s="63">
        <v>2019.0</v>
      </c>
      <c r="C124" s="63">
        <v>2.0</v>
      </c>
      <c r="D124" s="63" t="str">
        <f>IFERROR(__xludf.DUMMYFUNCTION("if(regexmatch(E124,""Recycled""),""No"",""Yes"")"),"No")</f>
        <v>No</v>
      </c>
      <c r="E124" s="63" t="s">
        <v>899</v>
      </c>
      <c r="F124" s="63" t="s">
        <v>660</v>
      </c>
      <c r="G124" s="1" t="s">
        <v>655</v>
      </c>
      <c r="H124" s="1"/>
      <c r="I124" s="69"/>
      <c r="J124" s="6"/>
      <c r="K124" s="41" t="s">
        <v>900</v>
      </c>
      <c r="L124" s="64">
        <f t="shared" si="16"/>
        <v>1</v>
      </c>
      <c r="M124" s="18">
        <v>1.0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6"/>
      <c r="AK124" s="6"/>
      <c r="AL124" s="6"/>
      <c r="AM124" s="6"/>
      <c r="AN124" s="18"/>
      <c r="AO124" s="18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</row>
    <row r="125">
      <c r="A125" s="1" t="s">
        <v>897</v>
      </c>
      <c r="B125" s="63">
        <v>2025.0</v>
      </c>
      <c r="C125" s="63">
        <v>3.0</v>
      </c>
      <c r="D125" s="63" t="str">
        <f>IFERROR(__xludf.DUMMYFUNCTION("if(regexmatch(E125,""Recycled""),""No"",""Yes"")"),"Yes")</f>
        <v>Yes</v>
      </c>
      <c r="E125" s="63"/>
      <c r="F125" s="63" t="s">
        <v>660</v>
      </c>
      <c r="G125" s="2"/>
      <c r="H125" s="2"/>
      <c r="I125" s="69"/>
      <c r="J125" s="17" t="s">
        <v>901</v>
      </c>
      <c r="K125" s="6"/>
      <c r="L125" s="64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18"/>
      <c r="AD125" s="18"/>
      <c r="AE125" s="18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7"/>
      <c r="BJ125" s="6"/>
      <c r="BK125" s="6"/>
      <c r="BL125" s="6"/>
      <c r="BM125" s="6"/>
      <c r="BN125" s="6"/>
      <c r="BO125" s="67"/>
      <c r="BP125" s="6"/>
      <c r="BQ125" s="6"/>
      <c r="BR125" s="6"/>
      <c r="BS125" s="6"/>
      <c r="BT125" s="6"/>
      <c r="BU125" s="6"/>
      <c r="BV125" s="6"/>
      <c r="BX125" s="6"/>
      <c r="BY125" s="6"/>
      <c r="BZ125" s="6"/>
      <c r="CA125" s="6"/>
      <c r="CB125" s="65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</row>
    <row r="126" hidden="1">
      <c r="A126" s="1" t="s">
        <v>902</v>
      </c>
      <c r="B126" s="63">
        <v>2016.0</v>
      </c>
      <c r="C126" s="63">
        <v>1.0</v>
      </c>
      <c r="D126" s="63" t="str">
        <f>IFERROR(__xludf.DUMMYFUNCTION("if(regexmatch(E126,""Recycled""),""No"",""Yes"")"),"No")</f>
        <v>No</v>
      </c>
      <c r="E126" s="63" t="s">
        <v>659</v>
      </c>
      <c r="F126" s="63" t="s">
        <v>660</v>
      </c>
      <c r="G126" s="2" t="s">
        <v>33</v>
      </c>
      <c r="H126" s="2"/>
      <c r="I126" s="69"/>
      <c r="J126" s="6"/>
      <c r="K126" s="6"/>
      <c r="L126" s="64">
        <f t="shared" ref="L126:L131" si="17">SUM(M126:AW126)</f>
        <v>1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18"/>
      <c r="AD126" s="18"/>
      <c r="AE126" s="18">
        <v>1.0</v>
      </c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7" t="s">
        <v>887</v>
      </c>
      <c r="BJ126" s="6"/>
      <c r="BK126" s="6"/>
      <c r="BL126" s="6"/>
      <c r="BM126" s="6"/>
      <c r="BN126" s="6"/>
      <c r="BO126" s="67" t="s">
        <v>887</v>
      </c>
      <c r="BP126" s="6"/>
      <c r="BQ126" s="6"/>
      <c r="BR126" s="6"/>
      <c r="BS126" s="6"/>
      <c r="BT126" s="6"/>
      <c r="BU126" s="6"/>
      <c r="BV126" s="6"/>
      <c r="BX126" s="6"/>
      <c r="BY126" s="6"/>
      <c r="BZ126" s="6"/>
      <c r="CA126" s="6"/>
      <c r="CB126" s="65" t="s">
        <v>774</v>
      </c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</row>
    <row r="127" hidden="1">
      <c r="A127" s="1" t="s">
        <v>902</v>
      </c>
      <c r="B127" s="63">
        <v>2019.0</v>
      </c>
      <c r="C127" s="63">
        <v>2.0</v>
      </c>
      <c r="D127" s="63" t="str">
        <f>IFERROR(__xludf.DUMMYFUNCTION("if(regexmatch(E127,""Recycled""),""No"",""Yes"")"),"No")</f>
        <v>No</v>
      </c>
      <c r="E127" s="63" t="s">
        <v>786</v>
      </c>
      <c r="F127" s="78" t="s">
        <v>654</v>
      </c>
      <c r="G127" s="79" t="s">
        <v>655</v>
      </c>
      <c r="H127" s="79"/>
      <c r="I127" s="78"/>
      <c r="J127" s="6"/>
      <c r="K127" s="6"/>
      <c r="L127" s="64">
        <f t="shared" si="17"/>
        <v>1</v>
      </c>
      <c r="M127" s="18">
        <v>1.0</v>
      </c>
      <c r="N127" s="6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</row>
    <row r="128" hidden="1">
      <c r="A128" s="1" t="s">
        <v>903</v>
      </c>
      <c r="B128" s="63">
        <v>2016.0</v>
      </c>
      <c r="C128" s="63">
        <v>1.0</v>
      </c>
      <c r="D128" s="63" t="str">
        <f>IFERROR(__xludf.DUMMYFUNCTION("if(regexmatch(E128,""Recycled""),""No"",""Yes"")"),"No")</f>
        <v>No</v>
      </c>
      <c r="E128" s="63" t="s">
        <v>659</v>
      </c>
      <c r="F128" s="78" t="s">
        <v>660</v>
      </c>
      <c r="G128" s="79" t="s">
        <v>35</v>
      </c>
      <c r="H128" s="79"/>
      <c r="I128" s="78"/>
      <c r="J128" s="80" t="s">
        <v>904</v>
      </c>
      <c r="K128" s="6"/>
      <c r="L128" s="64">
        <f t="shared" si="17"/>
        <v>1</v>
      </c>
      <c r="M128" s="6"/>
      <c r="N128" s="6"/>
      <c r="O128" s="18"/>
      <c r="P128" s="18"/>
      <c r="Q128" s="18"/>
      <c r="R128" s="18">
        <v>1.0</v>
      </c>
      <c r="S128" s="18"/>
      <c r="T128" s="18"/>
      <c r="U128" s="18"/>
      <c r="V128" s="18"/>
      <c r="W128" s="18"/>
      <c r="X128" s="18"/>
      <c r="Y128" s="18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7" t="s">
        <v>781</v>
      </c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5" t="s">
        <v>774</v>
      </c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</row>
    <row r="129" hidden="1">
      <c r="A129" s="1" t="s">
        <v>903</v>
      </c>
      <c r="B129" s="63">
        <v>2019.0</v>
      </c>
      <c r="C129" s="63">
        <v>2.0</v>
      </c>
      <c r="D129" s="63" t="str">
        <f>IFERROR(__xludf.DUMMYFUNCTION("if(regexmatch(E129,""Recycled""),""No"",""Yes"")"),"No")</f>
        <v>No</v>
      </c>
      <c r="E129" s="63" t="s">
        <v>653</v>
      </c>
      <c r="F129" s="63" t="s">
        <v>654</v>
      </c>
      <c r="G129" s="1" t="s">
        <v>655</v>
      </c>
      <c r="H129" s="1"/>
      <c r="I129" s="68" t="s">
        <v>692</v>
      </c>
      <c r="J129" s="6"/>
      <c r="K129" s="17" t="s">
        <v>693</v>
      </c>
      <c r="L129" s="64">
        <f t="shared" si="17"/>
        <v>4</v>
      </c>
      <c r="M129" s="18">
        <v>1.0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18"/>
      <c r="AD129" s="18"/>
      <c r="AE129" s="18">
        <v>1.0</v>
      </c>
      <c r="AF129" s="6"/>
      <c r="AG129" s="6"/>
      <c r="AH129" s="6"/>
      <c r="AI129" s="6"/>
      <c r="AJ129" s="6"/>
      <c r="AK129" s="6"/>
      <c r="AL129" s="6"/>
      <c r="AM129" s="6"/>
      <c r="AN129" s="18"/>
      <c r="AO129" s="18">
        <v>1.0</v>
      </c>
      <c r="AP129" s="18">
        <v>1.0</v>
      </c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5" t="s">
        <v>694</v>
      </c>
      <c r="CT129" s="6"/>
      <c r="CU129" s="6"/>
      <c r="CV129" s="6"/>
      <c r="CW129" s="6"/>
      <c r="CX129" s="6"/>
      <c r="CY129" s="67" t="s">
        <v>694</v>
      </c>
      <c r="CZ129" s="6"/>
      <c r="DA129" s="6"/>
      <c r="DB129" s="6"/>
      <c r="DC129" s="6"/>
      <c r="DD129" s="6"/>
      <c r="DE129" s="65" t="s">
        <v>694</v>
      </c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</row>
    <row r="130" hidden="1">
      <c r="A130" s="1" t="s">
        <v>903</v>
      </c>
      <c r="B130" s="63">
        <v>2020.0</v>
      </c>
      <c r="C130" s="63">
        <v>3.0</v>
      </c>
      <c r="D130" s="63" t="str">
        <f>IFERROR(__xludf.DUMMYFUNCTION("if(regexmatch(E130,""Recycled""),""No"",""Yes"")"),"No")</f>
        <v>No</v>
      </c>
      <c r="E130" s="81" t="s">
        <v>696</v>
      </c>
      <c r="F130" s="63" t="s">
        <v>654</v>
      </c>
      <c r="G130" s="2"/>
      <c r="H130" s="2"/>
      <c r="I130" s="63"/>
      <c r="J130" s="18"/>
      <c r="K130" s="18"/>
      <c r="L130" s="64">
        <f t="shared" si="17"/>
        <v>4</v>
      </c>
      <c r="M130" s="17">
        <v>1.0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>
        <v>1.0</v>
      </c>
      <c r="AF130" s="17"/>
      <c r="AG130" s="17"/>
      <c r="AH130" s="17"/>
      <c r="AI130" s="17"/>
      <c r="AJ130" s="17"/>
      <c r="AK130" s="17"/>
      <c r="AL130" s="17"/>
      <c r="AM130" s="17"/>
      <c r="AN130" s="17"/>
      <c r="AO130" s="17">
        <v>1.0</v>
      </c>
      <c r="AP130" s="17">
        <v>1.0</v>
      </c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</row>
    <row r="131" hidden="1">
      <c r="A131" s="1" t="s">
        <v>903</v>
      </c>
      <c r="B131" s="63">
        <v>2022.0</v>
      </c>
      <c r="C131" s="63">
        <v>4.0</v>
      </c>
      <c r="D131" s="63" t="str">
        <f>IFERROR(__xludf.DUMMYFUNCTION("if(regexmatch(E131,""Recycled""),""No"",""Yes"")"),"No")</f>
        <v>No</v>
      </c>
      <c r="E131" s="63" t="s">
        <v>786</v>
      </c>
      <c r="F131" s="63" t="s">
        <v>654</v>
      </c>
      <c r="G131" s="1" t="s">
        <v>655</v>
      </c>
      <c r="H131" s="2"/>
      <c r="I131" s="63"/>
      <c r="J131" s="18"/>
      <c r="K131" s="75" t="s">
        <v>825</v>
      </c>
      <c r="L131" s="64">
        <f t="shared" si="17"/>
        <v>1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18"/>
      <c r="AD131" s="18"/>
      <c r="AE131" s="18">
        <v>1.0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7"/>
      <c r="BL131" s="6"/>
      <c r="BM131" s="6"/>
      <c r="BN131" s="6"/>
      <c r="BO131" s="67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</row>
    <row r="132">
      <c r="A132" s="1" t="s">
        <v>903</v>
      </c>
      <c r="B132" s="63">
        <v>2024.0</v>
      </c>
      <c r="C132" s="63">
        <v>5.0</v>
      </c>
      <c r="D132" s="63" t="str">
        <f>IFERROR(__xludf.DUMMYFUNCTION("if(regexmatch(E132,""Recycled""),""No"",""Yes"")"),"Yes")</f>
        <v>Yes</v>
      </c>
      <c r="E132" s="63"/>
      <c r="F132" s="63" t="s">
        <v>654</v>
      </c>
      <c r="G132" s="2"/>
      <c r="H132" s="1">
        <v>1.0</v>
      </c>
      <c r="I132" s="63"/>
      <c r="J132" s="17" t="s">
        <v>905</v>
      </c>
      <c r="K132" s="6"/>
      <c r="L132" s="64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18"/>
      <c r="AD132" s="18"/>
      <c r="AE132" s="18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7"/>
      <c r="BL132" s="6"/>
      <c r="BM132" s="6"/>
      <c r="BN132" s="6"/>
      <c r="BO132" s="67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</row>
    <row r="133" hidden="1">
      <c r="A133" s="1" t="s">
        <v>906</v>
      </c>
      <c r="B133" s="63">
        <v>2016.0</v>
      </c>
      <c r="C133" s="63">
        <v>1.0</v>
      </c>
      <c r="D133" s="63" t="str">
        <f>IFERROR(__xludf.DUMMYFUNCTION("if(regexmatch(E133,""Recycled""),""No"",""Yes"")"),"No")</f>
        <v>No</v>
      </c>
      <c r="E133" s="81" t="s">
        <v>659</v>
      </c>
      <c r="F133" s="63" t="s">
        <v>660</v>
      </c>
      <c r="G133" s="2" t="s">
        <v>33</v>
      </c>
      <c r="H133" s="2"/>
      <c r="I133" s="68" t="s">
        <v>780</v>
      </c>
      <c r="J133" s="18" t="s">
        <v>907</v>
      </c>
      <c r="K133" s="6"/>
      <c r="L133" s="64">
        <f t="shared" ref="L133:L136" si="18">SUM(M133:AW133)</f>
        <v>1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18"/>
      <c r="AD133" s="18"/>
      <c r="AE133" s="18">
        <v>1.0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7" t="s">
        <v>781</v>
      </c>
      <c r="BL133" s="6"/>
      <c r="BM133" s="6"/>
      <c r="BN133" s="6"/>
      <c r="BO133" s="67" t="s">
        <v>781</v>
      </c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</row>
    <row r="134">
      <c r="A134" s="1" t="s">
        <v>906</v>
      </c>
      <c r="B134" s="63">
        <v>2019.0</v>
      </c>
      <c r="C134" s="63">
        <v>2.0</v>
      </c>
      <c r="D134" s="63" t="str">
        <f>IFERROR(__xludf.DUMMYFUNCTION("if(regexmatch(E134,""Recycled""),""No"",""Yes"")"),"Yes")</f>
        <v>Yes</v>
      </c>
      <c r="E134" s="63" t="s">
        <v>22</v>
      </c>
      <c r="F134" s="63" t="s">
        <v>660</v>
      </c>
      <c r="G134" s="1" t="s">
        <v>655</v>
      </c>
      <c r="H134" s="1"/>
      <c r="I134" s="69"/>
      <c r="J134" s="69"/>
      <c r="K134" s="41" t="s">
        <v>908</v>
      </c>
      <c r="L134" s="64">
        <f t="shared" si="18"/>
        <v>5</v>
      </c>
      <c r="M134" s="18">
        <v>1.0</v>
      </c>
      <c r="N134" s="6"/>
      <c r="O134" s="18">
        <v>1.0</v>
      </c>
      <c r="P134" s="6"/>
      <c r="Q134" s="6"/>
      <c r="R134" s="18">
        <v>1.0</v>
      </c>
      <c r="S134" s="6"/>
      <c r="T134" s="6"/>
      <c r="U134" s="6"/>
      <c r="V134" s="18">
        <v>1.0</v>
      </c>
      <c r="W134" s="6"/>
      <c r="X134" s="6"/>
      <c r="Y134" s="6"/>
      <c r="Z134" s="6"/>
      <c r="AA134" s="6"/>
      <c r="AB134" s="6"/>
      <c r="AC134" s="18"/>
      <c r="AD134" s="18"/>
      <c r="AE134" s="18">
        <v>1.0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</row>
    <row r="135" hidden="1">
      <c r="A135" s="1" t="s">
        <v>909</v>
      </c>
      <c r="B135" s="63">
        <v>2016.0</v>
      </c>
      <c r="C135" s="63">
        <v>1.0</v>
      </c>
      <c r="D135" s="63" t="str">
        <f>IFERROR(__xludf.DUMMYFUNCTION("if(regexmatch(E135,""Recycled""),""No"",""Yes"")"),"No")</f>
        <v>No</v>
      </c>
      <c r="E135" s="81" t="s">
        <v>659</v>
      </c>
      <c r="F135" s="63" t="s">
        <v>660</v>
      </c>
      <c r="G135" s="2" t="s">
        <v>33</v>
      </c>
      <c r="H135" s="2"/>
      <c r="I135" s="68" t="s">
        <v>780</v>
      </c>
      <c r="J135" s="80" t="s">
        <v>910</v>
      </c>
      <c r="K135" s="6"/>
      <c r="L135" s="64">
        <f t="shared" si="18"/>
        <v>1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18"/>
      <c r="AD135" s="18"/>
      <c r="AE135" s="18">
        <v>1.0</v>
      </c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7" t="s">
        <v>781</v>
      </c>
      <c r="BL135" s="6"/>
      <c r="BM135" s="6"/>
      <c r="BN135" s="6"/>
      <c r="BO135" s="67" t="s">
        <v>872</v>
      </c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</row>
    <row r="136" hidden="1">
      <c r="A136" s="1" t="s">
        <v>909</v>
      </c>
      <c r="B136" s="63">
        <v>2022.0</v>
      </c>
      <c r="C136" s="63">
        <v>2.0</v>
      </c>
      <c r="D136" s="63" t="str">
        <f>IFERROR(__xludf.DUMMYFUNCTION("if(regexmatch(E136,""Recycled""),""No"",""Yes"")"),"No")</f>
        <v>No</v>
      </c>
      <c r="E136" s="63" t="s">
        <v>876</v>
      </c>
      <c r="F136" s="63" t="s">
        <v>787</v>
      </c>
      <c r="G136" s="1" t="s">
        <v>655</v>
      </c>
      <c r="H136" s="2"/>
      <c r="I136" s="69"/>
      <c r="J136" s="17" t="s">
        <v>911</v>
      </c>
      <c r="L136" s="64">
        <f t="shared" si="18"/>
        <v>1</v>
      </c>
      <c r="Z136" s="17">
        <v>1.0</v>
      </c>
      <c r="ED136" s="66" t="s">
        <v>664</v>
      </c>
      <c r="EQ136" s="66" t="s">
        <v>664</v>
      </c>
    </row>
    <row r="137">
      <c r="A137" s="1" t="s">
        <v>909</v>
      </c>
      <c r="B137" s="63">
        <v>2024.0</v>
      </c>
      <c r="C137" s="63">
        <v>3.0</v>
      </c>
      <c r="D137" s="63" t="str">
        <f>IFERROR(__xludf.DUMMYFUNCTION("if(regexmatch(E137,""Recycled""),""No"",""Yes"")"),"Yes")</f>
        <v>Yes</v>
      </c>
      <c r="E137" s="63"/>
      <c r="F137" s="63" t="s">
        <v>654</v>
      </c>
      <c r="G137" s="1"/>
      <c r="H137" s="1">
        <v>2.0</v>
      </c>
      <c r="I137" s="63" t="s">
        <v>912</v>
      </c>
      <c r="J137" s="17" t="s">
        <v>913</v>
      </c>
      <c r="L137" s="64"/>
      <c r="AP137" s="17"/>
    </row>
    <row r="138" hidden="1">
      <c r="A138" s="1" t="s">
        <v>914</v>
      </c>
      <c r="B138" s="63">
        <v>2016.0</v>
      </c>
      <c r="C138" s="63">
        <v>1.0</v>
      </c>
      <c r="D138" s="63" t="str">
        <f>IFERROR(__xludf.DUMMYFUNCTION("if(regexmatch(E138,""Recycled""),""No"",""Yes"")"),"No")</f>
        <v>No</v>
      </c>
      <c r="E138" s="63" t="s">
        <v>659</v>
      </c>
      <c r="F138" s="63" t="s">
        <v>660</v>
      </c>
      <c r="G138" s="2" t="s">
        <v>33</v>
      </c>
      <c r="H138" s="1"/>
      <c r="I138" s="68" t="s">
        <v>780</v>
      </c>
      <c r="J138" s="18" t="s">
        <v>907</v>
      </c>
      <c r="K138" s="18" t="s">
        <v>915</v>
      </c>
      <c r="L138" s="64">
        <f t="shared" ref="L138:L139" si="19">SUM(M138:AW138)</f>
        <v>1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18"/>
      <c r="AD138" s="18"/>
      <c r="AE138" s="18">
        <v>1.0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7" t="s">
        <v>781</v>
      </c>
      <c r="BL138" s="6"/>
      <c r="BM138" s="6"/>
      <c r="BN138" s="6"/>
      <c r="BO138" s="76" t="s">
        <v>781</v>
      </c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</row>
    <row r="139" hidden="1">
      <c r="A139" s="1" t="s">
        <v>914</v>
      </c>
      <c r="B139" s="63">
        <v>2019.0</v>
      </c>
      <c r="C139" s="63">
        <v>2.0</v>
      </c>
      <c r="D139" s="63" t="str">
        <f>IFERROR(__xludf.DUMMYFUNCTION("if(regexmatch(E139,""Recycled""),""No"",""Yes"")"),"No")</f>
        <v>No</v>
      </c>
      <c r="E139" s="63" t="s">
        <v>786</v>
      </c>
      <c r="F139" s="63" t="s">
        <v>660</v>
      </c>
      <c r="G139" s="1" t="s">
        <v>655</v>
      </c>
      <c r="H139" s="1"/>
      <c r="I139" s="69"/>
      <c r="J139" s="18"/>
      <c r="K139" s="73" t="s">
        <v>916</v>
      </c>
      <c r="L139" s="64">
        <f t="shared" si="19"/>
        <v>3</v>
      </c>
      <c r="M139" s="18">
        <v>1.0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18"/>
      <c r="AU139" s="18"/>
      <c r="AV139" s="18">
        <v>1.0</v>
      </c>
      <c r="AW139" s="18">
        <v>1.0</v>
      </c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</row>
    <row r="140">
      <c r="A140" s="1" t="s">
        <v>914</v>
      </c>
      <c r="B140" s="63">
        <v>2024.0</v>
      </c>
      <c r="C140" s="63">
        <v>3.0</v>
      </c>
      <c r="D140" s="63" t="str">
        <f>IFERROR(__xludf.DUMMYFUNCTION("if(regexmatch(E140,""Recycled""),""No"",""Yes"")"),"Yes")</f>
        <v>Yes</v>
      </c>
      <c r="E140" s="63"/>
      <c r="F140" s="63" t="s">
        <v>654</v>
      </c>
      <c r="G140" s="2"/>
      <c r="H140" s="1">
        <v>2.0</v>
      </c>
      <c r="I140" s="69"/>
      <c r="J140" s="17" t="s">
        <v>917</v>
      </c>
      <c r="K140" s="6"/>
      <c r="L140" s="64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</row>
    <row r="141" hidden="1">
      <c r="A141" s="1" t="s">
        <v>918</v>
      </c>
      <c r="B141" s="63">
        <v>2016.0</v>
      </c>
      <c r="C141" s="63">
        <v>1.0</v>
      </c>
      <c r="D141" s="63" t="str">
        <f>IFERROR(__xludf.DUMMYFUNCTION("if(regexmatch(E141,""Recycled""),""No"",""Yes"")"),"No")</f>
        <v>No</v>
      </c>
      <c r="E141" s="63" t="s">
        <v>786</v>
      </c>
      <c r="F141" s="63" t="s">
        <v>660</v>
      </c>
      <c r="G141" s="2"/>
      <c r="H141" s="2"/>
      <c r="I141" s="69"/>
      <c r="J141" s="18" t="s">
        <v>919</v>
      </c>
      <c r="K141" s="75" t="s">
        <v>825</v>
      </c>
      <c r="L141" s="64">
        <f t="shared" ref="L141:L142" si="20">SUM(M141:AW141)</f>
        <v>0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</row>
    <row r="142" hidden="1">
      <c r="A142" s="1" t="s">
        <v>918</v>
      </c>
      <c r="B142" s="63">
        <v>2019.0</v>
      </c>
      <c r="C142" s="63">
        <v>2.0</v>
      </c>
      <c r="D142" s="63" t="str">
        <f>IFERROR(__xludf.DUMMYFUNCTION("if(regexmatch(E142,""Recycled""),""No"",""Yes"")"),"No")</f>
        <v>No</v>
      </c>
      <c r="E142" s="63" t="s">
        <v>786</v>
      </c>
      <c r="F142" s="63" t="s">
        <v>654</v>
      </c>
      <c r="G142" s="1" t="s">
        <v>655</v>
      </c>
      <c r="H142" s="1"/>
      <c r="I142" s="69"/>
      <c r="J142" s="6"/>
      <c r="K142" s="75" t="s">
        <v>825</v>
      </c>
      <c r="L142" s="64">
        <f t="shared" si="20"/>
        <v>2</v>
      </c>
      <c r="M142" s="18">
        <v>1.0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18"/>
      <c r="AD142" s="18"/>
      <c r="AE142" s="18">
        <v>1.0</v>
      </c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</row>
    <row r="143">
      <c r="A143" s="1" t="s">
        <v>918</v>
      </c>
      <c r="B143" s="63">
        <v>2024.0</v>
      </c>
      <c r="C143" s="63">
        <v>3.0</v>
      </c>
      <c r="D143" s="63" t="str">
        <f>IFERROR(__xludf.DUMMYFUNCTION("if(regexmatch(E143,""Recycled""),""No"",""Yes"")"),"Yes")</f>
        <v>Yes</v>
      </c>
      <c r="E143" s="63"/>
      <c r="F143" s="63" t="s">
        <v>654</v>
      </c>
      <c r="G143" s="2"/>
      <c r="H143" s="1">
        <v>2.0</v>
      </c>
      <c r="I143" s="69"/>
      <c r="J143" s="17" t="s">
        <v>920</v>
      </c>
      <c r="K143" s="6"/>
      <c r="L143" s="64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18"/>
      <c r="AD143" s="18"/>
      <c r="AE143" s="18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76"/>
      <c r="BQ143" s="67"/>
      <c r="BR143" s="6"/>
      <c r="BS143" s="67"/>
      <c r="BT143" s="6"/>
      <c r="BU143" s="67"/>
      <c r="BV143" s="6"/>
      <c r="BW143" s="68"/>
      <c r="BX143" s="6"/>
      <c r="BY143" s="68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</row>
    <row r="144" hidden="1">
      <c r="A144" s="1" t="s">
        <v>921</v>
      </c>
      <c r="B144" s="63">
        <v>2017.0</v>
      </c>
      <c r="C144" s="63">
        <v>1.0</v>
      </c>
      <c r="D144" s="63" t="str">
        <f>IFERROR(__xludf.DUMMYFUNCTION("if(regexmatch(E144,""Recycled""),""No"",""Yes"")"),"No")</f>
        <v>No</v>
      </c>
      <c r="E144" s="63" t="s">
        <v>653</v>
      </c>
      <c r="F144" s="63" t="s">
        <v>654</v>
      </c>
      <c r="G144" s="2" t="s">
        <v>33</v>
      </c>
      <c r="H144" s="2"/>
      <c r="I144" s="69"/>
      <c r="J144" s="6"/>
      <c r="K144" s="6"/>
      <c r="L144" s="64">
        <f t="shared" ref="L144:L145" si="21">SUM(M144:AW144)</f>
        <v>1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18"/>
      <c r="AD144" s="18"/>
      <c r="AE144" s="18">
        <v>1.0</v>
      </c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76" t="s">
        <v>922</v>
      </c>
      <c r="BQ144" s="67" t="s">
        <v>922</v>
      </c>
      <c r="BR144" s="6"/>
      <c r="BS144" s="67" t="s">
        <v>7</v>
      </c>
      <c r="BT144" s="6"/>
      <c r="BU144" s="67" t="s">
        <v>7</v>
      </c>
      <c r="BV144" s="6"/>
      <c r="BW144" s="68" t="s">
        <v>664</v>
      </c>
      <c r="BX144" s="6"/>
      <c r="BY144" s="68" t="s">
        <v>664</v>
      </c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</row>
    <row r="145" hidden="1">
      <c r="A145" s="1" t="s">
        <v>921</v>
      </c>
      <c r="B145" s="63">
        <v>2019.0</v>
      </c>
      <c r="C145" s="63">
        <v>2.0</v>
      </c>
      <c r="D145" s="63" t="str">
        <f>IFERROR(__xludf.DUMMYFUNCTION("if(regexmatch(E145,""Recycled""),""No"",""Yes"")"),"No")</f>
        <v>No</v>
      </c>
      <c r="E145" s="63" t="s">
        <v>786</v>
      </c>
      <c r="F145" s="63" t="s">
        <v>660</v>
      </c>
      <c r="G145" s="1" t="s">
        <v>655</v>
      </c>
      <c r="H145" s="1"/>
      <c r="I145" s="69"/>
      <c r="K145" s="75" t="s">
        <v>825</v>
      </c>
      <c r="L145" s="64">
        <f t="shared" si="21"/>
        <v>1</v>
      </c>
      <c r="AD145" s="17"/>
      <c r="AE145" s="17">
        <v>1.0</v>
      </c>
    </row>
    <row r="146">
      <c r="A146" s="1" t="s">
        <v>921</v>
      </c>
      <c r="B146" s="63">
        <v>2024.0</v>
      </c>
      <c r="C146" s="63">
        <v>3.0</v>
      </c>
      <c r="D146" s="63" t="str">
        <f>IFERROR(__xludf.DUMMYFUNCTION("if(regexmatch(E146,""Recycled""),""No"",""Yes"")"),"Yes")</f>
        <v>Yes</v>
      </c>
      <c r="E146" s="63"/>
      <c r="F146" s="63" t="s">
        <v>660</v>
      </c>
      <c r="G146" s="1"/>
      <c r="H146" s="1">
        <v>2.0</v>
      </c>
      <c r="I146" s="69"/>
      <c r="J146" s="17" t="s">
        <v>923</v>
      </c>
      <c r="K146" s="6"/>
      <c r="L146" s="64"/>
      <c r="M146" s="18"/>
      <c r="N146" s="6"/>
      <c r="O146" s="6"/>
      <c r="P146" s="6"/>
      <c r="Q146" s="6"/>
      <c r="R146" s="6"/>
      <c r="S146" s="6"/>
      <c r="T146" s="6"/>
      <c r="U146" s="6"/>
      <c r="V146" s="18"/>
      <c r="W146" s="6"/>
      <c r="X146" s="6"/>
      <c r="Y146" s="6"/>
      <c r="Z146" s="6"/>
      <c r="AA146" s="6"/>
      <c r="AB146" s="6"/>
      <c r="AC146" s="18"/>
      <c r="AD146" s="18"/>
      <c r="AE146" s="18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76"/>
      <c r="BQ146" s="6"/>
      <c r="BR146" s="6"/>
      <c r="BS146" s="6"/>
      <c r="BT146" s="6"/>
      <c r="BU146" s="67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</row>
    <row r="147">
      <c r="A147" s="1" t="s">
        <v>924</v>
      </c>
      <c r="B147" s="63">
        <v>2017.0</v>
      </c>
      <c r="C147" s="63">
        <v>1.0</v>
      </c>
      <c r="D147" s="63" t="str">
        <f>IFERROR(__xludf.DUMMYFUNCTION("if(regexmatch(E147,""Recycled""),""No"",""Yes"")"),"Yes")</f>
        <v>Yes</v>
      </c>
      <c r="E147" s="63" t="s">
        <v>925</v>
      </c>
      <c r="F147" s="63" t="s">
        <v>654</v>
      </c>
      <c r="G147" s="1" t="s">
        <v>655</v>
      </c>
      <c r="H147" s="1">
        <v>0.0</v>
      </c>
      <c r="I147" s="69"/>
      <c r="J147" s="18" t="s">
        <v>926</v>
      </c>
      <c r="K147" s="74" t="s">
        <v>927</v>
      </c>
      <c r="L147" s="64">
        <f t="shared" ref="L147:L149" si="22">SUM(M147:AW147)</f>
        <v>1</v>
      </c>
      <c r="M147" s="18"/>
      <c r="N147" s="6"/>
      <c r="O147" s="6"/>
      <c r="P147" s="6"/>
      <c r="Q147" s="6"/>
      <c r="R147" s="6"/>
      <c r="S147" s="6"/>
      <c r="T147" s="6"/>
      <c r="U147" s="6"/>
      <c r="V147" s="18">
        <v>1.0</v>
      </c>
      <c r="W147" s="6"/>
      <c r="X147" s="6"/>
      <c r="Y147" s="6"/>
      <c r="Z147" s="6"/>
      <c r="AA147" s="6"/>
      <c r="AB147" s="6"/>
      <c r="AC147" s="18"/>
      <c r="AD147" s="18"/>
      <c r="AE147" s="18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76" t="s">
        <v>922</v>
      </c>
      <c r="BQ147" s="6"/>
      <c r="BR147" s="6"/>
      <c r="BS147" s="6"/>
      <c r="BT147" s="6"/>
      <c r="BU147" s="67" t="s">
        <v>774</v>
      </c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</row>
    <row r="148" hidden="1">
      <c r="A148" s="1" t="s">
        <v>928</v>
      </c>
      <c r="B148" s="63">
        <v>2017.0</v>
      </c>
      <c r="C148" s="63">
        <v>1.0</v>
      </c>
      <c r="D148" s="63" t="str">
        <f>IFERROR(__xludf.DUMMYFUNCTION("if(regexmatch(E148,""Recycled""),""No"",""Yes"")"),"No")</f>
        <v>No</v>
      </c>
      <c r="E148" s="63" t="s">
        <v>696</v>
      </c>
      <c r="F148" s="63" t="s">
        <v>660</v>
      </c>
      <c r="G148" s="2"/>
      <c r="H148" s="2"/>
      <c r="I148" s="69"/>
      <c r="J148" s="18" t="s">
        <v>919</v>
      </c>
      <c r="K148" s="6"/>
      <c r="L148" s="64">
        <f t="shared" si="22"/>
        <v>0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</row>
    <row r="149" hidden="1">
      <c r="A149" s="1" t="s">
        <v>928</v>
      </c>
      <c r="B149" s="63">
        <v>2019.0</v>
      </c>
      <c r="C149" s="63">
        <v>2.0</v>
      </c>
      <c r="D149" s="63" t="str">
        <f>IFERROR(__xludf.DUMMYFUNCTION("if(regexmatch(E149,""Recycled""),""No"",""Yes"")"),"No")</f>
        <v>No</v>
      </c>
      <c r="E149" s="63" t="s">
        <v>786</v>
      </c>
      <c r="F149" s="63" t="s">
        <v>654</v>
      </c>
      <c r="G149" s="1" t="s">
        <v>655</v>
      </c>
      <c r="H149" s="1"/>
      <c r="I149" s="63"/>
      <c r="K149" s="75" t="s">
        <v>825</v>
      </c>
      <c r="L149" s="64">
        <f t="shared" si="22"/>
        <v>1</v>
      </c>
      <c r="M149" s="17">
        <v>1.0</v>
      </c>
      <c r="AJ149" s="17"/>
      <c r="AK149" s="17"/>
      <c r="AL149" s="17"/>
      <c r="AM149" s="17"/>
      <c r="AN149" s="17"/>
    </row>
    <row r="150">
      <c r="A150" s="1" t="s">
        <v>928</v>
      </c>
      <c r="B150" s="63">
        <v>2024.0</v>
      </c>
      <c r="C150" s="63">
        <v>3.0</v>
      </c>
      <c r="D150" s="63" t="str">
        <f>IFERROR(__xludf.DUMMYFUNCTION("if(regexmatch(E150,""Recycled""),""No"",""Yes"")"),"Yes")</f>
        <v>Yes</v>
      </c>
      <c r="E150" s="63"/>
      <c r="F150" s="63" t="s">
        <v>654</v>
      </c>
      <c r="G150" s="1"/>
      <c r="H150" s="1">
        <v>2.0</v>
      </c>
      <c r="I150" s="63"/>
      <c r="J150" s="17" t="s">
        <v>929</v>
      </c>
      <c r="L150" s="64"/>
      <c r="M150" s="17"/>
      <c r="AJ150" s="17"/>
      <c r="AK150" s="17"/>
      <c r="AL150" s="17"/>
      <c r="AM150" s="17"/>
      <c r="AN150" s="17"/>
      <c r="AO150" s="17"/>
      <c r="BQ150" s="76"/>
      <c r="CB150" s="65"/>
    </row>
    <row r="151" hidden="1">
      <c r="A151" s="1" t="s">
        <v>930</v>
      </c>
      <c r="B151" s="63">
        <v>2017.0</v>
      </c>
      <c r="C151" s="63">
        <v>1.0</v>
      </c>
      <c r="D151" s="63" t="str">
        <f>IFERROR(__xludf.DUMMYFUNCTION("if(regexmatch(E151,""Recycled""),""No"",""Yes"")"),"No")</f>
        <v>No</v>
      </c>
      <c r="E151" s="63" t="s">
        <v>659</v>
      </c>
      <c r="F151" s="63" t="s">
        <v>660</v>
      </c>
      <c r="G151" s="1" t="s">
        <v>931</v>
      </c>
      <c r="H151" s="1"/>
      <c r="I151" s="63"/>
      <c r="L151" s="64">
        <f t="shared" ref="L151:L152" si="23">SUM(M151:AW151)</f>
        <v>1</v>
      </c>
      <c r="M151" s="17">
        <v>1.0</v>
      </c>
      <c r="AJ151" s="17"/>
      <c r="AK151" s="17"/>
      <c r="AL151" s="17"/>
      <c r="AM151" s="17"/>
      <c r="AN151" s="17"/>
      <c r="AO151" s="17" t="s">
        <v>932</v>
      </c>
      <c r="BQ151" s="76" t="s">
        <v>922</v>
      </c>
      <c r="CB151" s="65" t="s">
        <v>774</v>
      </c>
    </row>
    <row r="152" hidden="1">
      <c r="A152" s="1" t="s">
        <v>930</v>
      </c>
      <c r="B152" s="63">
        <v>2019.0</v>
      </c>
      <c r="C152" s="63">
        <v>2.0</v>
      </c>
      <c r="D152" s="63" t="str">
        <f>IFERROR(__xludf.DUMMYFUNCTION("if(regexmatch(E152,""Recycled""),""No"",""Yes"")"),"No")</f>
        <v>No</v>
      </c>
      <c r="E152" s="63" t="s">
        <v>786</v>
      </c>
      <c r="F152" s="63" t="s">
        <v>660</v>
      </c>
      <c r="G152" s="1" t="s">
        <v>655</v>
      </c>
      <c r="H152" s="1"/>
      <c r="I152" s="63"/>
      <c r="K152" s="41" t="s">
        <v>861</v>
      </c>
      <c r="L152" s="64">
        <f t="shared" si="23"/>
        <v>1</v>
      </c>
      <c r="M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AC152" s="17"/>
      <c r="AD152" s="17"/>
      <c r="AE152" s="17">
        <v>1.0</v>
      </c>
      <c r="AQ152" s="17"/>
      <c r="AR152" s="17"/>
      <c r="AS152" s="17"/>
      <c r="AT152" s="17"/>
      <c r="AU152" s="17"/>
      <c r="AV152" s="17"/>
      <c r="AW152" s="17"/>
    </row>
    <row r="153">
      <c r="A153" s="1" t="s">
        <v>930</v>
      </c>
      <c r="B153" s="63">
        <v>2024.0</v>
      </c>
      <c r="C153" s="63">
        <v>3.0</v>
      </c>
      <c r="D153" s="63" t="str">
        <f>IFERROR(__xludf.DUMMYFUNCTION("if(regexmatch(E153,""Recycled""),""No"",""Yes"")"),"Yes")</f>
        <v>Yes</v>
      </c>
      <c r="E153" s="63"/>
      <c r="F153" s="63" t="s">
        <v>654</v>
      </c>
      <c r="G153" s="1"/>
      <c r="H153" s="1">
        <v>2.0</v>
      </c>
      <c r="I153" s="63"/>
      <c r="J153" s="17" t="s">
        <v>933</v>
      </c>
      <c r="K153" s="17"/>
      <c r="L153" s="64"/>
      <c r="M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AQ153" s="17"/>
      <c r="AR153" s="17"/>
      <c r="AS153" s="17"/>
      <c r="AT153" s="17"/>
      <c r="AU153" s="17"/>
      <c r="AV153" s="17"/>
      <c r="AW153" s="17"/>
      <c r="BQ153" s="66"/>
      <c r="BS153" s="65"/>
    </row>
    <row r="154" hidden="1">
      <c r="A154" s="1" t="s">
        <v>934</v>
      </c>
      <c r="B154" s="63">
        <v>2017.0</v>
      </c>
      <c r="C154" s="63">
        <v>1.0</v>
      </c>
      <c r="D154" s="63" t="str">
        <f>IFERROR(__xludf.DUMMYFUNCTION("if(regexmatch(E154,""Recycled""),""No"",""Yes"")"),"No")</f>
        <v>No</v>
      </c>
      <c r="E154" s="63" t="s">
        <v>696</v>
      </c>
      <c r="F154" s="63" t="s">
        <v>660</v>
      </c>
      <c r="G154" s="1" t="s">
        <v>935</v>
      </c>
      <c r="H154" s="1"/>
      <c r="I154" s="63"/>
      <c r="K154" s="17"/>
      <c r="L154" s="64">
        <f t="shared" ref="L154:L156" si="24">SUM(M154:AW154)</f>
        <v>3</v>
      </c>
      <c r="M154" s="17">
        <v>1.0</v>
      </c>
      <c r="O154" s="17"/>
      <c r="P154" s="17"/>
      <c r="Q154" s="17"/>
      <c r="R154" s="17">
        <v>1.0</v>
      </c>
      <c r="S154" s="17"/>
      <c r="T154" s="17"/>
      <c r="U154" s="17"/>
      <c r="V154" s="17"/>
      <c r="W154" s="17"/>
      <c r="X154" s="17"/>
      <c r="Y154" s="17"/>
      <c r="AQ154" s="17"/>
      <c r="AR154" s="17"/>
      <c r="AS154" s="17"/>
      <c r="AT154" s="17"/>
      <c r="AU154" s="17"/>
      <c r="AV154" s="17"/>
      <c r="AW154" s="17">
        <v>1.0</v>
      </c>
      <c r="BQ154" s="66" t="s">
        <v>11</v>
      </c>
      <c r="BS154" s="65" t="s">
        <v>936</v>
      </c>
    </row>
    <row r="155" hidden="1">
      <c r="A155" s="1" t="s">
        <v>934</v>
      </c>
      <c r="B155" s="63">
        <v>2019.0</v>
      </c>
      <c r="C155" s="63">
        <v>2.0</v>
      </c>
      <c r="D155" s="63" t="str">
        <f>IFERROR(__xludf.DUMMYFUNCTION("if(regexmatch(E155,""Recycled""),""No"",""Yes"")"),"No")</f>
        <v>No</v>
      </c>
      <c r="E155" s="63" t="s">
        <v>696</v>
      </c>
      <c r="F155" s="63" t="s">
        <v>654</v>
      </c>
      <c r="G155" s="1" t="s">
        <v>655</v>
      </c>
      <c r="H155" s="1"/>
      <c r="I155" s="63"/>
      <c r="J155" s="18"/>
      <c r="L155" s="64">
        <f t="shared" si="24"/>
        <v>1</v>
      </c>
      <c r="AP155" s="17">
        <v>1.0</v>
      </c>
    </row>
    <row r="156" hidden="1">
      <c r="A156" s="1" t="s">
        <v>934</v>
      </c>
      <c r="B156" s="63">
        <v>2020.0</v>
      </c>
      <c r="C156" s="63">
        <v>3.0</v>
      </c>
      <c r="D156" s="63" t="str">
        <f>IFERROR(__xludf.DUMMYFUNCTION("if(regexmatch(E156,""Recycled""),""No"",""Yes"")"),"No")</f>
        <v>No</v>
      </c>
      <c r="E156" s="63" t="s">
        <v>786</v>
      </c>
      <c r="F156" s="63" t="s">
        <v>654</v>
      </c>
      <c r="G156" s="1" t="s">
        <v>655</v>
      </c>
      <c r="H156" s="1"/>
      <c r="I156" s="63"/>
      <c r="J156" s="17" t="s">
        <v>937</v>
      </c>
      <c r="K156" s="41" t="s">
        <v>861</v>
      </c>
      <c r="L156" s="64">
        <f t="shared" si="24"/>
        <v>1</v>
      </c>
      <c r="AP156" s="17">
        <v>1.0</v>
      </c>
    </row>
    <row r="157">
      <c r="A157" s="1" t="s">
        <v>934</v>
      </c>
      <c r="B157" s="63">
        <v>2024.0</v>
      </c>
      <c r="C157" s="63">
        <v>4.0</v>
      </c>
      <c r="D157" s="63" t="str">
        <f>IFERROR(__xludf.DUMMYFUNCTION("if(regexmatch(E157,""Recycled""),""No"",""Yes"")"),"Yes")</f>
        <v>Yes</v>
      </c>
      <c r="E157" s="63"/>
      <c r="F157" s="63" t="s">
        <v>654</v>
      </c>
      <c r="G157" s="1"/>
      <c r="H157" s="1">
        <v>1.0</v>
      </c>
      <c r="I157" s="63"/>
      <c r="J157" s="17" t="s">
        <v>938</v>
      </c>
      <c r="L157" s="64"/>
    </row>
    <row r="158" hidden="1">
      <c r="A158" s="1" t="s">
        <v>939</v>
      </c>
      <c r="B158" s="63">
        <v>2017.0</v>
      </c>
      <c r="C158" s="63">
        <v>1.0</v>
      </c>
      <c r="D158" s="63" t="str">
        <f>IFERROR(__xludf.DUMMYFUNCTION("if(regexmatch(E158,""Recycled""),""No"",""Yes"")"),"No")</f>
        <v>No</v>
      </c>
      <c r="E158" s="63" t="s">
        <v>696</v>
      </c>
      <c r="F158" s="63" t="s">
        <v>660</v>
      </c>
      <c r="G158" s="1"/>
      <c r="H158" s="1"/>
      <c r="I158" s="63"/>
      <c r="J158" s="18" t="s">
        <v>919</v>
      </c>
      <c r="L158" s="64">
        <f t="shared" ref="L158:L162" si="25">SUM(M158:AW158)</f>
        <v>0</v>
      </c>
    </row>
    <row r="159" hidden="1">
      <c r="A159" s="1" t="s">
        <v>939</v>
      </c>
      <c r="B159" s="63">
        <v>2018.0</v>
      </c>
      <c r="C159" s="63">
        <v>2.0</v>
      </c>
      <c r="D159" s="63" t="str">
        <f>IFERROR(__xludf.DUMMYFUNCTION("if(regexmatch(E159,""Recycled""),""No"",""Yes"")"),"No")</f>
        <v>No</v>
      </c>
      <c r="E159" s="63" t="s">
        <v>940</v>
      </c>
      <c r="F159" s="63" t="s">
        <v>660</v>
      </c>
      <c r="G159" s="1" t="s">
        <v>655</v>
      </c>
      <c r="H159" s="1"/>
      <c r="I159" s="69"/>
      <c r="J159" s="17" t="s">
        <v>941</v>
      </c>
      <c r="L159" s="64">
        <f t="shared" si="25"/>
        <v>1</v>
      </c>
      <c r="AJ159" s="17"/>
      <c r="AK159" s="17"/>
      <c r="AL159" s="17"/>
      <c r="AM159" s="17"/>
      <c r="AN159" s="17"/>
      <c r="AO159" s="17">
        <v>1.0</v>
      </c>
      <c r="CJ159" s="68" t="s">
        <v>942</v>
      </c>
      <c r="CO159" s="68" t="s">
        <v>942</v>
      </c>
    </row>
    <row r="160">
      <c r="A160" s="1" t="s">
        <v>939</v>
      </c>
      <c r="B160" s="63">
        <v>2022.0</v>
      </c>
      <c r="C160" s="63">
        <v>3.0</v>
      </c>
      <c r="D160" s="63" t="str">
        <f>IFERROR(__xludf.DUMMYFUNCTION("if(regexmatch(E160,""Recycled""),""No"",""Yes"")"),"Yes")</f>
        <v>Yes</v>
      </c>
      <c r="E160" s="63" t="s">
        <v>943</v>
      </c>
      <c r="F160" s="63" t="s">
        <v>787</v>
      </c>
      <c r="G160" s="1" t="s">
        <v>655</v>
      </c>
      <c r="H160" s="2"/>
      <c r="I160" s="69"/>
      <c r="J160" s="17" t="s">
        <v>944</v>
      </c>
      <c r="K160" s="73" t="s">
        <v>945</v>
      </c>
      <c r="L160" s="64">
        <f t="shared" si="25"/>
        <v>1</v>
      </c>
      <c r="AA160" s="17"/>
      <c r="AB160" s="17">
        <v>1.0</v>
      </c>
      <c r="ED160" s="66" t="s">
        <v>664</v>
      </c>
      <c r="EQ160" s="66" t="s">
        <v>664</v>
      </c>
    </row>
    <row r="161" hidden="1">
      <c r="A161" s="1" t="s">
        <v>946</v>
      </c>
      <c r="B161" s="63">
        <v>2017.0</v>
      </c>
      <c r="C161" s="63">
        <v>1.0</v>
      </c>
      <c r="D161" s="63" t="str">
        <f>IFERROR(__xludf.DUMMYFUNCTION("if(regexmatch(E161,""Recycled""),""No"",""Yes"")"),"No")</f>
        <v>No</v>
      </c>
      <c r="E161" s="63" t="s">
        <v>696</v>
      </c>
      <c r="F161" s="63" t="s">
        <v>660</v>
      </c>
      <c r="G161" s="1"/>
      <c r="H161" s="1"/>
      <c r="I161" s="63"/>
      <c r="K161" s="18"/>
      <c r="L161" s="64">
        <f t="shared" si="25"/>
        <v>0</v>
      </c>
    </row>
    <row r="162" hidden="1">
      <c r="A162" s="1" t="s">
        <v>946</v>
      </c>
      <c r="B162" s="63">
        <v>2019.0</v>
      </c>
      <c r="C162" s="63">
        <v>2.0</v>
      </c>
      <c r="D162" s="63" t="str">
        <f>IFERROR(__xludf.DUMMYFUNCTION("if(regexmatch(E162,""Recycled""),""No"",""Yes"")"),"No")</f>
        <v>No</v>
      </c>
      <c r="E162" s="63" t="s">
        <v>899</v>
      </c>
      <c r="F162" s="63" t="s">
        <v>660</v>
      </c>
      <c r="G162" s="1" t="s">
        <v>655</v>
      </c>
      <c r="H162" s="1"/>
      <c r="I162" s="63"/>
      <c r="K162" s="41" t="s">
        <v>947</v>
      </c>
      <c r="L162" s="64">
        <f t="shared" si="25"/>
        <v>3</v>
      </c>
      <c r="AC162" s="17"/>
      <c r="AD162" s="17"/>
      <c r="AE162" s="17">
        <v>1.0</v>
      </c>
      <c r="AN162" s="17"/>
      <c r="AT162" s="17"/>
      <c r="AU162" s="17"/>
      <c r="AV162" s="17">
        <v>1.0</v>
      </c>
      <c r="AW162" s="17">
        <v>1.0</v>
      </c>
    </row>
    <row r="163">
      <c r="A163" s="1" t="s">
        <v>946</v>
      </c>
      <c r="B163" s="63">
        <v>2025.0</v>
      </c>
      <c r="C163" s="63">
        <v>3.0</v>
      </c>
      <c r="D163" s="63" t="str">
        <f>IFERROR(__xludf.DUMMYFUNCTION("if(regexmatch(E163,""Recycled""),""No"",""Yes"")"),"Yes")</f>
        <v>Yes</v>
      </c>
      <c r="E163" s="63"/>
      <c r="F163" s="63" t="s">
        <v>660</v>
      </c>
      <c r="G163" s="1"/>
      <c r="H163" s="1"/>
      <c r="I163" s="63"/>
      <c r="J163" s="17" t="s">
        <v>948</v>
      </c>
      <c r="K163" s="18"/>
      <c r="L163" s="64"/>
      <c r="BQ163" s="68"/>
    </row>
    <row r="164" hidden="1">
      <c r="A164" s="1" t="s">
        <v>949</v>
      </c>
      <c r="B164" s="63">
        <v>2017.0</v>
      </c>
      <c r="C164" s="63">
        <v>1.0</v>
      </c>
      <c r="D164" s="63" t="str">
        <f>IFERROR(__xludf.DUMMYFUNCTION("if(regexmatch(E164,""Recycled""),""No"",""Yes"")"),"No")</f>
        <v>No</v>
      </c>
      <c r="E164" s="63" t="s">
        <v>696</v>
      </c>
      <c r="F164" s="63" t="s">
        <v>660</v>
      </c>
      <c r="G164" s="1"/>
      <c r="H164" s="1"/>
      <c r="I164" s="63"/>
      <c r="K164" s="18"/>
      <c r="L164" s="64">
        <f t="shared" ref="L164:L165" si="26">SUM(M164:AW164)</f>
        <v>0</v>
      </c>
      <c r="BQ164" s="68" t="s">
        <v>950</v>
      </c>
    </row>
    <row r="165" hidden="1">
      <c r="A165" s="1" t="s">
        <v>949</v>
      </c>
      <c r="B165" s="63">
        <v>2019.0</v>
      </c>
      <c r="C165" s="63">
        <v>2.0</v>
      </c>
      <c r="D165" s="63" t="str">
        <f>IFERROR(__xludf.DUMMYFUNCTION("if(regexmatch(E165,""Recycled""),""No"",""Yes"")"),"No")</f>
        <v>No</v>
      </c>
      <c r="E165" s="63" t="s">
        <v>786</v>
      </c>
      <c r="F165" s="63" t="s">
        <v>660</v>
      </c>
      <c r="G165" s="1" t="s">
        <v>655</v>
      </c>
      <c r="H165" s="1"/>
      <c r="I165" s="63"/>
      <c r="J165" s="18"/>
      <c r="K165" s="73" t="s">
        <v>951</v>
      </c>
      <c r="L165" s="64">
        <f t="shared" si="26"/>
        <v>1</v>
      </c>
      <c r="AN165" s="17"/>
      <c r="AT165" s="17"/>
      <c r="AU165" s="17"/>
      <c r="AV165" s="17">
        <v>1.0</v>
      </c>
    </row>
    <row r="166">
      <c r="A166" s="1" t="s">
        <v>949</v>
      </c>
      <c r="B166" s="63">
        <v>2024.0</v>
      </c>
      <c r="C166" s="63">
        <v>3.0</v>
      </c>
      <c r="D166" s="63" t="str">
        <f>IFERROR(__xludf.DUMMYFUNCTION("if(regexmatch(E166,""Recycled""),""No"",""Yes"")"),"Yes")</f>
        <v>Yes</v>
      </c>
      <c r="E166" s="63"/>
      <c r="F166" s="63" t="s">
        <v>787</v>
      </c>
      <c r="G166" s="1"/>
      <c r="H166" s="1"/>
      <c r="I166" s="63"/>
      <c r="J166" s="17" t="s">
        <v>952</v>
      </c>
      <c r="L166" s="64"/>
      <c r="V166" s="17"/>
    </row>
    <row r="167" hidden="1">
      <c r="A167" s="1" t="s">
        <v>953</v>
      </c>
      <c r="B167" s="63">
        <v>2017.0</v>
      </c>
      <c r="C167" s="63">
        <v>1.0</v>
      </c>
      <c r="D167" s="63" t="str">
        <f>IFERROR(__xludf.DUMMYFUNCTION("if(regexmatch(E167,""Recycled""),""No"",""Yes"")"),"No")</f>
        <v>No</v>
      </c>
      <c r="E167" s="63" t="s">
        <v>696</v>
      </c>
      <c r="F167" s="63" t="s">
        <v>660</v>
      </c>
      <c r="G167" s="1" t="s">
        <v>655</v>
      </c>
      <c r="H167" s="1"/>
      <c r="I167" s="63"/>
      <c r="J167" s="18" t="s">
        <v>919</v>
      </c>
      <c r="L167" s="64">
        <f t="shared" ref="L167:L169" si="27">SUM(M167:AW167)</f>
        <v>1</v>
      </c>
      <c r="V167" s="17">
        <v>1.0</v>
      </c>
    </row>
    <row r="168" hidden="1">
      <c r="A168" s="1" t="s">
        <v>953</v>
      </c>
      <c r="B168" s="63">
        <v>2019.0</v>
      </c>
      <c r="C168" s="63">
        <v>2.0</v>
      </c>
      <c r="D168" s="63" t="str">
        <f>IFERROR(__xludf.DUMMYFUNCTION("if(regexmatch(E168,""Recycled""),""No"",""Yes"")"),"No")</f>
        <v>No</v>
      </c>
      <c r="E168" s="63" t="s">
        <v>653</v>
      </c>
      <c r="F168" s="63" t="s">
        <v>654</v>
      </c>
      <c r="G168" s="1" t="s">
        <v>655</v>
      </c>
      <c r="H168" s="1"/>
      <c r="I168" s="68" t="s">
        <v>692</v>
      </c>
      <c r="K168" s="17" t="s">
        <v>693</v>
      </c>
      <c r="L168" s="64">
        <f t="shared" si="27"/>
        <v>4</v>
      </c>
      <c r="M168" s="17">
        <v>1.0</v>
      </c>
      <c r="AC168" s="17"/>
      <c r="AD168" s="17"/>
      <c r="AE168" s="17">
        <v>1.0</v>
      </c>
      <c r="AN168" s="17"/>
      <c r="AO168" s="17">
        <v>1.0</v>
      </c>
      <c r="AP168" s="17">
        <v>1.0</v>
      </c>
      <c r="CS168" s="65" t="s">
        <v>694</v>
      </c>
      <c r="CY168" s="67" t="s">
        <v>694</v>
      </c>
      <c r="DE168" s="65" t="s">
        <v>694</v>
      </c>
    </row>
    <row r="169" hidden="1">
      <c r="A169" s="1" t="s">
        <v>953</v>
      </c>
      <c r="B169" s="63">
        <v>2020.0</v>
      </c>
      <c r="C169" s="63">
        <v>3.0</v>
      </c>
      <c r="D169" s="63" t="str">
        <f>IFERROR(__xludf.DUMMYFUNCTION("if(regexmatch(E169,""Recycled""),""No"",""Yes"")"),"No")</f>
        <v>No</v>
      </c>
      <c r="E169" s="63" t="s">
        <v>786</v>
      </c>
      <c r="F169" s="63" t="s">
        <v>654</v>
      </c>
      <c r="G169" s="1"/>
      <c r="H169" s="1"/>
      <c r="I169" s="63"/>
      <c r="K169" s="82" t="s">
        <v>954</v>
      </c>
      <c r="L169" s="64">
        <f t="shared" si="27"/>
        <v>0</v>
      </c>
    </row>
    <row r="170">
      <c r="A170" s="1" t="s">
        <v>953</v>
      </c>
      <c r="B170" s="63">
        <v>2024.0</v>
      </c>
      <c r="C170" s="63">
        <v>4.0</v>
      </c>
      <c r="D170" s="63" t="str">
        <f>IFERROR(__xludf.DUMMYFUNCTION("if(regexmatch(E170,""Recycled""),""No"",""Yes"")"),"Yes")</f>
        <v>Yes</v>
      </c>
      <c r="E170" s="63"/>
      <c r="F170" s="63" t="s">
        <v>654</v>
      </c>
      <c r="G170" s="1"/>
      <c r="H170" s="1">
        <v>1.0</v>
      </c>
      <c r="I170" s="63"/>
      <c r="J170" s="17" t="s">
        <v>955</v>
      </c>
      <c r="K170" s="18"/>
      <c r="L170" s="64"/>
    </row>
    <row r="171" hidden="1">
      <c r="A171" s="1" t="s">
        <v>956</v>
      </c>
      <c r="B171" s="63">
        <v>2017.0</v>
      </c>
      <c r="C171" s="63">
        <v>1.0</v>
      </c>
      <c r="D171" s="63" t="str">
        <f>IFERROR(__xludf.DUMMYFUNCTION("if(regexmatch(E171,""Recycled""),""No"",""Yes"")"),"No")</f>
        <v>No</v>
      </c>
      <c r="E171" s="63" t="s">
        <v>696</v>
      </c>
      <c r="F171" s="63" t="s">
        <v>660</v>
      </c>
      <c r="G171" s="1"/>
      <c r="H171" s="1"/>
      <c r="I171" s="63"/>
      <c r="K171" s="18"/>
      <c r="L171" s="64">
        <f t="shared" ref="L171:L172" si="28">SUM(M171:AW171)</f>
        <v>0</v>
      </c>
    </row>
    <row r="172" hidden="1">
      <c r="A172" s="1" t="s">
        <v>956</v>
      </c>
      <c r="B172" s="63">
        <v>2019.0</v>
      </c>
      <c r="C172" s="63">
        <v>2.0</v>
      </c>
      <c r="D172" s="63" t="str">
        <f>IFERROR(__xludf.DUMMYFUNCTION("if(regexmatch(E172,""Recycled""),""No"",""Yes"")"),"No")</f>
        <v>No</v>
      </c>
      <c r="E172" s="63" t="s">
        <v>899</v>
      </c>
      <c r="F172" s="63" t="s">
        <v>660</v>
      </c>
      <c r="G172" s="1" t="s">
        <v>655</v>
      </c>
      <c r="H172" s="1"/>
      <c r="I172" s="63"/>
      <c r="J172" s="3"/>
      <c r="K172" s="73" t="s">
        <v>957</v>
      </c>
      <c r="L172" s="64">
        <f t="shared" si="28"/>
        <v>1</v>
      </c>
      <c r="M172" s="3"/>
      <c r="N172" s="3"/>
      <c r="O172" s="3"/>
      <c r="P172" s="3"/>
      <c r="Q172" s="3"/>
      <c r="R172" s="3"/>
      <c r="S172" s="83"/>
      <c r="T172" s="83"/>
      <c r="U172" s="83"/>
      <c r="V172" s="83"/>
      <c r="W172" s="83"/>
      <c r="X172" s="83"/>
      <c r="Y172" s="8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83"/>
      <c r="AN172" s="83"/>
      <c r="AO172" s="83"/>
      <c r="AP172" s="83"/>
      <c r="AQ172" s="83"/>
      <c r="AR172" s="3"/>
      <c r="AS172" s="3"/>
      <c r="AT172" s="3"/>
      <c r="AU172" s="3"/>
      <c r="AV172" s="3"/>
      <c r="AW172" s="83">
        <v>1.0</v>
      </c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</row>
    <row r="173">
      <c r="A173" s="1" t="s">
        <v>956</v>
      </c>
      <c r="B173" s="63">
        <v>2025.0</v>
      </c>
      <c r="C173" s="63">
        <v>3.0</v>
      </c>
      <c r="D173" s="63" t="str">
        <f>IFERROR(__xludf.DUMMYFUNCTION("if(regexmatch(E173,""Recycled""),""No"",""Yes"")"),"Yes")</f>
        <v>Yes</v>
      </c>
      <c r="E173" s="63"/>
      <c r="F173" s="63" t="s">
        <v>660</v>
      </c>
      <c r="G173" s="1"/>
      <c r="H173" s="1"/>
      <c r="I173" s="63"/>
      <c r="J173" s="17" t="s">
        <v>958</v>
      </c>
      <c r="K173" s="3"/>
      <c r="L173" s="64"/>
      <c r="M173" s="3"/>
      <c r="N173" s="3"/>
      <c r="O173" s="3"/>
      <c r="P173" s="3"/>
      <c r="Q173" s="3"/>
      <c r="R173" s="3"/>
      <c r="S173" s="83"/>
      <c r="T173" s="83"/>
      <c r="U173" s="83"/>
      <c r="V173" s="83"/>
      <c r="W173" s="83"/>
      <c r="X173" s="83"/>
      <c r="Y173" s="8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8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65"/>
      <c r="BT173" s="3"/>
      <c r="BU173" s="3"/>
      <c r="BV173" s="3"/>
      <c r="BW173" s="3"/>
      <c r="BX173" s="3"/>
      <c r="BY173" s="3"/>
      <c r="BZ173" s="3"/>
      <c r="CA173" s="3"/>
      <c r="CB173" s="65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</row>
    <row r="174" hidden="1">
      <c r="A174" s="1" t="s">
        <v>959</v>
      </c>
      <c r="B174" s="63">
        <v>2017.0</v>
      </c>
      <c r="C174" s="63">
        <v>1.0</v>
      </c>
      <c r="D174" s="63" t="str">
        <f>IFERROR(__xludf.DUMMYFUNCTION("if(regexmatch(E174,""Recycled""),""No"",""Yes"")"),"No")</f>
        <v>No</v>
      </c>
      <c r="E174" s="63" t="s">
        <v>659</v>
      </c>
      <c r="F174" s="63" t="s">
        <v>769</v>
      </c>
      <c r="G174" s="1" t="s">
        <v>960</v>
      </c>
      <c r="H174" s="1"/>
      <c r="I174" s="63"/>
      <c r="J174" s="3"/>
      <c r="K174" s="3"/>
      <c r="L174" s="64">
        <f t="shared" ref="L174:L176" si="29">SUM(M174:AW174)</f>
        <v>1</v>
      </c>
      <c r="M174" s="3"/>
      <c r="N174" s="3"/>
      <c r="O174" s="3"/>
      <c r="P174" s="3"/>
      <c r="Q174" s="3"/>
      <c r="R174" s="3"/>
      <c r="S174" s="83"/>
      <c r="T174" s="83"/>
      <c r="U174" s="83"/>
      <c r="V174" s="83"/>
      <c r="W174" s="83"/>
      <c r="X174" s="83"/>
      <c r="Y174" s="8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83">
        <v>1.0</v>
      </c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65" t="s">
        <v>7</v>
      </c>
      <c r="BT174" s="3"/>
      <c r="BU174" s="3"/>
      <c r="BV174" s="3"/>
      <c r="BW174" s="3"/>
      <c r="BX174" s="3"/>
      <c r="BY174" s="3"/>
      <c r="BZ174" s="3"/>
      <c r="CA174" s="3"/>
      <c r="CB174" s="65" t="s">
        <v>7</v>
      </c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</row>
    <row r="175" hidden="1">
      <c r="A175" s="1" t="s">
        <v>959</v>
      </c>
      <c r="B175" s="63">
        <v>2019.0</v>
      </c>
      <c r="C175" s="63">
        <v>2.0</v>
      </c>
      <c r="D175" s="63" t="str">
        <f>IFERROR(__xludf.DUMMYFUNCTION("if(regexmatch(E175,""Recycled""),""No"",""Yes"")"),"No")</f>
        <v>No</v>
      </c>
      <c r="E175" s="63" t="s">
        <v>653</v>
      </c>
      <c r="F175" s="63" t="s">
        <v>654</v>
      </c>
      <c r="G175" s="1" t="s">
        <v>655</v>
      </c>
      <c r="H175" s="1"/>
      <c r="I175" s="68" t="s">
        <v>692</v>
      </c>
      <c r="K175" s="17" t="s">
        <v>693</v>
      </c>
      <c r="L175" s="64">
        <f t="shared" si="29"/>
        <v>4</v>
      </c>
      <c r="M175" s="17">
        <v>1.0</v>
      </c>
      <c r="AC175" s="17"/>
      <c r="AD175" s="17"/>
      <c r="AE175" s="17">
        <v>1.0</v>
      </c>
      <c r="AN175" s="17"/>
      <c r="AO175" s="17">
        <v>1.0</v>
      </c>
      <c r="AP175" s="17">
        <v>1.0</v>
      </c>
      <c r="AQ175" s="17"/>
      <c r="CS175" s="65" t="s">
        <v>694</v>
      </c>
      <c r="CY175" s="67" t="s">
        <v>694</v>
      </c>
      <c r="DE175" s="65" t="s">
        <v>694</v>
      </c>
    </row>
    <row r="176" hidden="1">
      <c r="A176" s="1" t="s">
        <v>959</v>
      </c>
      <c r="B176" s="63">
        <v>2020.0</v>
      </c>
      <c r="C176" s="63">
        <v>3.0</v>
      </c>
      <c r="D176" s="63" t="str">
        <f>IFERROR(__xludf.DUMMYFUNCTION("if(regexmatch(E176,""Recycled""),""No"",""Yes"")"),"No")</f>
        <v>No</v>
      </c>
      <c r="E176" s="63" t="s">
        <v>786</v>
      </c>
      <c r="F176" s="63" t="s">
        <v>654</v>
      </c>
      <c r="G176" s="1" t="s">
        <v>655</v>
      </c>
      <c r="H176" s="1"/>
      <c r="I176" s="63"/>
      <c r="K176" s="75" t="s">
        <v>825</v>
      </c>
      <c r="L176" s="64">
        <f t="shared" si="29"/>
        <v>1</v>
      </c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>
        <v>1.0</v>
      </c>
      <c r="AQ176" s="17"/>
    </row>
    <row r="177">
      <c r="A177" s="1" t="s">
        <v>959</v>
      </c>
      <c r="B177" s="63">
        <v>2024.0</v>
      </c>
      <c r="C177" s="63">
        <v>4.0</v>
      </c>
      <c r="D177" s="63" t="str">
        <f>IFERROR(__xludf.DUMMYFUNCTION("if(regexmatch(E177,""Recycled""),""No"",""Yes"")"),"Yes")</f>
        <v>Yes</v>
      </c>
      <c r="E177" s="63"/>
      <c r="F177" s="63" t="s">
        <v>654</v>
      </c>
      <c r="G177" s="1"/>
      <c r="H177" s="1">
        <v>2.0</v>
      </c>
      <c r="I177" s="63"/>
      <c r="J177" s="17" t="s">
        <v>961</v>
      </c>
      <c r="L177" s="64"/>
      <c r="O177" s="17"/>
      <c r="P177" s="17"/>
      <c r="Q177" s="17"/>
      <c r="R177" s="17"/>
      <c r="AP177" s="17"/>
      <c r="AQ177" s="17"/>
      <c r="BS177" s="65"/>
      <c r="BV177" s="65"/>
      <c r="CB177" s="65"/>
    </row>
    <row r="178" hidden="1">
      <c r="A178" s="1" t="s">
        <v>962</v>
      </c>
      <c r="B178" s="63">
        <v>2017.0</v>
      </c>
      <c r="C178" s="63">
        <v>1.0</v>
      </c>
      <c r="D178" s="63" t="str">
        <f>IFERROR(__xludf.DUMMYFUNCTION("if(regexmatch(E178,""Recycled""),""No"",""Yes"")"),"No")</f>
        <v>No</v>
      </c>
      <c r="E178" s="63" t="s">
        <v>659</v>
      </c>
      <c r="F178" s="63" t="s">
        <v>769</v>
      </c>
      <c r="G178" s="1" t="s">
        <v>960</v>
      </c>
      <c r="H178" s="1"/>
      <c r="I178" s="63"/>
      <c r="L178" s="64">
        <f t="shared" ref="L178:L182" si="30">SUM(M178:AW178)</f>
        <v>3</v>
      </c>
      <c r="O178" s="17"/>
      <c r="P178" s="17"/>
      <c r="Q178" s="17"/>
      <c r="R178" s="17">
        <v>1.0</v>
      </c>
      <c r="AP178" s="17">
        <v>1.0</v>
      </c>
      <c r="AQ178" s="17">
        <v>1.0</v>
      </c>
      <c r="BS178" s="65" t="s">
        <v>7</v>
      </c>
      <c r="BV178" s="65" t="s">
        <v>11</v>
      </c>
      <c r="CB178" s="65" t="s">
        <v>7</v>
      </c>
    </row>
    <row r="179" hidden="1">
      <c r="A179" s="1" t="s">
        <v>962</v>
      </c>
      <c r="B179" s="63">
        <v>2021.0</v>
      </c>
      <c r="C179" s="63">
        <v>2.0</v>
      </c>
      <c r="D179" s="63" t="str">
        <f>IFERROR(__xludf.DUMMYFUNCTION("if(regexmatch(E179,""Recycled""),""No"",""Yes"")"),"No")</f>
        <v>No</v>
      </c>
      <c r="E179" s="63" t="s">
        <v>696</v>
      </c>
      <c r="F179" s="63" t="s">
        <v>654</v>
      </c>
      <c r="G179" s="1" t="s">
        <v>655</v>
      </c>
      <c r="H179" s="1"/>
      <c r="I179" s="63"/>
      <c r="L179" s="64">
        <f t="shared" si="30"/>
        <v>3</v>
      </c>
      <c r="S179" s="17"/>
      <c r="T179" s="17"/>
      <c r="U179" s="17"/>
      <c r="V179" s="17"/>
      <c r="W179" s="17"/>
      <c r="X179" s="17"/>
      <c r="Y179" s="17"/>
      <c r="AC179" s="17"/>
      <c r="AD179" s="17"/>
      <c r="AE179" s="17">
        <v>1.0</v>
      </c>
      <c r="AP179" s="17">
        <v>1.0</v>
      </c>
      <c r="AQ179" s="17"/>
      <c r="AW179" s="17">
        <v>1.0</v>
      </c>
    </row>
    <row r="180" hidden="1">
      <c r="A180" s="18" t="s">
        <v>962</v>
      </c>
      <c r="B180" s="63">
        <v>2023.0</v>
      </c>
      <c r="C180" s="63">
        <v>3.0</v>
      </c>
      <c r="D180" s="63" t="str">
        <f>IFERROR(__xludf.DUMMYFUNCTION("if(regexmatch(E180,""Recycled""),""No"",""Yes"")"),"No")</f>
        <v>No</v>
      </c>
      <c r="E180" s="63" t="s">
        <v>786</v>
      </c>
      <c r="F180" s="63" t="s">
        <v>660</v>
      </c>
      <c r="G180" s="1" t="s">
        <v>655</v>
      </c>
      <c r="H180" s="2"/>
      <c r="I180" s="69"/>
      <c r="K180" s="82" t="s">
        <v>963</v>
      </c>
      <c r="L180" s="64">
        <f t="shared" si="30"/>
        <v>1</v>
      </c>
      <c r="AE180" s="17">
        <v>1.0</v>
      </c>
    </row>
    <row r="181" hidden="1">
      <c r="A181" s="1" t="s">
        <v>964</v>
      </c>
      <c r="B181" s="63">
        <v>2017.0</v>
      </c>
      <c r="C181" s="63">
        <v>1.0</v>
      </c>
      <c r="D181" s="63" t="str">
        <f>IFERROR(__xludf.DUMMYFUNCTION("if(regexmatch(E181,""Recycled""),""No"",""Yes"")"),"No")</f>
        <v>No</v>
      </c>
      <c r="E181" s="63" t="s">
        <v>659</v>
      </c>
      <c r="F181" s="63" t="s">
        <v>769</v>
      </c>
      <c r="G181" s="1" t="s">
        <v>960</v>
      </c>
      <c r="H181" s="1"/>
      <c r="I181" s="63"/>
      <c r="L181" s="64">
        <f t="shared" si="30"/>
        <v>2</v>
      </c>
      <c r="S181" s="17"/>
      <c r="T181" s="17"/>
      <c r="U181" s="17"/>
      <c r="V181" s="17"/>
      <c r="W181" s="17"/>
      <c r="X181" s="17"/>
      <c r="Y181" s="17"/>
      <c r="AP181" s="17">
        <v>1.0</v>
      </c>
      <c r="AQ181" s="17">
        <v>1.0</v>
      </c>
      <c r="BS181" s="65" t="s">
        <v>965</v>
      </c>
      <c r="CB181" s="65" t="s">
        <v>7</v>
      </c>
    </row>
    <row r="182" hidden="1">
      <c r="A182" s="1" t="s">
        <v>964</v>
      </c>
      <c r="B182" s="63">
        <v>2022.0</v>
      </c>
      <c r="C182" s="63">
        <v>2.0</v>
      </c>
      <c r="D182" s="63" t="str">
        <f>IFERROR(__xludf.DUMMYFUNCTION("if(regexmatch(E182,""Recycled""),""No"",""Yes"")"),"No")</f>
        <v>No</v>
      </c>
      <c r="E182" s="63" t="s">
        <v>876</v>
      </c>
      <c r="F182" s="63" t="s">
        <v>787</v>
      </c>
      <c r="G182" s="1" t="s">
        <v>655</v>
      </c>
      <c r="H182" s="2"/>
      <c r="I182" s="69"/>
      <c r="J182" s="17" t="s">
        <v>966</v>
      </c>
      <c r="K182" s="41" t="s">
        <v>889</v>
      </c>
      <c r="L182" s="64">
        <f t="shared" si="30"/>
        <v>1</v>
      </c>
      <c r="N182" s="17">
        <v>1.0</v>
      </c>
      <c r="ED182" s="66" t="s">
        <v>664</v>
      </c>
      <c r="EQ182" s="66" t="s">
        <v>664</v>
      </c>
    </row>
    <row r="183">
      <c r="A183" s="1" t="s">
        <v>964</v>
      </c>
      <c r="B183" s="63">
        <v>2024.0</v>
      </c>
      <c r="C183" s="63">
        <v>3.0</v>
      </c>
      <c r="D183" s="63" t="str">
        <f>IFERROR(__xludf.DUMMYFUNCTION("if(regexmatch(E183,""Recycled""),""No"",""Yes"")"),"Yes")</f>
        <v>Yes</v>
      </c>
      <c r="E183" s="63"/>
      <c r="F183" s="63" t="s">
        <v>787</v>
      </c>
      <c r="G183" s="1"/>
      <c r="H183" s="1"/>
      <c r="I183" s="63"/>
      <c r="J183" s="17" t="s">
        <v>967</v>
      </c>
      <c r="L183" s="64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BS183" s="65"/>
      <c r="CB183" s="65"/>
    </row>
    <row r="184" hidden="1">
      <c r="A184" s="1" t="s">
        <v>968</v>
      </c>
      <c r="B184" s="63">
        <v>2017.0</v>
      </c>
      <c r="C184" s="63">
        <v>1.0</v>
      </c>
      <c r="D184" s="63" t="str">
        <f>IFERROR(__xludf.DUMMYFUNCTION("if(regexmatch(E184,""Recycled""),""No"",""Yes"")"),"No")</f>
        <v>No</v>
      </c>
      <c r="E184" s="63" t="s">
        <v>659</v>
      </c>
      <c r="F184" s="63" t="s">
        <v>769</v>
      </c>
      <c r="G184" s="1" t="s">
        <v>969</v>
      </c>
      <c r="H184" s="1"/>
      <c r="I184" s="63"/>
      <c r="L184" s="64">
        <f t="shared" ref="L184:L191" si="31">SUM(M184:AW184)</f>
        <v>1</v>
      </c>
      <c r="O184" s="17"/>
      <c r="P184" s="17"/>
      <c r="Q184" s="17"/>
      <c r="R184" s="17">
        <v>1.0</v>
      </c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BS184" s="65" t="s">
        <v>7</v>
      </c>
      <c r="CB184" s="65" t="s">
        <v>7</v>
      </c>
    </row>
    <row r="185" hidden="1">
      <c r="A185" s="1" t="s">
        <v>968</v>
      </c>
      <c r="B185" s="63">
        <v>2021.0</v>
      </c>
      <c r="C185" s="63">
        <v>2.0</v>
      </c>
      <c r="D185" s="63" t="str">
        <f>IFERROR(__xludf.DUMMYFUNCTION("if(regexmatch(E185,""Recycled""),""No"",""Yes"")"),"No")</f>
        <v>No</v>
      </c>
      <c r="E185" s="63" t="s">
        <v>696</v>
      </c>
      <c r="F185" s="63" t="s">
        <v>654</v>
      </c>
      <c r="G185" s="1" t="s">
        <v>655</v>
      </c>
      <c r="H185" s="1"/>
      <c r="I185" s="63"/>
      <c r="L185" s="64">
        <f t="shared" si="31"/>
        <v>1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P185" s="17">
        <v>1.0</v>
      </c>
    </row>
    <row r="186">
      <c r="A186" s="18" t="s">
        <v>968</v>
      </c>
      <c r="B186" s="63">
        <v>2023.0</v>
      </c>
      <c r="C186" s="63">
        <v>3.0</v>
      </c>
      <c r="D186" s="63" t="str">
        <f>IFERROR(__xludf.DUMMYFUNCTION("if(regexmatch(E186,""Recycled""),""No"",""Yes"")"),"Yes")</f>
        <v>Yes</v>
      </c>
      <c r="E186" s="63" t="s">
        <v>22</v>
      </c>
      <c r="F186" s="63" t="s">
        <v>787</v>
      </c>
      <c r="G186" s="1" t="s">
        <v>655</v>
      </c>
      <c r="H186" s="2"/>
      <c r="I186" s="69"/>
      <c r="K186" s="73" t="s">
        <v>970</v>
      </c>
      <c r="L186" s="64">
        <f t="shared" si="31"/>
        <v>1</v>
      </c>
      <c r="M186" s="17">
        <v>1.0</v>
      </c>
    </row>
    <row r="187" hidden="1">
      <c r="A187" s="1" t="s">
        <v>971</v>
      </c>
      <c r="B187" s="63">
        <v>2017.0</v>
      </c>
      <c r="C187" s="63">
        <v>1.0</v>
      </c>
      <c r="D187" s="63" t="str">
        <f>IFERROR(__xludf.DUMMYFUNCTION("if(regexmatch(E187,""Recycled""),""No"",""Yes"")"),"No")</f>
        <v>No</v>
      </c>
      <c r="E187" s="63" t="s">
        <v>659</v>
      </c>
      <c r="F187" s="63" t="s">
        <v>769</v>
      </c>
      <c r="G187" s="1" t="s">
        <v>972</v>
      </c>
      <c r="H187" s="1"/>
      <c r="I187" s="63"/>
      <c r="L187" s="64">
        <f t="shared" si="31"/>
        <v>2</v>
      </c>
      <c r="O187" s="17">
        <v>1.0</v>
      </c>
      <c r="P187" s="17"/>
      <c r="Q187" s="17"/>
      <c r="R187" s="17">
        <v>1.0</v>
      </c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BS187" s="65" t="s">
        <v>7</v>
      </c>
      <c r="CB187" s="65" t="s">
        <v>7</v>
      </c>
    </row>
    <row r="188" hidden="1">
      <c r="A188" s="1" t="s">
        <v>971</v>
      </c>
      <c r="B188" s="63">
        <v>2021.0</v>
      </c>
      <c r="C188" s="63">
        <v>2.0</v>
      </c>
      <c r="D188" s="63" t="str">
        <f>IFERROR(__xludf.DUMMYFUNCTION("if(regexmatch(E188,""Recycled""),""No"",""Yes"")"),"No")</f>
        <v>No</v>
      </c>
      <c r="E188" s="63" t="s">
        <v>696</v>
      </c>
      <c r="F188" s="63" t="s">
        <v>654</v>
      </c>
      <c r="G188" s="1" t="s">
        <v>655</v>
      </c>
      <c r="H188" s="1"/>
      <c r="I188" s="63"/>
      <c r="K188" s="17"/>
      <c r="L188" s="64">
        <f t="shared" si="31"/>
        <v>2</v>
      </c>
      <c r="M188" s="17"/>
      <c r="R188" s="17">
        <v>1.0</v>
      </c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>
        <v>1.0</v>
      </c>
    </row>
    <row r="189">
      <c r="A189" s="18" t="s">
        <v>971</v>
      </c>
      <c r="B189" s="63">
        <v>2023.0</v>
      </c>
      <c r="C189" s="63">
        <v>3.0</v>
      </c>
      <c r="D189" s="63" t="str">
        <f>IFERROR(__xludf.DUMMYFUNCTION("if(regexmatch(E189,""Recycled""),""No"",""Yes"")"),"Yes")</f>
        <v>Yes</v>
      </c>
      <c r="E189" s="63" t="s">
        <v>22</v>
      </c>
      <c r="F189" s="63" t="s">
        <v>660</v>
      </c>
      <c r="G189" s="1" t="s">
        <v>655</v>
      </c>
      <c r="H189" s="2"/>
      <c r="I189" s="69"/>
      <c r="K189" s="73" t="s">
        <v>973</v>
      </c>
      <c r="L189" s="64">
        <f t="shared" si="31"/>
        <v>1</v>
      </c>
      <c r="V189" s="17">
        <v>1.0</v>
      </c>
    </row>
    <row r="190" hidden="1">
      <c r="A190" s="1" t="s">
        <v>974</v>
      </c>
      <c r="B190" s="63">
        <v>2017.0</v>
      </c>
      <c r="C190" s="63">
        <v>1.0</v>
      </c>
      <c r="D190" s="63" t="str">
        <f>IFERROR(__xludf.DUMMYFUNCTION("if(regexmatch(E190,""Recycled""),""No"",""Yes"")"),"No")</f>
        <v>No</v>
      </c>
      <c r="E190" s="63" t="s">
        <v>653</v>
      </c>
      <c r="F190" s="63" t="s">
        <v>769</v>
      </c>
      <c r="G190" s="1" t="s">
        <v>772</v>
      </c>
      <c r="H190" s="1"/>
      <c r="I190" s="68" t="s">
        <v>975</v>
      </c>
      <c r="K190" s="17"/>
      <c r="L190" s="64">
        <f t="shared" si="31"/>
        <v>4</v>
      </c>
      <c r="M190" s="17">
        <v>1.0</v>
      </c>
      <c r="AF190" s="17"/>
      <c r="AG190" s="17"/>
      <c r="AH190" s="17"/>
      <c r="AI190" s="17">
        <v>1.0</v>
      </c>
      <c r="AJ190" s="17"/>
      <c r="AK190" s="17"/>
      <c r="AL190" s="17"/>
      <c r="AM190" s="17"/>
      <c r="AN190" s="17"/>
      <c r="AO190" s="17">
        <v>1.0</v>
      </c>
      <c r="AP190" s="17">
        <v>1.0</v>
      </c>
      <c r="BS190" s="65" t="s">
        <v>872</v>
      </c>
      <c r="BT190" s="29" t="s">
        <v>872</v>
      </c>
      <c r="BU190" s="29" t="s">
        <v>872</v>
      </c>
      <c r="BV190" s="29" t="s">
        <v>872</v>
      </c>
      <c r="BW190" s="29" t="s">
        <v>872</v>
      </c>
      <c r="CB190" s="65" t="s">
        <v>864</v>
      </c>
    </row>
    <row r="191" hidden="1">
      <c r="A191" s="1" t="s">
        <v>974</v>
      </c>
      <c r="B191" s="63">
        <v>2022.0</v>
      </c>
      <c r="C191" s="63">
        <v>2.0</v>
      </c>
      <c r="D191" s="63" t="str">
        <f>IFERROR(__xludf.DUMMYFUNCTION("if(regexmatch(E191,""Recycled""),""No"",""Yes"")"),"No")</f>
        <v>No</v>
      </c>
      <c r="E191" s="63" t="s">
        <v>876</v>
      </c>
      <c r="F191" s="63" t="s">
        <v>787</v>
      </c>
      <c r="G191" s="1" t="s">
        <v>655</v>
      </c>
      <c r="H191" s="2"/>
      <c r="I191" s="69"/>
      <c r="J191" s="17" t="s">
        <v>944</v>
      </c>
      <c r="K191" s="41" t="s">
        <v>976</v>
      </c>
      <c r="L191" s="64">
        <f t="shared" si="31"/>
        <v>1</v>
      </c>
      <c r="AP191" s="17">
        <v>1.0</v>
      </c>
      <c r="ED191" s="66" t="s">
        <v>664</v>
      </c>
      <c r="EQ191" s="66" t="s">
        <v>664</v>
      </c>
    </row>
    <row r="192">
      <c r="A192" s="1" t="s">
        <v>974</v>
      </c>
      <c r="B192" s="63">
        <v>2025.0</v>
      </c>
      <c r="C192" s="63">
        <v>3.0</v>
      </c>
      <c r="D192" s="63" t="str">
        <f>IFERROR(__xludf.DUMMYFUNCTION("if(regexmatch(E192,""Recycled""),""No"",""Yes"")"),"Yes")</f>
        <v>Yes</v>
      </c>
      <c r="E192" s="63"/>
      <c r="F192" s="63" t="s">
        <v>660</v>
      </c>
      <c r="G192" s="1"/>
      <c r="H192" s="1"/>
      <c r="I192" s="63"/>
      <c r="J192" s="17" t="s">
        <v>977</v>
      </c>
      <c r="K192" s="18"/>
      <c r="L192" s="64"/>
      <c r="R192" s="17"/>
      <c r="V192" s="17"/>
      <c r="AC192" s="17"/>
      <c r="AD192" s="17"/>
      <c r="AE192" s="17"/>
      <c r="AF192" s="17"/>
      <c r="AG192" s="17"/>
      <c r="AI192" s="17"/>
    </row>
    <row r="193" hidden="1">
      <c r="A193" s="1" t="s">
        <v>978</v>
      </c>
      <c r="B193" s="63">
        <v>2018.0</v>
      </c>
      <c r="C193" s="63">
        <v>1.0</v>
      </c>
      <c r="D193" s="63" t="str">
        <f>IFERROR(__xludf.DUMMYFUNCTION("if(regexmatch(E193,""Recycled""),""No"",""Yes"")"),"No")</f>
        <v>No</v>
      </c>
      <c r="E193" s="63" t="s">
        <v>786</v>
      </c>
      <c r="F193" s="63" t="s">
        <v>660</v>
      </c>
      <c r="G193" s="1" t="s">
        <v>655</v>
      </c>
      <c r="H193" s="1"/>
      <c r="I193" s="63"/>
      <c r="J193" s="18"/>
      <c r="K193" s="82" t="s">
        <v>963</v>
      </c>
      <c r="L193" s="64">
        <f t="shared" ref="L193:L195" si="32">SUM(M193:AW193)</f>
        <v>4</v>
      </c>
      <c r="R193" s="17">
        <v>1.0</v>
      </c>
      <c r="V193" s="17">
        <v>1.0</v>
      </c>
      <c r="AC193" s="17"/>
      <c r="AD193" s="17"/>
      <c r="AE193" s="17">
        <v>1.0</v>
      </c>
      <c r="AF193" s="17"/>
      <c r="AG193" s="17"/>
      <c r="AI193" s="17">
        <v>1.0</v>
      </c>
    </row>
    <row r="194" hidden="1">
      <c r="A194" s="1" t="s">
        <v>979</v>
      </c>
      <c r="B194" s="63">
        <v>2018.0</v>
      </c>
      <c r="C194" s="63">
        <v>1.0</v>
      </c>
      <c r="D194" s="63" t="str">
        <f>IFERROR(__xludf.DUMMYFUNCTION("if(regexmatch(E194,""Recycled""),""No"",""Yes"")"),"No")</f>
        <v>No</v>
      </c>
      <c r="E194" s="63" t="s">
        <v>696</v>
      </c>
      <c r="F194" s="63" t="s">
        <v>660</v>
      </c>
      <c r="G194" s="1" t="s">
        <v>655</v>
      </c>
      <c r="H194" s="1"/>
      <c r="I194" s="63"/>
      <c r="J194" s="18"/>
      <c r="K194" s="17" t="s">
        <v>980</v>
      </c>
      <c r="L194" s="64">
        <f t="shared" si="32"/>
        <v>2</v>
      </c>
      <c r="AC194" s="17"/>
      <c r="AF194" s="17"/>
      <c r="AG194" s="17"/>
      <c r="AN194" s="17"/>
      <c r="AP194" s="17">
        <v>1.0</v>
      </c>
      <c r="AW194" s="17">
        <v>1.0</v>
      </c>
    </row>
    <row r="195" hidden="1">
      <c r="A195" s="1" t="s">
        <v>979</v>
      </c>
      <c r="B195" s="63">
        <v>2022.0</v>
      </c>
      <c r="C195" s="63">
        <v>2.0</v>
      </c>
      <c r="D195" s="63" t="str">
        <f>IFERROR(__xludf.DUMMYFUNCTION("if(regexmatch(E195,""Recycled""),""No"",""Yes"")"),"No")</f>
        <v>No</v>
      </c>
      <c r="E195" s="63" t="s">
        <v>876</v>
      </c>
      <c r="F195" s="63" t="s">
        <v>660</v>
      </c>
      <c r="G195" s="1" t="s">
        <v>655</v>
      </c>
      <c r="H195" s="2"/>
      <c r="I195" s="69"/>
      <c r="J195" s="17" t="s">
        <v>981</v>
      </c>
      <c r="L195" s="64">
        <f t="shared" si="32"/>
        <v>1</v>
      </c>
      <c r="N195" s="17">
        <v>1.0</v>
      </c>
      <c r="ED195" s="66" t="s">
        <v>664</v>
      </c>
      <c r="EP195" s="66" t="s">
        <v>664</v>
      </c>
    </row>
    <row r="196">
      <c r="A196" s="1" t="s">
        <v>979</v>
      </c>
      <c r="B196" s="63">
        <v>2024.0</v>
      </c>
      <c r="C196" s="63">
        <v>3.0</v>
      </c>
      <c r="D196" s="63" t="str">
        <f>IFERROR(__xludf.DUMMYFUNCTION("if(regexmatch(E196,""Recycled""),""No"",""Yes"")"),"Yes")</f>
        <v>Yes</v>
      </c>
      <c r="E196" s="63"/>
      <c r="F196" s="63" t="s">
        <v>654</v>
      </c>
      <c r="G196" s="1"/>
      <c r="H196" s="1">
        <v>2.0</v>
      </c>
      <c r="I196" s="63"/>
      <c r="J196" s="17" t="s">
        <v>877</v>
      </c>
      <c r="L196" s="64"/>
      <c r="O196" s="17"/>
      <c r="P196" s="17"/>
      <c r="Q196" s="17"/>
      <c r="R196" s="17"/>
      <c r="S196" s="17"/>
      <c r="T196" s="17"/>
      <c r="U196" s="17"/>
      <c r="V196" s="17"/>
      <c r="CB196" s="65"/>
      <c r="CO196" s="65"/>
    </row>
    <row r="197" hidden="1">
      <c r="A197" s="1" t="s">
        <v>982</v>
      </c>
      <c r="B197" s="63">
        <v>2018.0</v>
      </c>
      <c r="C197" s="63">
        <v>1.0</v>
      </c>
      <c r="D197" s="63" t="str">
        <f>IFERROR(__xludf.DUMMYFUNCTION("if(regexmatch(E197,""Recycled""),""No"",""Yes"")"),"No")</f>
        <v>No</v>
      </c>
      <c r="E197" s="63" t="s">
        <v>983</v>
      </c>
      <c r="F197" s="63" t="s">
        <v>660</v>
      </c>
      <c r="G197" s="1" t="s">
        <v>655</v>
      </c>
      <c r="H197" s="1"/>
      <c r="I197" s="63"/>
      <c r="L197" s="64">
        <f t="shared" ref="L197:L199" si="33">SUM(M197:AW197)</f>
        <v>4</v>
      </c>
      <c r="O197" s="17">
        <v>1.0</v>
      </c>
      <c r="P197" s="17"/>
      <c r="Q197" s="17">
        <v>1.0</v>
      </c>
      <c r="R197" s="17">
        <v>1.0</v>
      </c>
      <c r="S197" s="17"/>
      <c r="T197" s="17"/>
      <c r="U197" s="17"/>
      <c r="V197" s="17">
        <v>1.0</v>
      </c>
      <c r="CB197" s="65" t="s">
        <v>680</v>
      </c>
      <c r="CO197" s="65" t="s">
        <v>984</v>
      </c>
    </row>
    <row r="198">
      <c r="A198" s="18" t="s">
        <v>982</v>
      </c>
      <c r="B198" s="63">
        <v>2023.0</v>
      </c>
      <c r="C198" s="63">
        <v>1.0</v>
      </c>
      <c r="D198" s="63" t="str">
        <f>IFERROR(__xludf.DUMMYFUNCTION("if(regexmatch(E198,""Recycled""),""No"",""Yes"")"),"Yes")</f>
        <v>Yes</v>
      </c>
      <c r="E198" s="63" t="s">
        <v>22</v>
      </c>
      <c r="F198" s="63" t="s">
        <v>654</v>
      </c>
      <c r="G198" s="2"/>
      <c r="H198" s="1">
        <v>2.0</v>
      </c>
      <c r="I198" s="69"/>
      <c r="K198" s="74" t="s">
        <v>985</v>
      </c>
      <c r="L198" s="64">
        <f t="shared" si="33"/>
        <v>0</v>
      </c>
    </row>
    <row r="199" hidden="1">
      <c r="A199" s="1" t="s">
        <v>986</v>
      </c>
      <c r="B199" s="63">
        <v>2018.0</v>
      </c>
      <c r="C199" s="63">
        <v>1.0</v>
      </c>
      <c r="D199" s="63" t="str">
        <f>IFERROR(__xludf.DUMMYFUNCTION("if(regexmatch(E199,""Recycled""),""No"",""Yes"")"),"No")</f>
        <v>No</v>
      </c>
      <c r="E199" s="63" t="s">
        <v>876</v>
      </c>
      <c r="F199" s="63" t="s">
        <v>660</v>
      </c>
      <c r="G199" s="1" t="s">
        <v>655</v>
      </c>
      <c r="H199" s="1"/>
      <c r="I199" s="63"/>
      <c r="K199" s="73" t="s">
        <v>842</v>
      </c>
      <c r="L199" s="64">
        <f t="shared" si="33"/>
        <v>4</v>
      </c>
      <c r="M199" s="17">
        <v>1.0</v>
      </c>
      <c r="O199" s="17">
        <v>1.0</v>
      </c>
      <c r="P199" s="17"/>
      <c r="R199" s="17">
        <v>1.0</v>
      </c>
      <c r="S199" s="17"/>
      <c r="T199" s="17"/>
      <c r="U199" s="17"/>
      <c r="V199" s="17">
        <v>1.0</v>
      </c>
      <c r="CB199" s="65" t="s">
        <v>680</v>
      </c>
      <c r="CO199" s="65" t="s">
        <v>676</v>
      </c>
    </row>
    <row r="200">
      <c r="A200" s="1" t="s">
        <v>986</v>
      </c>
      <c r="B200" s="63">
        <v>2024.0</v>
      </c>
      <c r="C200" s="63">
        <v>2.0</v>
      </c>
      <c r="D200" s="63" t="str">
        <f>IFERROR(__xludf.DUMMYFUNCTION("if(regexmatch(E200,""Recycled""),""No"",""Yes"")"),"Yes")</f>
        <v>Yes</v>
      </c>
      <c r="E200" s="63"/>
      <c r="F200" s="63" t="s">
        <v>787</v>
      </c>
      <c r="G200" s="1"/>
      <c r="H200" s="1"/>
      <c r="I200" s="63"/>
      <c r="J200" s="17" t="s">
        <v>987</v>
      </c>
      <c r="L200" s="64"/>
      <c r="M200" s="17"/>
      <c r="P200" s="17"/>
      <c r="R200" s="17"/>
      <c r="S200" s="17"/>
      <c r="T200" s="17"/>
      <c r="U200" s="17"/>
      <c r="V200" s="17"/>
      <c r="AC200" s="17"/>
      <c r="AD200" s="17"/>
      <c r="AE200" s="17"/>
      <c r="CB200" s="65"/>
      <c r="CO200" s="65"/>
    </row>
    <row r="201" hidden="1">
      <c r="A201" s="1" t="s">
        <v>988</v>
      </c>
      <c r="B201" s="63">
        <v>2018.0</v>
      </c>
      <c r="C201" s="63">
        <v>1.0</v>
      </c>
      <c r="D201" s="63" t="str">
        <f>IFERROR(__xludf.DUMMYFUNCTION("if(regexmatch(E201,""Recycled""),""No"",""Yes"")"),"No")</f>
        <v>No</v>
      </c>
      <c r="E201" s="63" t="s">
        <v>659</v>
      </c>
      <c r="F201" s="63" t="s">
        <v>660</v>
      </c>
      <c r="G201" s="1" t="s">
        <v>655</v>
      </c>
      <c r="H201" s="1"/>
      <c r="I201" s="63"/>
      <c r="L201" s="64">
        <f t="shared" ref="L201:L205" si="34">SUM(M201:AW201)</f>
        <v>4</v>
      </c>
      <c r="M201" s="17">
        <v>1.0</v>
      </c>
      <c r="P201" s="17"/>
      <c r="R201" s="17">
        <v>1.0</v>
      </c>
      <c r="S201" s="17"/>
      <c r="T201" s="17"/>
      <c r="U201" s="17"/>
      <c r="V201" s="17">
        <v>1.0</v>
      </c>
      <c r="AC201" s="17"/>
      <c r="AD201" s="17"/>
      <c r="AE201" s="17">
        <v>1.0</v>
      </c>
      <c r="CB201" s="65" t="s">
        <v>680</v>
      </c>
      <c r="CO201" s="65" t="s">
        <v>676</v>
      </c>
    </row>
    <row r="202" hidden="1">
      <c r="A202" s="1" t="s">
        <v>988</v>
      </c>
      <c r="B202" s="63">
        <v>2021.0</v>
      </c>
      <c r="C202" s="63">
        <v>2.0</v>
      </c>
      <c r="D202" s="63" t="str">
        <f>IFERROR(__xludf.DUMMYFUNCTION("if(regexmatch(E202,""Recycled""),""No"",""Yes"")"),"No")</f>
        <v>No</v>
      </c>
      <c r="E202" s="63" t="s">
        <v>786</v>
      </c>
      <c r="F202" s="63" t="s">
        <v>654</v>
      </c>
      <c r="G202" s="1" t="s">
        <v>655</v>
      </c>
      <c r="H202" s="1"/>
      <c r="I202" s="63"/>
      <c r="J202" s="18"/>
      <c r="K202" s="75" t="s">
        <v>989</v>
      </c>
      <c r="L202" s="64">
        <f t="shared" si="34"/>
        <v>1</v>
      </c>
      <c r="AI202" s="17">
        <v>1.0</v>
      </c>
    </row>
    <row r="203" hidden="1">
      <c r="A203" s="1" t="s">
        <v>990</v>
      </c>
      <c r="B203" s="63">
        <v>2018.0</v>
      </c>
      <c r="C203" s="63">
        <v>1.0</v>
      </c>
      <c r="D203" s="63" t="str">
        <f>IFERROR(__xludf.DUMMYFUNCTION("if(regexmatch(E203,""Recycled""),""No"",""Yes"")"),"No")</f>
        <v>No</v>
      </c>
      <c r="E203" s="63" t="s">
        <v>696</v>
      </c>
      <c r="F203" s="63" t="s">
        <v>654</v>
      </c>
      <c r="G203" s="1"/>
      <c r="H203" s="1"/>
      <c r="I203" s="63"/>
      <c r="J203" s="18" t="s">
        <v>919</v>
      </c>
      <c r="L203" s="64">
        <f t="shared" si="34"/>
        <v>0</v>
      </c>
    </row>
    <row r="204" hidden="1">
      <c r="A204" s="1" t="s">
        <v>990</v>
      </c>
      <c r="B204" s="63">
        <v>2019.0</v>
      </c>
      <c r="C204" s="63">
        <v>2.0</v>
      </c>
      <c r="D204" s="63" t="str">
        <f>IFERROR(__xludf.DUMMYFUNCTION("if(regexmatch(E204,""Recycled""),""No"",""Yes"")"),"No")</f>
        <v>No</v>
      </c>
      <c r="E204" s="63" t="s">
        <v>696</v>
      </c>
      <c r="F204" s="63" t="s">
        <v>654</v>
      </c>
      <c r="G204" s="1"/>
      <c r="H204" s="1"/>
      <c r="I204" s="63"/>
      <c r="J204" s="18"/>
      <c r="K204" s="17" t="s">
        <v>853</v>
      </c>
      <c r="L204" s="64">
        <f t="shared" si="34"/>
        <v>0</v>
      </c>
    </row>
    <row r="205" hidden="1">
      <c r="A205" s="1" t="s">
        <v>990</v>
      </c>
      <c r="B205" s="63">
        <v>2020.0</v>
      </c>
      <c r="C205" s="63">
        <v>3.0</v>
      </c>
      <c r="D205" s="63" t="str">
        <f>IFERROR(__xludf.DUMMYFUNCTION("if(regexmatch(E205,""Recycled""),""No"",""Yes"")"),"No")</f>
        <v>No</v>
      </c>
      <c r="E205" s="63" t="s">
        <v>876</v>
      </c>
      <c r="F205" s="63" t="s">
        <v>660</v>
      </c>
      <c r="G205" s="1" t="s">
        <v>655</v>
      </c>
      <c r="H205" s="1"/>
      <c r="I205" s="63"/>
      <c r="J205" s="18"/>
      <c r="K205" s="82" t="s">
        <v>963</v>
      </c>
      <c r="L205" s="64">
        <f t="shared" si="34"/>
        <v>1</v>
      </c>
      <c r="AP205" s="17">
        <v>1.0</v>
      </c>
    </row>
    <row r="206">
      <c r="A206" s="1" t="s">
        <v>990</v>
      </c>
      <c r="B206" s="63">
        <v>2024.0</v>
      </c>
      <c r="C206" s="63">
        <v>4.0</v>
      </c>
      <c r="D206" s="63" t="str">
        <f>IFERROR(__xludf.DUMMYFUNCTION("if(regexmatch(E206,""Recycled""),""No"",""Yes"")"),"Yes")</f>
        <v>Yes</v>
      </c>
      <c r="E206" s="63"/>
      <c r="F206" s="63" t="s">
        <v>654</v>
      </c>
      <c r="G206" s="1"/>
      <c r="H206" s="1">
        <v>3.0</v>
      </c>
      <c r="I206" s="63"/>
      <c r="J206" s="18" t="s">
        <v>877</v>
      </c>
      <c r="L206" s="64"/>
    </row>
    <row r="207" hidden="1">
      <c r="A207" s="1" t="s">
        <v>991</v>
      </c>
      <c r="B207" s="63">
        <v>2018.0</v>
      </c>
      <c r="C207" s="63">
        <v>1.0</v>
      </c>
      <c r="D207" s="63" t="str">
        <f>IFERROR(__xludf.DUMMYFUNCTION("if(regexmatch(E207,""Recycled""),""No"",""Yes"")"),"No")</f>
        <v>No</v>
      </c>
      <c r="E207" s="63" t="s">
        <v>696</v>
      </c>
      <c r="F207" s="63" t="s">
        <v>654</v>
      </c>
      <c r="G207" s="1"/>
      <c r="H207" s="1"/>
      <c r="I207" s="63"/>
      <c r="J207" s="18" t="s">
        <v>919</v>
      </c>
      <c r="L207" s="64">
        <f t="shared" ref="L207:L211" si="35">SUM(M207:AW207)</f>
        <v>0</v>
      </c>
    </row>
    <row r="208" hidden="1">
      <c r="A208" s="1" t="s">
        <v>991</v>
      </c>
      <c r="B208" s="63">
        <v>2019.0</v>
      </c>
      <c r="C208" s="63">
        <v>2.0</v>
      </c>
      <c r="D208" s="63" t="str">
        <f>IFERROR(__xludf.DUMMYFUNCTION("if(regexmatch(E208,""Recycled""),""No"",""Yes"")"),"No")</f>
        <v>No</v>
      </c>
      <c r="E208" s="63" t="s">
        <v>696</v>
      </c>
      <c r="F208" s="63" t="s">
        <v>654</v>
      </c>
      <c r="G208" s="1" t="s">
        <v>655</v>
      </c>
      <c r="H208" s="1"/>
      <c r="I208" s="63"/>
      <c r="L208" s="64">
        <f t="shared" si="35"/>
        <v>1</v>
      </c>
      <c r="M208" s="17"/>
      <c r="S208" s="17"/>
      <c r="T208" s="17"/>
      <c r="U208" s="17"/>
      <c r="AC208" s="17"/>
      <c r="AD208" s="17"/>
      <c r="AE208" s="17">
        <v>1.0</v>
      </c>
    </row>
    <row r="209">
      <c r="A209" s="18" t="s">
        <v>991</v>
      </c>
      <c r="B209" s="63">
        <v>2023.0</v>
      </c>
      <c r="C209" s="63">
        <v>3.0</v>
      </c>
      <c r="D209" s="63" t="str">
        <f>IFERROR(__xludf.DUMMYFUNCTION("if(regexmatch(E209,""Recycled""),""No"",""Yes"")"),"Yes")</f>
        <v>Yes</v>
      </c>
      <c r="E209" s="63" t="s">
        <v>22</v>
      </c>
      <c r="F209" s="63" t="s">
        <v>654</v>
      </c>
      <c r="G209" s="2"/>
      <c r="H209" s="2"/>
      <c r="I209" s="69"/>
      <c r="K209" s="73" t="s">
        <v>992</v>
      </c>
      <c r="L209" s="64">
        <f t="shared" si="35"/>
        <v>0</v>
      </c>
    </row>
    <row r="210" hidden="1">
      <c r="A210" s="1" t="s">
        <v>993</v>
      </c>
      <c r="B210" s="63">
        <v>2018.0</v>
      </c>
      <c r="C210" s="63">
        <v>1.0</v>
      </c>
      <c r="D210" s="63" t="str">
        <f>IFERROR(__xludf.DUMMYFUNCTION("if(regexmatch(E210,""Recycled""),""No"",""Yes"")"),"No")</f>
        <v>No</v>
      </c>
      <c r="E210" s="63" t="s">
        <v>659</v>
      </c>
      <c r="F210" s="63" t="s">
        <v>660</v>
      </c>
      <c r="G210" s="1" t="s">
        <v>655</v>
      </c>
      <c r="H210" s="1"/>
      <c r="I210" s="63"/>
      <c r="K210" s="17"/>
      <c r="L210" s="64">
        <f t="shared" si="35"/>
        <v>3</v>
      </c>
      <c r="M210" s="17">
        <v>1.0</v>
      </c>
      <c r="Q210" s="17">
        <v>1.0</v>
      </c>
      <c r="S210" s="17"/>
      <c r="T210" s="17"/>
      <c r="U210" s="17"/>
      <c r="AC210" s="17"/>
      <c r="AD210" s="17"/>
      <c r="AE210" s="17">
        <v>1.0</v>
      </c>
      <c r="CB210" s="65" t="s">
        <v>994</v>
      </c>
      <c r="CO210" s="65" t="s">
        <v>676</v>
      </c>
    </row>
    <row r="211" hidden="1">
      <c r="A211" s="1" t="s">
        <v>993</v>
      </c>
      <c r="B211" s="63">
        <v>2020.0</v>
      </c>
      <c r="C211" s="63">
        <v>2.0</v>
      </c>
      <c r="D211" s="63" t="str">
        <f>IFERROR(__xludf.DUMMYFUNCTION("if(regexmatch(E211,""Recycled""),""No"",""Yes"")"),"No")</f>
        <v>No</v>
      </c>
      <c r="E211" s="63" t="s">
        <v>786</v>
      </c>
      <c r="F211" s="63" t="s">
        <v>660</v>
      </c>
      <c r="G211" s="1" t="s">
        <v>655</v>
      </c>
      <c r="H211" s="1"/>
      <c r="I211" s="63"/>
      <c r="K211" s="41" t="s">
        <v>817</v>
      </c>
      <c r="L211" s="64">
        <f t="shared" si="35"/>
        <v>3</v>
      </c>
      <c r="N211" s="17"/>
      <c r="O211" s="17"/>
      <c r="P211" s="17"/>
      <c r="Q211" s="17">
        <v>1.0</v>
      </c>
      <c r="W211" s="17"/>
      <c r="X211" s="17"/>
      <c r="Z211" s="17"/>
      <c r="AA211" s="17"/>
      <c r="AB211" s="17">
        <v>1.0</v>
      </c>
      <c r="AC211" s="17"/>
      <c r="AD211" s="17"/>
      <c r="AE211" s="17">
        <v>1.0</v>
      </c>
      <c r="AJ211" s="17"/>
      <c r="AK211" s="17"/>
      <c r="AL211" s="17"/>
      <c r="AM211" s="17"/>
      <c r="AN211" s="17"/>
      <c r="AO211" s="17"/>
      <c r="AR211" s="17"/>
      <c r="AS211" s="17"/>
      <c r="AT211" s="17"/>
      <c r="AU211" s="17"/>
      <c r="AV211" s="17"/>
      <c r="AW211" s="17"/>
    </row>
    <row r="212">
      <c r="A212" s="1" t="s">
        <v>993</v>
      </c>
      <c r="B212" s="63">
        <v>2024.0</v>
      </c>
      <c r="C212" s="63">
        <v>3.0</v>
      </c>
      <c r="D212" s="84" t="str">
        <f>IFERROR(__xludf.DUMMYFUNCTION("if(regexmatch(E212,""Recycled""),""No"",""Yes"")"),"Yes")</f>
        <v>Yes</v>
      </c>
      <c r="E212" s="85"/>
      <c r="F212" s="86" t="s">
        <v>654</v>
      </c>
      <c r="G212" s="85"/>
      <c r="H212" s="87">
        <v>2.0</v>
      </c>
      <c r="I212" s="84" t="s">
        <v>995</v>
      </c>
      <c r="J212" s="88" t="s">
        <v>996</v>
      </c>
      <c r="K212" s="89" t="s">
        <v>997</v>
      </c>
      <c r="L212" s="64"/>
      <c r="N212" s="17"/>
      <c r="O212" s="17"/>
      <c r="P212" s="17"/>
      <c r="Q212" s="17"/>
      <c r="W212" s="17"/>
      <c r="X212" s="17"/>
      <c r="AC212" s="17"/>
      <c r="AD212" s="17"/>
      <c r="AE212" s="17"/>
      <c r="AJ212" s="17"/>
      <c r="AK212" s="17"/>
      <c r="AL212" s="17"/>
      <c r="AM212" s="17"/>
      <c r="AN212" s="17"/>
      <c r="AO212" s="17"/>
      <c r="AR212" s="17"/>
      <c r="AS212" s="17"/>
      <c r="AT212" s="17"/>
      <c r="AU212" s="17"/>
      <c r="AV212" s="17"/>
      <c r="AW212" s="17"/>
      <c r="CB212" s="65"/>
      <c r="CO212" s="65"/>
    </row>
    <row r="213" hidden="1">
      <c r="A213" s="1" t="s">
        <v>998</v>
      </c>
      <c r="B213" s="63">
        <v>2018.0</v>
      </c>
      <c r="C213" s="63">
        <v>1.0</v>
      </c>
      <c r="D213" s="63" t="str">
        <f>IFERROR(__xludf.DUMMYFUNCTION("if(regexmatch(E213,""Recycled""),""No"",""Yes"")"),"No")</f>
        <v>No</v>
      </c>
      <c r="E213" s="63" t="s">
        <v>659</v>
      </c>
      <c r="F213" s="63" t="s">
        <v>660</v>
      </c>
      <c r="G213" s="1" t="s">
        <v>655</v>
      </c>
      <c r="H213" s="1"/>
      <c r="I213" s="63"/>
      <c r="L213" s="64">
        <f t="shared" ref="L213:L216" si="36">SUM(M213:AW213)</f>
        <v>6</v>
      </c>
      <c r="N213" s="17">
        <v>1.0</v>
      </c>
      <c r="O213" s="17">
        <v>1.0</v>
      </c>
      <c r="P213" s="17"/>
      <c r="Q213" s="17"/>
      <c r="W213" s="17"/>
      <c r="X213" s="17">
        <v>1.0</v>
      </c>
      <c r="AC213" s="17"/>
      <c r="AD213" s="17"/>
      <c r="AE213" s="17">
        <v>1.0</v>
      </c>
      <c r="AJ213" s="17"/>
      <c r="AK213" s="17"/>
      <c r="AL213" s="17"/>
      <c r="AM213" s="17"/>
      <c r="AN213" s="17"/>
      <c r="AO213" s="17">
        <v>1.0</v>
      </c>
      <c r="AR213" s="17"/>
      <c r="AS213" s="17"/>
      <c r="AT213" s="17"/>
      <c r="AU213" s="17"/>
      <c r="AV213" s="17"/>
      <c r="AW213" s="17">
        <v>1.0</v>
      </c>
      <c r="CB213" s="65" t="s">
        <v>680</v>
      </c>
      <c r="CO213" s="65" t="s">
        <v>676</v>
      </c>
    </row>
    <row r="214">
      <c r="A214" s="1" t="s">
        <v>998</v>
      </c>
      <c r="B214" s="63">
        <v>2020.0</v>
      </c>
      <c r="C214" s="63">
        <v>2.0</v>
      </c>
      <c r="D214" s="63" t="str">
        <f>IFERROR(__xludf.DUMMYFUNCTION("if(regexmatch(E214,""Recycled""),""No"",""Yes"")"),"Yes")</f>
        <v>Yes</v>
      </c>
      <c r="E214" s="63" t="s">
        <v>22</v>
      </c>
      <c r="F214" s="63" t="s">
        <v>660</v>
      </c>
      <c r="G214" s="1" t="s">
        <v>655</v>
      </c>
      <c r="H214" s="1"/>
      <c r="I214" s="63"/>
      <c r="K214" s="73" t="s">
        <v>999</v>
      </c>
      <c r="L214" s="64">
        <f t="shared" si="36"/>
        <v>2</v>
      </c>
      <c r="N214" s="17">
        <v>1.0</v>
      </c>
      <c r="R214" s="17"/>
      <c r="X214" s="17">
        <v>1.0</v>
      </c>
      <c r="Z214" s="17"/>
      <c r="AA214" s="17"/>
      <c r="AB214" s="17"/>
      <c r="AJ214" s="17"/>
      <c r="AK214" s="17"/>
      <c r="AL214" s="17"/>
      <c r="AM214" s="17"/>
      <c r="AN214" s="17"/>
      <c r="AO214" s="17"/>
      <c r="AP214" s="17"/>
      <c r="AR214" s="17"/>
      <c r="AS214" s="17"/>
      <c r="AT214" s="17"/>
      <c r="AU214" s="17"/>
      <c r="AV214" s="17"/>
    </row>
    <row r="215" hidden="1">
      <c r="A215" s="1" t="s">
        <v>998</v>
      </c>
      <c r="B215" s="63">
        <v>2022.0</v>
      </c>
      <c r="C215" s="63">
        <v>3.0</v>
      </c>
      <c r="D215" s="63" t="str">
        <f>IFERROR(__xludf.DUMMYFUNCTION("if(regexmatch(E215,""Recycled""),""No"",""Yes"")"),"No")</f>
        <v>No</v>
      </c>
      <c r="E215" s="63" t="s">
        <v>696</v>
      </c>
      <c r="F215" s="63" t="s">
        <v>660</v>
      </c>
      <c r="G215" s="1" t="s">
        <v>655</v>
      </c>
      <c r="H215" s="1"/>
      <c r="I215" s="63"/>
      <c r="K215" s="17" t="s">
        <v>1000</v>
      </c>
      <c r="L215" s="64">
        <f t="shared" si="36"/>
        <v>1</v>
      </c>
      <c r="R215" s="17"/>
      <c r="S215" s="17"/>
      <c r="T215" s="17"/>
      <c r="U215" s="17"/>
      <c r="AE215" s="17">
        <v>1.0</v>
      </c>
      <c r="AN215" s="17"/>
      <c r="AO215" s="17"/>
      <c r="AP215" s="17"/>
      <c r="AW215" s="17"/>
    </row>
    <row r="216" hidden="1">
      <c r="A216" s="18" t="s">
        <v>998</v>
      </c>
      <c r="B216" s="63">
        <v>2023.0</v>
      </c>
      <c r="C216" s="63">
        <v>4.0</v>
      </c>
      <c r="D216" s="63" t="str">
        <f>IFERROR(__xludf.DUMMYFUNCTION("if(regexmatch(E216,""Recycled""),""No"",""Yes"")"),"No")</f>
        <v>No</v>
      </c>
      <c r="E216" s="63" t="s">
        <v>899</v>
      </c>
      <c r="F216" s="63" t="s">
        <v>787</v>
      </c>
      <c r="G216" s="1" t="s">
        <v>655</v>
      </c>
      <c r="H216" s="2"/>
      <c r="I216" s="69"/>
      <c r="K216" s="41" t="s">
        <v>1001</v>
      </c>
      <c r="L216" s="64">
        <f t="shared" si="36"/>
        <v>1</v>
      </c>
      <c r="AP216" s="17">
        <v>1.0</v>
      </c>
    </row>
    <row r="217">
      <c r="A217" s="18" t="s">
        <v>998</v>
      </c>
      <c r="B217" s="63">
        <v>2025.0</v>
      </c>
      <c r="C217" s="63">
        <v>5.0</v>
      </c>
      <c r="D217" s="63" t="str">
        <f>IFERROR(__xludf.DUMMYFUNCTION("if(regexmatch(E217,""Recycled""),""No"",""Yes"")"),"Yes")</f>
        <v>Yes</v>
      </c>
      <c r="E217" s="63"/>
      <c r="F217" s="63" t="s">
        <v>660</v>
      </c>
      <c r="G217" s="1"/>
      <c r="H217" s="1"/>
      <c r="I217" s="1"/>
      <c r="J217" s="17" t="s">
        <v>1002</v>
      </c>
      <c r="K217" s="17" t="s">
        <v>1003</v>
      </c>
      <c r="L217" s="64"/>
      <c r="R217" s="17"/>
      <c r="Z217" s="17"/>
      <c r="AA217" s="17"/>
      <c r="AB217" s="17"/>
      <c r="AJ217" s="17"/>
      <c r="AK217" s="17"/>
      <c r="AL217" s="17"/>
      <c r="AM217" s="17"/>
      <c r="AN217" s="17"/>
      <c r="AO217" s="17"/>
      <c r="AP217" s="17"/>
      <c r="AR217" s="17"/>
      <c r="AS217" s="17"/>
      <c r="AT217" s="17"/>
      <c r="AU217" s="17"/>
      <c r="AV217" s="17"/>
      <c r="CC217" s="65"/>
      <c r="CF217" s="65"/>
      <c r="CI217" s="65"/>
      <c r="CN217" s="65"/>
      <c r="CP217" s="66"/>
      <c r="CR217" s="65"/>
    </row>
    <row r="218" hidden="1">
      <c r="A218" s="1" t="s">
        <v>1004</v>
      </c>
      <c r="B218" s="63">
        <v>2018.0</v>
      </c>
      <c r="C218" s="63">
        <v>1.0</v>
      </c>
      <c r="D218" s="63" t="str">
        <f>IFERROR(__xludf.DUMMYFUNCTION("if(regexmatch(E218,""Recycled""),""No"",""Yes"")"),"No")</f>
        <v>No</v>
      </c>
      <c r="E218" s="63" t="s">
        <v>653</v>
      </c>
      <c r="F218" s="63" t="s">
        <v>654</v>
      </c>
      <c r="G218" s="1"/>
      <c r="H218" s="1"/>
      <c r="I218" s="68" t="s">
        <v>1005</v>
      </c>
      <c r="K218" s="17" t="s">
        <v>853</v>
      </c>
      <c r="L218" s="64">
        <f t="shared" ref="L218:L221" si="37">SUM(M218:AW218)</f>
        <v>7</v>
      </c>
      <c r="R218" s="17">
        <v>1.0</v>
      </c>
      <c r="Z218" s="17"/>
      <c r="AA218" s="17"/>
      <c r="AB218" s="17">
        <v>1.0</v>
      </c>
      <c r="AJ218" s="17"/>
      <c r="AK218" s="17"/>
      <c r="AL218" s="17"/>
      <c r="AM218" s="17">
        <v>1.0</v>
      </c>
      <c r="AN218" s="17"/>
      <c r="AO218" s="17">
        <v>1.0</v>
      </c>
      <c r="AP218" s="17">
        <v>1.0</v>
      </c>
      <c r="AR218" s="17"/>
      <c r="AS218" s="17">
        <v>1.0</v>
      </c>
      <c r="AT218" s="17"/>
      <c r="AU218" s="17"/>
      <c r="AV218" s="17">
        <v>1.0</v>
      </c>
      <c r="CC218" s="65" t="s">
        <v>994</v>
      </c>
      <c r="CF218" s="65" t="s">
        <v>994</v>
      </c>
      <c r="CI218" s="65" t="s">
        <v>1006</v>
      </c>
      <c r="CN218" s="65" t="s">
        <v>888</v>
      </c>
      <c r="CP218" s="66" t="s">
        <v>888</v>
      </c>
      <c r="CR218" s="65" t="s">
        <v>888</v>
      </c>
    </row>
    <row r="219" hidden="1">
      <c r="A219" s="1" t="s">
        <v>1004</v>
      </c>
      <c r="B219" s="63">
        <v>2021.0</v>
      </c>
      <c r="C219" s="63">
        <v>2.0</v>
      </c>
      <c r="D219" s="63" t="str">
        <f>IFERROR(__xludf.DUMMYFUNCTION("if(regexmatch(E219,""Recycled""),""No"",""Yes"")"),"No")</f>
        <v>No</v>
      </c>
      <c r="E219" s="63" t="s">
        <v>786</v>
      </c>
      <c r="F219" s="63" t="s">
        <v>654</v>
      </c>
      <c r="G219" s="1" t="s">
        <v>655</v>
      </c>
      <c r="H219" s="1"/>
      <c r="I219" s="63"/>
      <c r="K219" s="75" t="s">
        <v>825</v>
      </c>
      <c r="L219" s="64">
        <f t="shared" si="37"/>
        <v>1</v>
      </c>
      <c r="R219" s="17"/>
      <c r="AF219" s="17"/>
      <c r="AG219" s="17"/>
      <c r="AH219" s="17"/>
      <c r="AI219" s="17"/>
      <c r="AJ219" s="17"/>
      <c r="AK219" s="17"/>
      <c r="AL219" s="17"/>
      <c r="AM219" s="17"/>
      <c r="AN219" s="17">
        <v>1.0</v>
      </c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hidden="1">
      <c r="A220" s="1" t="s">
        <v>1007</v>
      </c>
      <c r="B220" s="63">
        <v>2018.0</v>
      </c>
      <c r="C220" s="63">
        <v>1.0</v>
      </c>
      <c r="D220" s="63" t="str">
        <f>IFERROR(__xludf.DUMMYFUNCTION("if(regexmatch(E220,""Recycled""),""No"",""Yes"")"),"No")</f>
        <v>No</v>
      </c>
      <c r="E220" s="63" t="s">
        <v>653</v>
      </c>
      <c r="F220" s="63" t="s">
        <v>654</v>
      </c>
      <c r="G220" s="1"/>
      <c r="H220" s="1"/>
      <c r="I220" s="68" t="s">
        <v>1005</v>
      </c>
      <c r="K220" s="17" t="s">
        <v>853</v>
      </c>
      <c r="L220" s="64">
        <f t="shared" si="37"/>
        <v>9</v>
      </c>
      <c r="R220" s="17">
        <v>1.0</v>
      </c>
      <c r="AF220" s="17"/>
      <c r="AG220" s="17"/>
      <c r="AH220" s="17"/>
      <c r="AI220" s="17">
        <v>1.0</v>
      </c>
      <c r="AJ220" s="17"/>
      <c r="AK220" s="17"/>
      <c r="AL220" s="17"/>
      <c r="AM220" s="17">
        <v>1.0</v>
      </c>
      <c r="AN220" s="17"/>
      <c r="AO220" s="17">
        <v>1.0</v>
      </c>
      <c r="AP220" s="17">
        <v>1.0</v>
      </c>
      <c r="AQ220" s="17">
        <v>1.0</v>
      </c>
      <c r="AR220" s="17"/>
      <c r="AS220" s="17">
        <v>1.0</v>
      </c>
      <c r="AT220" s="17"/>
      <c r="AU220" s="17"/>
      <c r="AV220" s="17">
        <v>1.0</v>
      </c>
      <c r="AW220" s="17">
        <v>1.0</v>
      </c>
      <c r="CC220" s="65" t="s">
        <v>865</v>
      </c>
      <c r="CF220" s="65" t="s">
        <v>994</v>
      </c>
      <c r="CI220" s="65" t="s">
        <v>1006</v>
      </c>
      <c r="CN220" s="65" t="s">
        <v>888</v>
      </c>
      <c r="CP220" s="65" t="s">
        <v>888</v>
      </c>
      <c r="CR220" s="65" t="s">
        <v>888</v>
      </c>
    </row>
    <row r="221" hidden="1">
      <c r="A221" s="1" t="s">
        <v>1007</v>
      </c>
      <c r="B221" s="63">
        <v>2022.0</v>
      </c>
      <c r="C221" s="63">
        <v>2.0</v>
      </c>
      <c r="D221" s="63" t="str">
        <f>IFERROR(__xludf.DUMMYFUNCTION("if(regexmatch(E221,""Recycled""),""No"",""Yes"")"),"No")</f>
        <v>No</v>
      </c>
      <c r="E221" s="63" t="s">
        <v>876</v>
      </c>
      <c r="F221" s="63" t="s">
        <v>787</v>
      </c>
      <c r="G221" s="1" t="s">
        <v>655</v>
      </c>
      <c r="H221" s="2"/>
      <c r="I221" s="69"/>
      <c r="J221" s="17" t="s">
        <v>911</v>
      </c>
      <c r="K221" s="73" t="s">
        <v>1008</v>
      </c>
      <c r="L221" s="64">
        <f t="shared" si="37"/>
        <v>1</v>
      </c>
      <c r="U221" s="17">
        <v>1.0</v>
      </c>
      <c r="AA221" s="17"/>
      <c r="ED221" s="66" t="s">
        <v>664</v>
      </c>
      <c r="EQ221" s="66" t="s">
        <v>664</v>
      </c>
    </row>
    <row r="222">
      <c r="A222" s="1" t="s">
        <v>1007</v>
      </c>
      <c r="B222" s="63">
        <v>2025.0</v>
      </c>
      <c r="C222" s="63">
        <v>3.0</v>
      </c>
      <c r="D222" s="63" t="str">
        <f>IFERROR(__xludf.DUMMYFUNCTION("if(regexmatch(E222,""Recycled""),""No"",""Yes"")"),"Yes")</f>
        <v>Yes</v>
      </c>
      <c r="E222" s="63"/>
      <c r="F222" s="63" t="s">
        <v>787</v>
      </c>
      <c r="G222" s="1"/>
      <c r="H222" s="1"/>
      <c r="I222" s="1"/>
      <c r="J222" s="17" t="s">
        <v>1009</v>
      </c>
      <c r="L222" s="64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J222" s="17"/>
      <c r="AK222" s="17"/>
      <c r="AL222" s="17"/>
      <c r="AM222" s="17"/>
      <c r="AP222" s="17"/>
      <c r="AT222" s="17"/>
      <c r="AU222" s="17"/>
      <c r="AV222" s="17"/>
      <c r="CD222" s="65"/>
      <c r="CG222" s="65"/>
      <c r="CJ222" s="66"/>
      <c r="CN222" s="65"/>
      <c r="CP222" s="65"/>
      <c r="CS222" s="65"/>
    </row>
    <row r="223" hidden="1">
      <c r="A223" s="1" t="s">
        <v>1010</v>
      </c>
      <c r="B223" s="63">
        <v>2018.0</v>
      </c>
      <c r="C223" s="63">
        <v>1.0</v>
      </c>
      <c r="D223" s="63" t="str">
        <f>IFERROR(__xludf.DUMMYFUNCTION("if(regexmatch(E223,""Recycled""),""No"",""Yes"")"),"No")</f>
        <v>No</v>
      </c>
      <c r="E223" s="63" t="s">
        <v>653</v>
      </c>
      <c r="F223" s="63" t="s">
        <v>660</v>
      </c>
      <c r="G223" s="1" t="s">
        <v>655</v>
      </c>
      <c r="H223" s="1"/>
      <c r="I223" s="68" t="s">
        <v>1005</v>
      </c>
      <c r="L223" s="64">
        <f t="shared" ref="L223:L226" si="38">SUM(M223:AW223)</f>
        <v>6</v>
      </c>
      <c r="R223" s="17">
        <v>1.0</v>
      </c>
      <c r="S223" s="17"/>
      <c r="T223" s="17"/>
      <c r="U223" s="17"/>
      <c r="V223" s="17">
        <v>1.0</v>
      </c>
      <c r="W223" s="17"/>
      <c r="X223" s="17"/>
      <c r="Y223" s="17"/>
      <c r="Z223" s="17"/>
      <c r="AA223" s="17"/>
      <c r="AB223" s="17">
        <v>1.0</v>
      </c>
      <c r="AJ223" s="17"/>
      <c r="AK223" s="17"/>
      <c r="AL223" s="17"/>
      <c r="AM223" s="17">
        <v>1.0</v>
      </c>
      <c r="AP223" s="17">
        <v>1.0</v>
      </c>
      <c r="AT223" s="17"/>
      <c r="AU223" s="17"/>
      <c r="AV223" s="17">
        <v>1.0</v>
      </c>
      <c r="CD223" s="65" t="s">
        <v>865</v>
      </c>
      <c r="CG223" s="65" t="s">
        <v>994</v>
      </c>
      <c r="CJ223" s="66" t="s">
        <v>888</v>
      </c>
      <c r="CN223" s="65" t="s">
        <v>888</v>
      </c>
      <c r="CP223" s="65" t="s">
        <v>888</v>
      </c>
      <c r="CS223" s="65" t="s">
        <v>888</v>
      </c>
    </row>
    <row r="224">
      <c r="A224" s="1" t="s">
        <v>1010</v>
      </c>
      <c r="B224" s="63">
        <v>2020.0</v>
      </c>
      <c r="C224" s="63">
        <v>2.0</v>
      </c>
      <c r="D224" s="63" t="str">
        <f>IFERROR(__xludf.DUMMYFUNCTION("if(regexmatch(E224,""Recycled""),""No"",""Yes"")"),"Yes")</f>
        <v>Yes</v>
      </c>
      <c r="E224" s="63" t="s">
        <v>22</v>
      </c>
      <c r="F224" s="63" t="s">
        <v>660</v>
      </c>
      <c r="G224" s="1" t="s">
        <v>655</v>
      </c>
      <c r="H224" s="1"/>
      <c r="I224" s="63"/>
      <c r="K224" s="73" t="s">
        <v>842</v>
      </c>
      <c r="L224" s="64">
        <f t="shared" si="38"/>
        <v>2</v>
      </c>
      <c r="R224" s="17"/>
      <c r="S224" s="17"/>
      <c r="T224" s="17">
        <v>1.0</v>
      </c>
      <c r="U224" s="17">
        <v>1.0</v>
      </c>
      <c r="AN224" s="17"/>
      <c r="AO224" s="17"/>
      <c r="AP224" s="17"/>
      <c r="AW224" s="17"/>
    </row>
    <row r="225" hidden="1">
      <c r="A225" s="1" t="s">
        <v>1011</v>
      </c>
      <c r="B225" s="63">
        <v>2018.0</v>
      </c>
      <c r="C225" s="63">
        <v>1.0</v>
      </c>
      <c r="D225" s="63" t="str">
        <f>IFERROR(__xludf.DUMMYFUNCTION("if(regexmatch(E225,""Recycled""),""No"",""Yes"")"),"No")</f>
        <v>No</v>
      </c>
      <c r="E225" s="63" t="s">
        <v>653</v>
      </c>
      <c r="F225" s="63" t="s">
        <v>660</v>
      </c>
      <c r="G225" s="1" t="s">
        <v>655</v>
      </c>
      <c r="H225" s="1"/>
      <c r="I225" s="68" t="s">
        <v>1012</v>
      </c>
      <c r="L225" s="64">
        <f t="shared" si="38"/>
        <v>6</v>
      </c>
      <c r="R225" s="17">
        <v>1.0</v>
      </c>
      <c r="S225" s="17">
        <v>1.0</v>
      </c>
      <c r="T225" s="17"/>
      <c r="U225" s="17">
        <v>1.0</v>
      </c>
      <c r="AN225" s="17"/>
      <c r="AO225" s="17">
        <v>1.0</v>
      </c>
      <c r="AP225" s="17">
        <v>1.0</v>
      </c>
      <c r="AW225" s="17">
        <v>1.0</v>
      </c>
      <c r="CD225" s="65" t="s">
        <v>865</v>
      </c>
      <c r="CG225" s="65" t="s">
        <v>994</v>
      </c>
      <c r="CJ225" s="65" t="s">
        <v>888</v>
      </c>
      <c r="CN225" s="65" t="s">
        <v>888</v>
      </c>
      <c r="CP225" s="65" t="s">
        <v>888</v>
      </c>
      <c r="CS225" s="65" t="s">
        <v>888</v>
      </c>
    </row>
    <row r="226" hidden="1">
      <c r="A226" s="1" t="s">
        <v>1011</v>
      </c>
      <c r="B226" s="63">
        <v>2020.0</v>
      </c>
      <c r="C226" s="63">
        <v>2.0</v>
      </c>
      <c r="D226" s="63" t="str">
        <f>IFERROR(__xludf.DUMMYFUNCTION("if(regexmatch(E226,""Recycled""),""No"",""Yes"")"),"No")</f>
        <v>No</v>
      </c>
      <c r="E226" s="63" t="s">
        <v>786</v>
      </c>
      <c r="F226" s="63" t="s">
        <v>660</v>
      </c>
      <c r="G226" s="1" t="s">
        <v>655</v>
      </c>
      <c r="H226" s="1"/>
      <c r="I226" s="63"/>
      <c r="L226" s="64">
        <f t="shared" si="38"/>
        <v>1</v>
      </c>
      <c r="N226" s="17"/>
      <c r="P226" s="17"/>
      <c r="Q226" s="17"/>
      <c r="U226" s="17">
        <v>1.0</v>
      </c>
      <c r="AC226" s="17"/>
      <c r="AD226" s="17"/>
      <c r="AE226" s="17"/>
      <c r="AF226" s="17"/>
      <c r="AG226" s="17"/>
      <c r="AH226" s="17"/>
      <c r="AI226" s="17"/>
      <c r="AR226" s="17"/>
      <c r="AS226" s="17"/>
      <c r="AT226" s="17"/>
      <c r="AU226" s="17"/>
      <c r="AV226" s="17"/>
      <c r="AW226" s="17"/>
    </row>
    <row r="227">
      <c r="A227" s="1" t="s">
        <v>1011</v>
      </c>
      <c r="B227" s="63">
        <v>2024.0</v>
      </c>
      <c r="C227" s="63">
        <v>3.0</v>
      </c>
      <c r="D227" s="63" t="str">
        <f>IFERROR(__xludf.DUMMYFUNCTION("if(regexmatch(E227,""Recycled""),""No"",""Yes"")"),"Yes")</f>
        <v>Yes</v>
      </c>
      <c r="E227" s="63"/>
      <c r="F227" s="63" t="s">
        <v>660</v>
      </c>
      <c r="G227" s="1"/>
      <c r="H227" s="1">
        <v>3.0</v>
      </c>
      <c r="I227" s="63"/>
      <c r="J227" s="17" t="s">
        <v>1013</v>
      </c>
      <c r="L227" s="64"/>
      <c r="N227" s="17"/>
      <c r="P227" s="17"/>
      <c r="Q227" s="17"/>
      <c r="AC227" s="17"/>
      <c r="AD227" s="17"/>
      <c r="AE227" s="17"/>
      <c r="AF227" s="17"/>
      <c r="AG227" s="17"/>
      <c r="AH227" s="17"/>
      <c r="AI227" s="17"/>
      <c r="AR227" s="17"/>
      <c r="AS227" s="17"/>
      <c r="AT227" s="17"/>
      <c r="AU227" s="17"/>
      <c r="AV227" s="17"/>
      <c r="AW227" s="17"/>
      <c r="CB227" s="65"/>
      <c r="CO227" s="66"/>
    </row>
    <row r="228" hidden="1">
      <c r="A228" s="1" t="s">
        <v>1014</v>
      </c>
      <c r="B228" s="63">
        <v>2018.0</v>
      </c>
      <c r="C228" s="63">
        <v>1.0</v>
      </c>
      <c r="D228" s="63" t="str">
        <f>IFERROR(__xludf.DUMMYFUNCTION("if(regexmatch(E228,""Recycled""),""No"",""Yes"")"),"No")</f>
        <v>No</v>
      </c>
      <c r="E228" s="63" t="s">
        <v>659</v>
      </c>
      <c r="F228" s="63" t="s">
        <v>660</v>
      </c>
      <c r="G228" s="1" t="s">
        <v>655</v>
      </c>
      <c r="H228" s="1"/>
      <c r="I228" s="63"/>
      <c r="L228" s="64">
        <f t="shared" ref="L228:L236" si="39">SUM(M228:AW228)</f>
        <v>6</v>
      </c>
      <c r="N228" s="17">
        <v>1.0</v>
      </c>
      <c r="P228" s="17">
        <v>1.0</v>
      </c>
      <c r="Q228" s="17">
        <v>1.0</v>
      </c>
      <c r="AC228" s="17"/>
      <c r="AD228" s="17"/>
      <c r="AE228" s="17">
        <v>1.0</v>
      </c>
      <c r="AF228" s="17"/>
      <c r="AG228" s="17"/>
      <c r="AH228" s="17"/>
      <c r="AI228" s="17">
        <v>1.0</v>
      </c>
      <c r="AR228" s="17"/>
      <c r="AS228" s="17"/>
      <c r="AT228" s="17"/>
      <c r="AU228" s="17"/>
      <c r="AV228" s="17"/>
      <c r="AW228" s="17">
        <v>1.0</v>
      </c>
      <c r="CB228" s="65" t="s">
        <v>865</v>
      </c>
      <c r="CO228" s="66" t="s">
        <v>664</v>
      </c>
    </row>
    <row r="229">
      <c r="A229" s="1" t="s">
        <v>1014</v>
      </c>
      <c r="B229" s="63">
        <v>2020.0</v>
      </c>
      <c r="C229" s="63">
        <v>2.0</v>
      </c>
      <c r="D229" s="63" t="str">
        <f>IFERROR(__xludf.DUMMYFUNCTION("if(regexmatch(E229,""Recycled""),""No"",""Yes"")"),"Yes")</f>
        <v>Yes</v>
      </c>
      <c r="E229" s="63" t="s">
        <v>22</v>
      </c>
      <c r="F229" s="63" t="s">
        <v>660</v>
      </c>
      <c r="G229" s="1" t="s">
        <v>655</v>
      </c>
      <c r="H229" s="1"/>
      <c r="I229" s="63"/>
      <c r="K229" s="74" t="s">
        <v>1015</v>
      </c>
      <c r="L229" s="64">
        <f t="shared" si="39"/>
        <v>4</v>
      </c>
      <c r="O229" s="17"/>
      <c r="P229" s="17"/>
      <c r="Q229" s="17">
        <v>1.0</v>
      </c>
      <c r="R229" s="17"/>
      <c r="AC229" s="17"/>
      <c r="AD229" s="17"/>
      <c r="AE229" s="17">
        <v>1.0</v>
      </c>
      <c r="AF229" s="17"/>
      <c r="AG229" s="17"/>
      <c r="AH229" s="17"/>
      <c r="AI229" s="17">
        <v>1.0</v>
      </c>
      <c r="AR229" s="17"/>
      <c r="AS229" s="17"/>
      <c r="AT229" s="17"/>
      <c r="AU229" s="17"/>
      <c r="AV229" s="17"/>
      <c r="AW229" s="17">
        <v>1.0</v>
      </c>
    </row>
    <row r="230" hidden="1">
      <c r="A230" s="1" t="s">
        <v>1016</v>
      </c>
      <c r="B230" s="63">
        <v>2018.0</v>
      </c>
      <c r="C230" s="63">
        <v>1.0</v>
      </c>
      <c r="D230" s="63" t="str">
        <f>IFERROR(__xludf.DUMMYFUNCTION("if(regexmatch(E230,""Recycled""),""No"",""Yes"")"),"No")</f>
        <v>No</v>
      </c>
      <c r="E230" s="63" t="s">
        <v>659</v>
      </c>
      <c r="F230" s="63" t="s">
        <v>660</v>
      </c>
      <c r="G230" s="1" t="s">
        <v>655</v>
      </c>
      <c r="H230" s="1"/>
      <c r="I230" s="63"/>
      <c r="L230" s="64">
        <f t="shared" si="39"/>
        <v>5</v>
      </c>
      <c r="O230" s="17">
        <v>1.0</v>
      </c>
      <c r="P230" s="17"/>
      <c r="R230" s="17">
        <v>1.0</v>
      </c>
      <c r="AC230" s="17"/>
      <c r="AD230" s="17"/>
      <c r="AE230" s="17">
        <v>1.0</v>
      </c>
      <c r="AF230" s="17"/>
      <c r="AG230" s="17"/>
      <c r="AH230" s="17"/>
      <c r="AI230" s="17">
        <v>1.0</v>
      </c>
      <c r="AR230" s="17"/>
      <c r="AS230" s="17"/>
      <c r="AT230" s="17"/>
      <c r="AU230" s="17"/>
      <c r="AV230" s="17"/>
      <c r="AW230" s="17">
        <v>1.0</v>
      </c>
      <c r="CB230" s="65" t="s">
        <v>865</v>
      </c>
      <c r="CO230" s="66" t="s">
        <v>664</v>
      </c>
    </row>
    <row r="231">
      <c r="A231" s="1" t="s">
        <v>1016</v>
      </c>
      <c r="B231" s="63">
        <v>2020.0</v>
      </c>
      <c r="C231" s="63">
        <v>2.0</v>
      </c>
      <c r="D231" s="63" t="str">
        <f>IFERROR(__xludf.DUMMYFUNCTION("if(regexmatch(E231,""Recycled""),""No"",""Yes"")"),"Yes")</f>
        <v>Yes</v>
      </c>
      <c r="E231" s="63" t="s">
        <v>22</v>
      </c>
      <c r="F231" s="63" t="s">
        <v>660</v>
      </c>
      <c r="G231" s="1" t="s">
        <v>655</v>
      </c>
      <c r="H231" s="1"/>
      <c r="I231" s="63"/>
      <c r="J231" s="18"/>
      <c r="K231" s="74" t="s">
        <v>1015</v>
      </c>
      <c r="L231" s="64">
        <f t="shared" si="39"/>
        <v>5</v>
      </c>
      <c r="O231" s="17">
        <v>1.0</v>
      </c>
      <c r="R231" s="17">
        <v>1.0</v>
      </c>
      <c r="AD231" s="17"/>
      <c r="AE231" s="17">
        <v>1.0</v>
      </c>
      <c r="AI231" s="17">
        <v>1.0</v>
      </c>
      <c r="AW231" s="17">
        <v>1.0</v>
      </c>
    </row>
    <row r="232">
      <c r="A232" s="1" t="s">
        <v>1017</v>
      </c>
      <c r="B232" s="63">
        <v>2018.0</v>
      </c>
      <c r="C232" s="63">
        <v>1.0</v>
      </c>
      <c r="D232" s="63" t="str">
        <f>IFERROR(__xludf.DUMMYFUNCTION("if(regexmatch(E232,""Recycled""),""No"",""Yes"")"),"Yes")</f>
        <v>Yes</v>
      </c>
      <c r="E232" s="63" t="s">
        <v>22</v>
      </c>
      <c r="F232" s="63" t="s">
        <v>660</v>
      </c>
      <c r="G232" s="1" t="s">
        <v>655</v>
      </c>
      <c r="H232" s="1"/>
      <c r="I232" s="63"/>
      <c r="J232" s="18"/>
      <c r="K232" s="74" t="s">
        <v>1015</v>
      </c>
      <c r="L232" s="64">
        <f t="shared" si="39"/>
        <v>3</v>
      </c>
      <c r="S232" s="17">
        <v>1.0</v>
      </c>
      <c r="AT232" s="17"/>
      <c r="AU232" s="17"/>
      <c r="AV232" s="17">
        <v>1.0</v>
      </c>
      <c r="AW232" s="17">
        <v>1.0</v>
      </c>
    </row>
    <row r="233" hidden="1">
      <c r="A233" s="1" t="s">
        <v>1018</v>
      </c>
      <c r="B233" s="63">
        <v>2017.0</v>
      </c>
      <c r="C233" s="63">
        <v>1.0</v>
      </c>
      <c r="D233" s="63" t="str">
        <f>IFERROR(__xludf.DUMMYFUNCTION("if(regexmatch(E233,""Recycled""),""No"",""Yes"")"),"No")</f>
        <v>No</v>
      </c>
      <c r="E233" s="63" t="s">
        <v>659</v>
      </c>
      <c r="F233" s="63" t="s">
        <v>769</v>
      </c>
      <c r="G233" s="1"/>
      <c r="H233" s="1"/>
      <c r="I233" s="63"/>
      <c r="L233" s="64">
        <f t="shared" si="39"/>
        <v>4</v>
      </c>
      <c r="S233" s="17"/>
      <c r="T233" s="17"/>
      <c r="U233" s="17"/>
      <c r="V233" s="17">
        <v>1.0</v>
      </c>
      <c r="AN233" s="17"/>
      <c r="AO233" s="17">
        <v>1.0</v>
      </c>
      <c r="AP233" s="17">
        <v>1.0</v>
      </c>
      <c r="AQ233" s="17">
        <v>1.0</v>
      </c>
      <c r="BS233" s="90" t="s">
        <v>965</v>
      </c>
      <c r="CB233" s="65" t="s">
        <v>7</v>
      </c>
    </row>
    <row r="234" hidden="1">
      <c r="A234" s="1" t="s">
        <v>1018</v>
      </c>
      <c r="B234" s="63">
        <v>2020.0</v>
      </c>
      <c r="C234" s="63">
        <v>2.0</v>
      </c>
      <c r="D234" s="63" t="str">
        <f>IFERROR(__xludf.DUMMYFUNCTION("if(regexmatch(E234,""Recycled""),""No"",""Yes"")"),"No")</f>
        <v>No</v>
      </c>
      <c r="E234" s="63" t="s">
        <v>696</v>
      </c>
      <c r="F234" s="63" t="s">
        <v>654</v>
      </c>
      <c r="G234" s="1" t="s">
        <v>655</v>
      </c>
      <c r="H234" s="1"/>
      <c r="I234" s="63"/>
      <c r="J234" s="17" t="s">
        <v>1019</v>
      </c>
      <c r="L234" s="64">
        <f t="shared" si="39"/>
        <v>2</v>
      </c>
      <c r="R234" s="17"/>
      <c r="AP234" s="17">
        <v>1.0</v>
      </c>
      <c r="AQ234" s="17"/>
      <c r="AW234" s="17">
        <v>1.0</v>
      </c>
    </row>
    <row r="235" hidden="1">
      <c r="A235" s="1" t="s">
        <v>1018</v>
      </c>
      <c r="B235" s="63">
        <v>2022.0</v>
      </c>
      <c r="C235" s="63">
        <v>3.0</v>
      </c>
      <c r="D235" s="63" t="str">
        <f>IFERROR(__xludf.DUMMYFUNCTION("if(regexmatch(E235,""Recycled""),""No"",""Yes"")"),"No")</f>
        <v>No</v>
      </c>
      <c r="E235" s="63" t="s">
        <v>696</v>
      </c>
      <c r="F235" s="63" t="s">
        <v>654</v>
      </c>
      <c r="G235" s="1" t="s">
        <v>655</v>
      </c>
      <c r="H235" s="1"/>
      <c r="I235" s="63"/>
      <c r="J235" s="17" t="s">
        <v>1020</v>
      </c>
      <c r="L235" s="64">
        <f t="shared" si="39"/>
        <v>1</v>
      </c>
      <c r="M235" s="17"/>
      <c r="S235" s="17"/>
      <c r="T235" s="17"/>
      <c r="U235" s="17"/>
      <c r="V235" s="17"/>
      <c r="AC235" s="17"/>
      <c r="AD235" s="17"/>
      <c r="AE235" s="17">
        <v>1.0</v>
      </c>
      <c r="AP235" s="17"/>
      <c r="AQ235" s="17"/>
      <c r="AW235" s="17"/>
    </row>
    <row r="236" hidden="1">
      <c r="A236" s="1" t="s">
        <v>1018</v>
      </c>
      <c r="B236" s="63">
        <v>2022.0</v>
      </c>
      <c r="C236" s="63">
        <v>4.0</v>
      </c>
      <c r="D236" s="63" t="str">
        <f>IFERROR(__xludf.DUMMYFUNCTION("if(regexmatch(E236,""Recycled""),""No"",""Yes"")"),"No")</f>
        <v>No</v>
      </c>
      <c r="E236" s="63" t="s">
        <v>786</v>
      </c>
      <c r="F236" s="63" t="s">
        <v>654</v>
      </c>
      <c r="G236" s="2"/>
      <c r="H236" s="2"/>
      <c r="I236" s="69"/>
      <c r="J236" s="17" t="s">
        <v>1021</v>
      </c>
      <c r="K236" s="73" t="s">
        <v>1022</v>
      </c>
      <c r="L236" s="64">
        <f t="shared" si="39"/>
        <v>1</v>
      </c>
      <c r="V236" s="17">
        <v>1.0</v>
      </c>
    </row>
    <row r="237">
      <c r="A237" s="1" t="s">
        <v>1018</v>
      </c>
      <c r="B237" s="63">
        <v>2025.0</v>
      </c>
      <c r="C237" s="63">
        <v>5.0</v>
      </c>
      <c r="D237" s="63" t="str">
        <f>IFERROR(__xludf.DUMMYFUNCTION("if(regexmatch(E237,""Recycled""),""No"",""Yes"")"),"Yes")</f>
        <v>Yes</v>
      </c>
      <c r="E237" s="63"/>
      <c r="F237" s="63" t="s">
        <v>660</v>
      </c>
      <c r="G237" s="1"/>
      <c r="H237" s="1">
        <v>1.0</v>
      </c>
      <c r="I237" s="63"/>
      <c r="J237" s="17" t="s">
        <v>1023</v>
      </c>
      <c r="L237" s="64"/>
      <c r="R237" s="17"/>
      <c r="AP237" s="17"/>
      <c r="AQ237" s="17"/>
      <c r="BS237" s="90"/>
      <c r="CB237" s="65"/>
    </row>
    <row r="238" hidden="1">
      <c r="A238" s="1" t="s">
        <v>1024</v>
      </c>
      <c r="B238" s="63">
        <v>2017.0</v>
      </c>
      <c r="C238" s="63">
        <v>1.0</v>
      </c>
      <c r="D238" s="63" t="str">
        <f>IFERROR(__xludf.DUMMYFUNCTION("if(regexmatch(E238,""Recycled""),""No"",""Yes"")"),"No")</f>
        <v>No</v>
      </c>
      <c r="E238" s="63" t="s">
        <v>659</v>
      </c>
      <c r="F238" s="63" t="s">
        <v>769</v>
      </c>
      <c r="G238" s="1"/>
      <c r="H238" s="1"/>
      <c r="I238" s="63"/>
      <c r="L238" s="64">
        <f t="shared" ref="L238:L242" si="40">SUM(M238:AW238)</f>
        <v>3</v>
      </c>
      <c r="R238" s="17">
        <v>1.0</v>
      </c>
      <c r="AP238" s="17">
        <v>1.0</v>
      </c>
      <c r="AQ238" s="17">
        <v>1.0</v>
      </c>
      <c r="BS238" s="90" t="s">
        <v>7</v>
      </c>
      <c r="CB238" s="65" t="s">
        <v>7</v>
      </c>
    </row>
    <row r="239" hidden="1">
      <c r="A239" s="1" t="s">
        <v>1024</v>
      </c>
      <c r="B239" s="63">
        <v>2020.0</v>
      </c>
      <c r="C239" s="63">
        <v>2.0</v>
      </c>
      <c r="D239" s="63" t="str">
        <f>IFERROR(__xludf.DUMMYFUNCTION("if(regexmatch(E239,""Recycled""),""No"",""Yes"")"),"No")</f>
        <v>No</v>
      </c>
      <c r="E239" s="63" t="s">
        <v>696</v>
      </c>
      <c r="F239" s="63" t="s">
        <v>654</v>
      </c>
      <c r="G239" s="1" t="s">
        <v>655</v>
      </c>
      <c r="H239" s="1"/>
      <c r="I239" s="63"/>
      <c r="L239" s="64">
        <f t="shared" si="40"/>
        <v>3</v>
      </c>
      <c r="M239" s="17">
        <v>1.0</v>
      </c>
      <c r="S239" s="17"/>
      <c r="T239" s="17"/>
      <c r="U239" s="17"/>
      <c r="V239" s="17"/>
      <c r="Z239" s="17" t="s">
        <v>0</v>
      </c>
      <c r="AC239" s="17"/>
      <c r="AD239" s="17"/>
      <c r="AE239" s="17">
        <v>1.0</v>
      </c>
      <c r="AP239" s="17"/>
      <c r="AQ239" s="17"/>
      <c r="AW239" s="17">
        <v>1.0</v>
      </c>
    </row>
    <row r="240">
      <c r="A240" s="18" t="s">
        <v>1024</v>
      </c>
      <c r="B240" s="63">
        <v>2023.0</v>
      </c>
      <c r="C240" s="63">
        <v>3.0</v>
      </c>
      <c r="D240" s="63" t="str">
        <f>IFERROR(__xludf.DUMMYFUNCTION("if(regexmatch(E240,""Recycled""),""No"",""Yes"")"),"Yes")</f>
        <v>Yes</v>
      </c>
      <c r="E240" s="63" t="s">
        <v>22</v>
      </c>
      <c r="F240" s="63" t="s">
        <v>654</v>
      </c>
      <c r="G240" s="2"/>
      <c r="H240" s="2"/>
      <c r="I240" s="69"/>
      <c r="K240" s="73" t="s">
        <v>1025</v>
      </c>
      <c r="L240" s="64">
        <f t="shared" si="40"/>
        <v>0</v>
      </c>
    </row>
    <row r="241" hidden="1">
      <c r="A241" s="1" t="s">
        <v>1026</v>
      </c>
      <c r="B241" s="63">
        <v>2017.0</v>
      </c>
      <c r="C241" s="63">
        <v>1.0</v>
      </c>
      <c r="D241" s="63" t="str">
        <f>IFERROR(__xludf.DUMMYFUNCTION("if(regexmatch(E241,""Recycled""),""No"",""Yes"")"),"No")</f>
        <v>No</v>
      </c>
      <c r="E241" s="63" t="s">
        <v>659</v>
      </c>
      <c r="F241" s="63" t="s">
        <v>769</v>
      </c>
      <c r="G241" s="1"/>
      <c r="H241" s="1"/>
      <c r="I241" s="63"/>
      <c r="L241" s="64">
        <f t="shared" si="40"/>
        <v>3</v>
      </c>
      <c r="S241" s="17"/>
      <c r="T241" s="17"/>
      <c r="U241" s="17"/>
      <c r="V241" s="17">
        <v>1.0</v>
      </c>
      <c r="AP241" s="17">
        <v>1.0</v>
      </c>
      <c r="AQ241" s="17">
        <v>1.0</v>
      </c>
      <c r="BS241" s="90" t="s">
        <v>7</v>
      </c>
      <c r="CB241" s="65" t="s">
        <v>7</v>
      </c>
    </row>
    <row r="242" hidden="1">
      <c r="A242" s="1" t="s">
        <v>1026</v>
      </c>
      <c r="B242" s="63">
        <v>2020.0</v>
      </c>
      <c r="C242" s="63">
        <v>2.0</v>
      </c>
      <c r="D242" s="63" t="str">
        <f>IFERROR(__xludf.DUMMYFUNCTION("if(regexmatch(E242,""Recycled""),""No"",""Yes"")"),"No")</f>
        <v>No</v>
      </c>
      <c r="E242" s="63" t="s">
        <v>786</v>
      </c>
      <c r="F242" s="63" t="s">
        <v>654</v>
      </c>
      <c r="G242" s="1" t="s">
        <v>655</v>
      </c>
      <c r="H242" s="1"/>
      <c r="I242" s="63"/>
      <c r="K242" s="75" t="s">
        <v>1027</v>
      </c>
      <c r="L242" s="64">
        <f t="shared" si="40"/>
        <v>1</v>
      </c>
      <c r="R242" s="17"/>
      <c r="S242" s="17"/>
      <c r="T242" s="17"/>
      <c r="U242" s="17"/>
      <c r="V242" s="17">
        <v>1.0</v>
      </c>
      <c r="AP242" s="17"/>
    </row>
    <row r="243">
      <c r="A243" s="1" t="s">
        <v>1026</v>
      </c>
      <c r="B243" s="63">
        <v>2024.0</v>
      </c>
      <c r="C243" s="63">
        <v>3.0</v>
      </c>
      <c r="D243" s="63" t="str">
        <f>IFERROR(__xludf.DUMMYFUNCTION("if(regexmatch(E243,""Recycled""),""No"",""Yes"")"),"Yes")</f>
        <v>Yes</v>
      </c>
      <c r="E243" s="63"/>
      <c r="F243" s="63" t="s">
        <v>654</v>
      </c>
      <c r="G243" s="1"/>
      <c r="H243" s="1">
        <v>1.0</v>
      </c>
      <c r="I243" s="63"/>
      <c r="J243" s="17" t="s">
        <v>1028</v>
      </c>
      <c r="L243" s="64"/>
      <c r="R243" s="17"/>
      <c r="S243" s="17"/>
      <c r="T243" s="17"/>
      <c r="U243" s="17"/>
      <c r="V243" s="17"/>
      <c r="AP243" s="17"/>
      <c r="BS243" s="90"/>
      <c r="CB243" s="65"/>
    </row>
    <row r="244" hidden="1">
      <c r="A244" s="1" t="s">
        <v>1029</v>
      </c>
      <c r="B244" s="63">
        <v>2017.0</v>
      </c>
      <c r="C244" s="63">
        <v>1.0</v>
      </c>
      <c r="D244" s="63" t="str">
        <f>IFERROR(__xludf.DUMMYFUNCTION("if(regexmatch(E244,""Recycled""),""No"",""Yes"")"),"No")</f>
        <v>No</v>
      </c>
      <c r="E244" s="63" t="s">
        <v>659</v>
      </c>
      <c r="F244" s="63" t="s">
        <v>769</v>
      </c>
      <c r="G244" s="1"/>
      <c r="H244" s="1"/>
      <c r="I244" s="63"/>
      <c r="L244" s="64">
        <f t="shared" ref="L244:L246" si="41">SUM(M244:AW244)</f>
        <v>3</v>
      </c>
      <c r="R244" s="17">
        <v>1.0</v>
      </c>
      <c r="S244" s="17"/>
      <c r="T244" s="17"/>
      <c r="U244" s="17"/>
      <c r="V244" s="17">
        <v>1.0</v>
      </c>
      <c r="AP244" s="17">
        <v>1.0</v>
      </c>
      <c r="BS244" s="90" t="s">
        <v>7</v>
      </c>
      <c r="CB244" s="65" t="s">
        <v>7</v>
      </c>
    </row>
    <row r="245" hidden="1">
      <c r="A245" s="1" t="s">
        <v>1029</v>
      </c>
      <c r="B245" s="63">
        <v>2020.0</v>
      </c>
      <c r="C245" s="63">
        <v>2.0</v>
      </c>
      <c r="D245" s="63" t="str">
        <f>IFERROR(__xludf.DUMMYFUNCTION("if(regexmatch(E245,""Recycled""),""No"",""Yes"")"),"No")</f>
        <v>No</v>
      </c>
      <c r="E245" s="63" t="s">
        <v>696</v>
      </c>
      <c r="F245" s="63" t="s">
        <v>654</v>
      </c>
      <c r="G245" s="1" t="s">
        <v>655</v>
      </c>
      <c r="H245" s="1"/>
      <c r="I245" s="63"/>
      <c r="L245" s="64">
        <f t="shared" si="41"/>
        <v>3</v>
      </c>
      <c r="M245" s="17"/>
      <c r="R245" s="17"/>
      <c r="V245" s="17">
        <v>1.0</v>
      </c>
      <c r="AC245" s="17"/>
      <c r="AD245" s="17"/>
      <c r="AE245" s="17">
        <v>1.0</v>
      </c>
      <c r="AO245" s="17">
        <v>1.0</v>
      </c>
    </row>
    <row r="246" hidden="1">
      <c r="A246" s="1" t="s">
        <v>1029</v>
      </c>
      <c r="B246" s="63">
        <v>2022.0</v>
      </c>
      <c r="C246" s="24">
        <v>3.0</v>
      </c>
      <c r="D246" s="63" t="str">
        <f>IFERROR(__xludf.DUMMYFUNCTION("if(regexmatch(E246,""Recycled""),""No"",""Yes"")"),"No")</f>
        <v>No</v>
      </c>
      <c r="E246" s="63" t="s">
        <v>786</v>
      </c>
      <c r="F246" s="63" t="s">
        <v>654</v>
      </c>
      <c r="G246" s="1" t="s">
        <v>655</v>
      </c>
      <c r="H246" s="1"/>
      <c r="I246" s="63"/>
      <c r="J246" s="17" t="s">
        <v>1030</v>
      </c>
      <c r="L246" s="64">
        <f t="shared" si="41"/>
        <v>1</v>
      </c>
      <c r="M246" s="17"/>
      <c r="P246" s="17"/>
      <c r="V246" s="17"/>
      <c r="AP246" s="17"/>
      <c r="AT246" s="17"/>
      <c r="AU246" s="17"/>
      <c r="AV246" s="17">
        <v>1.0</v>
      </c>
    </row>
    <row r="247">
      <c r="A247" s="1" t="s">
        <v>1029</v>
      </c>
      <c r="B247" s="63">
        <v>2024.0</v>
      </c>
      <c r="C247" s="63">
        <v>4.0</v>
      </c>
      <c r="D247" s="63" t="str">
        <f>IFERROR(__xludf.DUMMYFUNCTION("if(regexmatch(E247,""Recycled""),""No"",""Yes"")"),"Yes")</f>
        <v>Yes</v>
      </c>
      <c r="E247" s="63"/>
      <c r="F247" s="63" t="s">
        <v>787</v>
      </c>
      <c r="G247" s="1"/>
      <c r="H247" s="1"/>
      <c r="I247" s="63"/>
      <c r="J247" s="17" t="s">
        <v>913</v>
      </c>
      <c r="K247" s="17"/>
      <c r="L247" s="64"/>
      <c r="M247" s="17"/>
      <c r="R247" s="17"/>
      <c r="BS247" s="90"/>
      <c r="CB247" s="65"/>
    </row>
    <row r="248" hidden="1">
      <c r="A248" s="1" t="s">
        <v>1031</v>
      </c>
      <c r="B248" s="63">
        <v>2017.0</v>
      </c>
      <c r="C248" s="63">
        <v>1.0</v>
      </c>
      <c r="D248" s="63" t="str">
        <f>IFERROR(__xludf.DUMMYFUNCTION("if(regexmatch(E248,""Recycled""),""No"",""Yes"")"),"No")</f>
        <v>No</v>
      </c>
      <c r="E248" s="63" t="s">
        <v>659</v>
      </c>
      <c r="F248" s="63" t="s">
        <v>769</v>
      </c>
      <c r="G248" s="1"/>
      <c r="H248" s="1"/>
      <c r="I248" s="63"/>
      <c r="K248" s="17"/>
      <c r="L248" s="64">
        <f t="shared" ref="L248:L249" si="42">SUM(M248:AW248)</f>
        <v>2</v>
      </c>
      <c r="M248" s="17">
        <v>1.0</v>
      </c>
      <c r="R248" s="17">
        <v>1.0</v>
      </c>
      <c r="BS248" s="90" t="s">
        <v>7</v>
      </c>
      <c r="CB248" s="65" t="s">
        <v>7</v>
      </c>
    </row>
    <row r="249" hidden="1">
      <c r="A249" s="1" t="s">
        <v>1031</v>
      </c>
      <c r="B249" s="63">
        <v>2020.0</v>
      </c>
      <c r="C249" s="63">
        <v>2.0</v>
      </c>
      <c r="D249" s="63" t="str">
        <f>IFERROR(__xludf.DUMMYFUNCTION("if(regexmatch(E249,""Recycled""),""No"",""Yes"")"),"No")</f>
        <v>No</v>
      </c>
      <c r="E249" s="63" t="s">
        <v>786</v>
      </c>
      <c r="F249" s="63" t="s">
        <v>654</v>
      </c>
      <c r="G249" s="1" t="s">
        <v>655</v>
      </c>
      <c r="H249" s="1"/>
      <c r="I249" s="63"/>
      <c r="K249" s="73" t="s">
        <v>1032</v>
      </c>
      <c r="L249" s="64">
        <f t="shared" si="42"/>
        <v>4</v>
      </c>
      <c r="M249" s="17">
        <v>1.0</v>
      </c>
      <c r="P249" s="17"/>
      <c r="V249" s="17">
        <v>1.0</v>
      </c>
      <c r="AP249" s="17">
        <v>1.0</v>
      </c>
      <c r="AT249" s="17"/>
      <c r="AU249" s="17"/>
      <c r="AV249" s="17">
        <v>1.0</v>
      </c>
    </row>
    <row r="250">
      <c r="A250" s="1" t="s">
        <v>1031</v>
      </c>
      <c r="B250" s="63">
        <v>2025.0</v>
      </c>
      <c r="C250" s="63">
        <v>3.0</v>
      </c>
      <c r="D250" s="63" t="str">
        <f>IFERROR(__xludf.DUMMYFUNCTION("if(regexmatch(E250,""Recycled""),""No"",""Yes"")"),"Yes")</f>
        <v>Yes</v>
      </c>
      <c r="E250" s="63"/>
      <c r="F250" s="63" t="s">
        <v>660</v>
      </c>
      <c r="G250" s="1"/>
      <c r="H250" s="1"/>
      <c r="I250" s="63"/>
      <c r="J250" s="17" t="s">
        <v>1033</v>
      </c>
      <c r="L250" s="64"/>
      <c r="P250" s="17"/>
      <c r="CF250" s="65"/>
      <c r="CO250" s="66"/>
    </row>
    <row r="251" hidden="1">
      <c r="A251" s="1" t="s">
        <v>1034</v>
      </c>
      <c r="B251" s="63">
        <v>2018.0</v>
      </c>
      <c r="C251" s="63">
        <v>1.0</v>
      </c>
      <c r="D251" s="63" t="str">
        <f>IFERROR(__xludf.DUMMYFUNCTION("if(regexmatch(E251,""Recycled""),""No"",""Yes"")"),"No")</f>
        <v>No</v>
      </c>
      <c r="E251" s="63" t="s">
        <v>659</v>
      </c>
      <c r="F251" s="63" t="s">
        <v>660</v>
      </c>
      <c r="G251" s="1" t="s">
        <v>655</v>
      </c>
      <c r="H251" s="1"/>
      <c r="I251" s="63"/>
      <c r="L251" s="64">
        <f t="shared" ref="L251:L252" si="43">SUM(M251:AW251)</f>
        <v>1</v>
      </c>
      <c r="P251" s="17">
        <v>1.0</v>
      </c>
      <c r="CF251" s="65" t="s">
        <v>864</v>
      </c>
      <c r="CO251" s="66" t="s">
        <v>664</v>
      </c>
    </row>
    <row r="252" hidden="1">
      <c r="A252" s="1" t="s">
        <v>1034</v>
      </c>
      <c r="B252" s="63">
        <v>2019.0</v>
      </c>
      <c r="C252" s="63">
        <v>2.0</v>
      </c>
      <c r="D252" s="63" t="str">
        <f>IFERROR(__xludf.DUMMYFUNCTION("if(regexmatch(E252,""Recycled""),""No"",""Yes"")"),"No")</f>
        <v>No</v>
      </c>
      <c r="E252" s="63" t="s">
        <v>786</v>
      </c>
      <c r="F252" s="63" t="s">
        <v>660</v>
      </c>
      <c r="G252" s="1" t="s">
        <v>655</v>
      </c>
      <c r="H252" s="1"/>
      <c r="I252" s="69"/>
      <c r="K252" s="41" t="s">
        <v>889</v>
      </c>
      <c r="L252" s="64">
        <f t="shared" si="43"/>
        <v>1</v>
      </c>
      <c r="AD252" s="17"/>
      <c r="AE252" s="17">
        <v>1.0</v>
      </c>
      <c r="AN252" s="17"/>
    </row>
    <row r="253">
      <c r="A253" s="1" t="s">
        <v>1034</v>
      </c>
      <c r="B253" s="63">
        <v>2024.0</v>
      </c>
      <c r="C253" s="63">
        <v>3.0</v>
      </c>
      <c r="D253" s="63" t="str">
        <f>IFERROR(__xludf.DUMMYFUNCTION("if(regexmatch(E253,""Recycled""),""No"",""Yes"")"),"Yes")</f>
        <v>Yes</v>
      </c>
      <c r="E253" s="63"/>
      <c r="F253" s="63" t="s">
        <v>660</v>
      </c>
      <c r="G253" s="2"/>
      <c r="H253" s="1">
        <v>2.0</v>
      </c>
      <c r="I253" s="69"/>
      <c r="J253" s="17" t="s">
        <v>1035</v>
      </c>
      <c r="K253" s="17"/>
      <c r="L253" s="64"/>
      <c r="AJ253" s="17"/>
      <c r="AK253" s="17"/>
      <c r="AL253" s="17"/>
      <c r="AM253" s="17"/>
      <c r="CD253" s="65"/>
      <c r="CG253" s="65"/>
    </row>
    <row r="254" hidden="1">
      <c r="A254" s="1" t="s">
        <v>1036</v>
      </c>
      <c r="B254" s="63">
        <v>2018.0</v>
      </c>
      <c r="C254" s="63">
        <v>1.0</v>
      </c>
      <c r="D254" s="63" t="str">
        <f>IFERROR(__xludf.DUMMYFUNCTION("if(regexmatch(E254,""Recycled""),""No"",""Yes"")"),"No")</f>
        <v>No</v>
      </c>
      <c r="E254" s="63" t="s">
        <v>653</v>
      </c>
      <c r="F254" s="63" t="s">
        <v>654</v>
      </c>
      <c r="G254" s="2"/>
      <c r="H254" s="1"/>
      <c r="I254" s="68" t="s">
        <v>1037</v>
      </c>
      <c r="K254" s="17" t="s">
        <v>853</v>
      </c>
      <c r="L254" s="64">
        <f t="shared" ref="L254:L256" si="44">SUM(M254:AW254)</f>
        <v>2</v>
      </c>
      <c r="AJ254" s="17"/>
      <c r="AK254" s="17"/>
      <c r="AL254" s="17">
        <v>1.0</v>
      </c>
      <c r="AM254" s="17">
        <v>1.0</v>
      </c>
      <c r="CD254" s="65" t="s">
        <v>1038</v>
      </c>
      <c r="CG254" s="65" t="s">
        <v>994</v>
      </c>
      <c r="CJ254" s="65" t="s">
        <v>1039</v>
      </c>
      <c r="CN254" s="65" t="s">
        <v>1040</v>
      </c>
      <c r="CP254" s="65" t="s">
        <v>888</v>
      </c>
      <c r="CR254" s="65" t="s">
        <v>1039</v>
      </c>
    </row>
    <row r="255" hidden="1">
      <c r="A255" s="1" t="s">
        <v>1036</v>
      </c>
      <c r="B255" s="63">
        <v>2020.0</v>
      </c>
      <c r="C255" s="63">
        <v>2.0</v>
      </c>
      <c r="D255" s="63" t="str">
        <f>IFERROR(__xludf.DUMMYFUNCTION("if(regexmatch(E255,""Recycled""),""No"",""Yes"")"),"No")</f>
        <v>No</v>
      </c>
      <c r="E255" s="63" t="s">
        <v>696</v>
      </c>
      <c r="F255" s="63" t="s">
        <v>654</v>
      </c>
      <c r="G255" s="1" t="s">
        <v>655</v>
      </c>
      <c r="H255" s="1"/>
      <c r="I255" s="63"/>
      <c r="K255" s="17"/>
      <c r="L255" s="64">
        <f t="shared" si="44"/>
        <v>4</v>
      </c>
      <c r="R255" s="17">
        <v>1.0</v>
      </c>
      <c r="AN255" s="17"/>
      <c r="AO255" s="17"/>
      <c r="AP255" s="17">
        <v>1.0</v>
      </c>
      <c r="AT255" s="17"/>
      <c r="AU255" s="17"/>
      <c r="AV255" s="17">
        <v>1.0</v>
      </c>
      <c r="AW255" s="17">
        <v>1.0</v>
      </c>
    </row>
    <row r="256" hidden="1">
      <c r="A256" s="1" t="s">
        <v>1036</v>
      </c>
      <c r="B256" s="63">
        <v>2022.0</v>
      </c>
      <c r="C256" s="63">
        <v>3.0</v>
      </c>
      <c r="D256" s="63" t="str">
        <f>IFERROR(__xludf.DUMMYFUNCTION("if(regexmatch(E256,""Recycled""),""No"",""Yes"")"),"No")</f>
        <v>No</v>
      </c>
      <c r="E256" s="63" t="s">
        <v>786</v>
      </c>
      <c r="F256" s="63" t="s">
        <v>654</v>
      </c>
      <c r="G256" s="1" t="s">
        <v>655</v>
      </c>
      <c r="H256" s="1"/>
      <c r="I256" s="63"/>
      <c r="J256" s="17" t="s">
        <v>1041</v>
      </c>
      <c r="K256" s="75" t="s">
        <v>825</v>
      </c>
      <c r="L256" s="64">
        <f t="shared" si="44"/>
        <v>1</v>
      </c>
      <c r="R256" s="17"/>
      <c r="Z256" s="17"/>
      <c r="AA256" s="17"/>
      <c r="AB256" s="17"/>
      <c r="AM256" s="17"/>
      <c r="AN256" s="17"/>
      <c r="AO256" s="17">
        <v>1.0</v>
      </c>
      <c r="AP256" s="17"/>
    </row>
    <row r="257">
      <c r="A257" s="1" t="s">
        <v>1036</v>
      </c>
      <c r="B257" s="63">
        <v>2024.0</v>
      </c>
      <c r="C257" s="63">
        <v>4.0</v>
      </c>
      <c r="D257" s="63" t="str">
        <f>IFERROR(__xludf.DUMMYFUNCTION("if(regexmatch(E257,""Recycled""),""No"",""Yes"")"),"Yes")</f>
        <v>Yes</v>
      </c>
      <c r="E257" s="63"/>
      <c r="F257" s="63" t="s">
        <v>654</v>
      </c>
      <c r="G257" s="2"/>
      <c r="H257" s="1">
        <v>1.0</v>
      </c>
      <c r="I257" s="63"/>
      <c r="J257" s="17" t="s">
        <v>1042</v>
      </c>
      <c r="K257" s="17"/>
      <c r="L257" s="64"/>
      <c r="R257" s="17"/>
      <c r="S257" s="17"/>
      <c r="AN257" s="17"/>
      <c r="AO257" s="17"/>
      <c r="AP257" s="17"/>
      <c r="AW257" s="17"/>
      <c r="CD257" s="65"/>
      <c r="CG257" s="65"/>
    </row>
    <row r="258" hidden="1">
      <c r="A258" s="1" t="s">
        <v>1043</v>
      </c>
      <c r="B258" s="63">
        <v>2018.0</v>
      </c>
      <c r="C258" s="63">
        <v>1.0</v>
      </c>
      <c r="D258" s="63" t="str">
        <f>IFERROR(__xludf.DUMMYFUNCTION("if(regexmatch(E258,""Recycled""),""No"",""Yes"")"),"No")</f>
        <v>No</v>
      </c>
      <c r="E258" s="63" t="s">
        <v>653</v>
      </c>
      <c r="F258" s="63" t="s">
        <v>654</v>
      </c>
      <c r="G258" s="2"/>
      <c r="H258" s="1"/>
      <c r="I258" s="68" t="s">
        <v>1044</v>
      </c>
      <c r="K258" s="17" t="s">
        <v>853</v>
      </c>
      <c r="L258" s="64">
        <f t="shared" ref="L258:L259" si="45">SUM(M258:AW258)</f>
        <v>5</v>
      </c>
      <c r="R258" s="17">
        <v>1.0</v>
      </c>
      <c r="S258" s="17">
        <v>1.0</v>
      </c>
      <c r="AN258" s="17"/>
      <c r="AO258" s="17">
        <v>1.0</v>
      </c>
      <c r="AP258" s="17">
        <v>1.0</v>
      </c>
      <c r="AW258" s="17">
        <v>1.0</v>
      </c>
      <c r="CD258" s="65" t="s">
        <v>1038</v>
      </c>
      <c r="CG258" s="65" t="s">
        <v>994</v>
      </c>
      <c r="CJ258" s="65" t="s">
        <v>888</v>
      </c>
      <c r="CN258" s="65" t="s">
        <v>888</v>
      </c>
      <c r="CP258" s="65" t="s">
        <v>888</v>
      </c>
      <c r="CR258" s="65" t="s">
        <v>888</v>
      </c>
    </row>
    <row r="259" hidden="1">
      <c r="A259" s="1" t="s">
        <v>1043</v>
      </c>
      <c r="B259" s="63">
        <v>2020.0</v>
      </c>
      <c r="C259" s="63">
        <v>2.0</v>
      </c>
      <c r="D259" s="63" t="str">
        <f>IFERROR(__xludf.DUMMYFUNCTION("if(regexmatch(E259,""Recycled""),""No"",""Yes"")"),"No")</f>
        <v>No</v>
      </c>
      <c r="E259" s="63" t="s">
        <v>899</v>
      </c>
      <c r="F259" s="63" t="s">
        <v>654</v>
      </c>
      <c r="G259" s="1" t="s">
        <v>655</v>
      </c>
      <c r="H259" s="1"/>
      <c r="I259" s="63"/>
      <c r="K259" s="73" t="s">
        <v>1045</v>
      </c>
      <c r="L259" s="64">
        <f t="shared" si="45"/>
        <v>1</v>
      </c>
      <c r="R259" s="17">
        <v>1.0</v>
      </c>
      <c r="Z259" s="17"/>
      <c r="AA259" s="17"/>
      <c r="AB259" s="17"/>
      <c r="AM259" s="17"/>
      <c r="AN259" s="17"/>
      <c r="AO259" s="17"/>
      <c r="AP259" s="17"/>
    </row>
    <row r="260">
      <c r="A260" s="1" t="s">
        <v>1043</v>
      </c>
      <c r="B260" s="63">
        <v>2025.0</v>
      </c>
      <c r="C260" s="63">
        <v>3.0</v>
      </c>
      <c r="D260" s="63" t="str">
        <f>IFERROR(__xludf.DUMMYFUNCTION("if(regexmatch(E260,""Recycled""),""No"",""Yes"")"),"Yes")</f>
        <v>Yes</v>
      </c>
      <c r="E260" s="63"/>
      <c r="F260" s="63" t="s">
        <v>660</v>
      </c>
      <c r="G260" s="2"/>
      <c r="H260" s="1"/>
      <c r="I260" s="1"/>
      <c r="J260" s="17" t="s">
        <v>1046</v>
      </c>
      <c r="K260" s="17"/>
      <c r="L260" s="64"/>
      <c r="R260" s="17"/>
      <c r="S260" s="17"/>
      <c r="Z260" s="17"/>
      <c r="AA260" s="17"/>
      <c r="AB260" s="17"/>
      <c r="AM260" s="17"/>
      <c r="AN260" s="17"/>
      <c r="AO260" s="17"/>
      <c r="AP260" s="17"/>
      <c r="CD260" s="65"/>
      <c r="CG260" s="65"/>
      <c r="CJ260" s="65"/>
      <c r="CN260" s="65"/>
      <c r="CP260" s="65"/>
      <c r="CR260" s="65"/>
    </row>
    <row r="261" hidden="1">
      <c r="A261" s="1" t="s">
        <v>1047</v>
      </c>
      <c r="B261" s="63">
        <v>2018.0</v>
      </c>
      <c r="C261" s="63">
        <v>1.0</v>
      </c>
      <c r="D261" s="63" t="str">
        <f>IFERROR(__xludf.DUMMYFUNCTION("if(regexmatch(E261,""Recycled""),""No"",""Yes"")"),"No")</f>
        <v>No</v>
      </c>
      <c r="E261" s="63" t="s">
        <v>653</v>
      </c>
      <c r="F261" s="63" t="s">
        <v>654</v>
      </c>
      <c r="G261" s="2"/>
      <c r="H261" s="1"/>
      <c r="I261" s="68" t="s">
        <v>1044</v>
      </c>
      <c r="K261" s="17" t="s">
        <v>853</v>
      </c>
      <c r="L261" s="64">
        <f t="shared" ref="L261:L262" si="46">SUM(M261:AW261)</f>
        <v>6</v>
      </c>
      <c r="R261" s="17">
        <v>1.0</v>
      </c>
      <c r="S261" s="17">
        <v>1.0</v>
      </c>
      <c r="Z261" s="17"/>
      <c r="AA261" s="17"/>
      <c r="AB261" s="17">
        <v>1.0</v>
      </c>
      <c r="AM261" s="17">
        <v>1.0</v>
      </c>
      <c r="AN261" s="17"/>
      <c r="AO261" s="17">
        <v>1.0</v>
      </c>
      <c r="AP261" s="17">
        <v>1.0</v>
      </c>
      <c r="CD261" s="65" t="s">
        <v>865</v>
      </c>
      <c r="CG261" s="65" t="s">
        <v>694</v>
      </c>
      <c r="CJ261" s="65" t="s">
        <v>888</v>
      </c>
      <c r="CN261" s="65" t="s">
        <v>888</v>
      </c>
      <c r="CP261" s="65" t="s">
        <v>888</v>
      </c>
      <c r="CR261" s="65" t="s">
        <v>888</v>
      </c>
    </row>
    <row r="262">
      <c r="A262" s="1" t="s">
        <v>1047</v>
      </c>
      <c r="B262" s="63">
        <v>2022.0</v>
      </c>
      <c r="C262" s="63">
        <v>2.0</v>
      </c>
      <c r="D262" s="63" t="str">
        <f>IFERROR(__xludf.DUMMYFUNCTION("if(regexmatch(E262,""Recycled""),""No"",""Yes"")"),"Yes")</f>
        <v>Yes</v>
      </c>
      <c r="E262" s="63" t="s">
        <v>943</v>
      </c>
      <c r="F262" s="63" t="s">
        <v>787</v>
      </c>
      <c r="G262" s="1" t="s">
        <v>1048</v>
      </c>
      <c r="H262" s="2"/>
      <c r="I262" s="69"/>
      <c r="J262" s="17" t="s">
        <v>911</v>
      </c>
      <c r="K262" s="82" t="s">
        <v>1049</v>
      </c>
      <c r="L262" s="64">
        <f t="shared" si="46"/>
        <v>1</v>
      </c>
      <c r="U262" s="17">
        <v>1.0</v>
      </c>
      <c r="ED262" s="66" t="s">
        <v>664</v>
      </c>
      <c r="EQ262" s="66" t="s">
        <v>664</v>
      </c>
    </row>
    <row r="263">
      <c r="A263" s="1" t="s">
        <v>1047</v>
      </c>
      <c r="B263" s="63">
        <v>2024.0</v>
      </c>
      <c r="C263" s="63">
        <v>3.0</v>
      </c>
      <c r="D263" s="63" t="str">
        <f>IFERROR(__xludf.DUMMYFUNCTION("if(regexmatch(E263,""Recycled""),""No"",""Yes"")"),"Yes")</f>
        <v>Yes</v>
      </c>
      <c r="E263" s="63"/>
      <c r="F263" s="63" t="s">
        <v>654</v>
      </c>
      <c r="G263" s="1"/>
      <c r="H263" s="1">
        <v>2.0</v>
      </c>
      <c r="I263" s="63" t="s">
        <v>1050</v>
      </c>
      <c r="J263" s="17" t="s">
        <v>913</v>
      </c>
      <c r="K263" s="44" t="s">
        <v>1051</v>
      </c>
      <c r="L263" s="64"/>
      <c r="AP263" s="17"/>
    </row>
    <row r="264" hidden="1">
      <c r="A264" s="1" t="s">
        <v>1052</v>
      </c>
      <c r="B264" s="63">
        <v>2022.0</v>
      </c>
      <c r="C264" s="63">
        <v>1.0</v>
      </c>
      <c r="D264" s="63" t="str">
        <f>IFERROR(__xludf.DUMMYFUNCTION("if(regexmatch(E264,""Recycled""),""No"",""Yes"")"),"No")</f>
        <v>No</v>
      </c>
      <c r="E264" s="63" t="s">
        <v>786</v>
      </c>
      <c r="F264" s="63" t="s">
        <v>660</v>
      </c>
      <c r="G264" s="1" t="s">
        <v>655</v>
      </c>
      <c r="H264" s="2"/>
      <c r="I264" s="69"/>
      <c r="J264" s="17" t="s">
        <v>1053</v>
      </c>
      <c r="K264" s="73" t="s">
        <v>1054</v>
      </c>
      <c r="L264" s="64">
        <f>SUM(M264:AW264)</f>
        <v>1</v>
      </c>
      <c r="AP264" s="17">
        <v>1.0</v>
      </c>
    </row>
    <row r="265">
      <c r="A265" s="1" t="s">
        <v>1052</v>
      </c>
      <c r="B265" s="63">
        <v>2024.0</v>
      </c>
      <c r="C265" s="63">
        <v>2.0</v>
      </c>
      <c r="D265" s="63" t="str">
        <f>IFERROR(__xludf.DUMMYFUNCTION("if(regexmatch(E265,""Recycled""),""No"",""Yes"")"),"Yes")</f>
        <v>Yes</v>
      </c>
      <c r="E265" s="63"/>
      <c r="F265" s="63" t="s">
        <v>660</v>
      </c>
      <c r="G265" s="1"/>
      <c r="H265" s="1">
        <v>2.0</v>
      </c>
      <c r="I265" s="63"/>
      <c r="J265" s="17" t="s">
        <v>1055</v>
      </c>
      <c r="K265" s="17"/>
      <c r="L265" s="6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83"/>
      <c r="AD265" s="83"/>
      <c r="AE265" s="83"/>
      <c r="AF265" s="3"/>
      <c r="AG265" s="3"/>
      <c r="AH265" s="3"/>
      <c r="AI265" s="83"/>
      <c r="AJ265" s="3"/>
      <c r="AK265" s="3"/>
      <c r="AL265" s="3"/>
      <c r="AM265" s="3"/>
      <c r="AN265" s="3"/>
      <c r="AO265" s="3"/>
      <c r="AP265" s="8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8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</row>
    <row r="266">
      <c r="A266" s="1" t="s">
        <v>1056</v>
      </c>
      <c r="B266" s="63">
        <v>2018.0</v>
      </c>
      <c r="C266" s="63">
        <v>1.0</v>
      </c>
      <c r="D266" s="63" t="str">
        <f>IFERROR(__xludf.DUMMYFUNCTION("if(regexmatch(E266,""Recycled""),""No"",""Yes"")"),"Yes")</f>
        <v>Yes</v>
      </c>
      <c r="E266" s="63" t="s">
        <v>22</v>
      </c>
      <c r="F266" s="63" t="s">
        <v>660</v>
      </c>
      <c r="G266" s="1" t="s">
        <v>655</v>
      </c>
      <c r="H266" s="1"/>
      <c r="I266" s="63"/>
      <c r="J266" s="18"/>
      <c r="K266" s="74" t="s">
        <v>1057</v>
      </c>
      <c r="L266" s="64">
        <f t="shared" ref="L266:L269" si="47">SUM(M266:AW266)</f>
        <v>2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83"/>
      <c r="AD266" s="83"/>
      <c r="AE266" s="83">
        <v>1.0</v>
      </c>
      <c r="AF266" s="3"/>
      <c r="AG266" s="3"/>
      <c r="AH266" s="3"/>
      <c r="AI266" s="83">
        <v>1.0</v>
      </c>
      <c r="AJ266" s="3"/>
      <c r="AK266" s="3"/>
      <c r="AL266" s="3"/>
      <c r="AM266" s="3"/>
      <c r="AN266" s="3"/>
      <c r="AO266" s="3"/>
      <c r="AP266" s="8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8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</row>
    <row r="267">
      <c r="A267" s="1" t="s">
        <v>1058</v>
      </c>
      <c r="B267" s="63">
        <v>2018.0</v>
      </c>
      <c r="C267" s="63">
        <v>1.0</v>
      </c>
      <c r="D267" s="63" t="str">
        <f>IFERROR(__xludf.DUMMYFUNCTION("if(regexmatch(E267,""Recycled""),""No"",""Yes"")"),"Yes")</f>
        <v>Yes</v>
      </c>
      <c r="E267" s="63" t="s">
        <v>22</v>
      </c>
      <c r="F267" s="63" t="s">
        <v>660</v>
      </c>
      <c r="G267" s="1" t="s">
        <v>655</v>
      </c>
      <c r="H267" s="1"/>
      <c r="I267" s="69"/>
      <c r="J267" s="18"/>
      <c r="K267" s="74" t="s">
        <v>1059</v>
      </c>
      <c r="L267" s="64">
        <f t="shared" si="47"/>
        <v>2</v>
      </c>
      <c r="AC267" s="17"/>
      <c r="AI267" s="17">
        <v>1.0</v>
      </c>
      <c r="AP267" s="17">
        <v>1.0</v>
      </c>
    </row>
    <row r="268" hidden="1">
      <c r="A268" s="1" t="s">
        <v>1060</v>
      </c>
      <c r="B268" s="63">
        <v>2018.0</v>
      </c>
      <c r="C268" s="63">
        <v>1.0</v>
      </c>
      <c r="D268" s="63" t="str">
        <f>IFERROR(__xludf.DUMMYFUNCTION("if(regexmatch(E268,""Recycled""),""No"",""Yes"")"),"No")</f>
        <v>No</v>
      </c>
      <c r="E268" s="63" t="s">
        <v>696</v>
      </c>
      <c r="F268" s="63" t="s">
        <v>660</v>
      </c>
      <c r="G268" s="1" t="s">
        <v>655</v>
      </c>
      <c r="H268" s="1"/>
      <c r="I268" s="69"/>
      <c r="J268" s="17" t="s">
        <v>1061</v>
      </c>
      <c r="L268" s="64">
        <f t="shared" si="47"/>
        <v>2</v>
      </c>
      <c r="M268" s="17">
        <v>1.0</v>
      </c>
      <c r="AE268" s="17">
        <v>1.0</v>
      </c>
    </row>
    <row r="269" hidden="1">
      <c r="A269" s="1" t="s">
        <v>1060</v>
      </c>
      <c r="B269" s="63">
        <v>2019.0</v>
      </c>
      <c r="C269" s="63">
        <v>2.0</v>
      </c>
      <c r="D269" s="63" t="str">
        <f>IFERROR(__xludf.DUMMYFUNCTION("if(regexmatch(E269,""Recycled""),""No"",""Yes"")"),"No")</f>
        <v>No</v>
      </c>
      <c r="E269" s="63" t="s">
        <v>786</v>
      </c>
      <c r="F269" s="63" t="s">
        <v>660</v>
      </c>
      <c r="G269" s="1" t="s">
        <v>655</v>
      </c>
      <c r="H269" s="1"/>
      <c r="I269" s="69"/>
      <c r="K269" s="73" t="s">
        <v>839</v>
      </c>
      <c r="L269" s="64">
        <f t="shared" si="47"/>
        <v>2</v>
      </c>
      <c r="Q269" s="17">
        <v>1.0</v>
      </c>
      <c r="S269" s="17"/>
      <c r="T269" s="17"/>
      <c r="U269" s="17"/>
      <c r="V269" s="17"/>
      <c r="AC269" s="17"/>
      <c r="AD269" s="17"/>
      <c r="AE269" s="17">
        <v>1.0</v>
      </c>
      <c r="CI269" s="91"/>
      <c r="CK269" s="91"/>
    </row>
    <row r="270">
      <c r="A270" s="1" t="s">
        <v>1060</v>
      </c>
      <c r="B270" s="63">
        <v>2024.0</v>
      </c>
      <c r="C270" s="63">
        <v>3.0</v>
      </c>
      <c r="D270" s="63" t="str">
        <f>IFERROR(__xludf.DUMMYFUNCTION("if(regexmatch(E270,""Recycled""),""No"",""Yes"")"),"Yes")</f>
        <v>Yes</v>
      </c>
      <c r="E270" s="63"/>
      <c r="F270" s="63" t="s">
        <v>654</v>
      </c>
      <c r="G270" s="2"/>
      <c r="H270" s="1">
        <v>2.0</v>
      </c>
      <c r="I270" s="63"/>
      <c r="J270" s="17" t="s">
        <v>1062</v>
      </c>
      <c r="L270" s="64"/>
      <c r="AJ270" s="17"/>
      <c r="AK270" s="17"/>
      <c r="AL270" s="17"/>
      <c r="AM270" s="17"/>
    </row>
    <row r="271" hidden="1">
      <c r="A271" s="1" t="s">
        <v>1063</v>
      </c>
      <c r="B271" s="63">
        <v>2018.0</v>
      </c>
      <c r="C271" s="63">
        <v>1.0</v>
      </c>
      <c r="D271" s="63" t="str">
        <f>IFERROR(__xludf.DUMMYFUNCTION("if(regexmatch(E271,""Recycled""),""No"",""Yes"")"),"No")</f>
        <v>No</v>
      </c>
      <c r="E271" s="63" t="s">
        <v>659</v>
      </c>
      <c r="F271" s="63" t="s">
        <v>660</v>
      </c>
      <c r="G271" s="1" t="s">
        <v>655</v>
      </c>
      <c r="H271" s="1"/>
      <c r="I271" s="69"/>
      <c r="L271" s="64">
        <f t="shared" ref="L271:L273" si="48">SUM(M271:AW271)</f>
        <v>1</v>
      </c>
      <c r="Q271" s="17">
        <v>1.0</v>
      </c>
      <c r="S271" s="17"/>
      <c r="T271" s="17"/>
      <c r="U271" s="17"/>
      <c r="CF271" s="65" t="s">
        <v>864</v>
      </c>
      <c r="CS271" s="66" t="s">
        <v>664</v>
      </c>
    </row>
    <row r="272" hidden="1">
      <c r="A272" s="1" t="s">
        <v>1063</v>
      </c>
      <c r="B272" s="63">
        <v>2021.0</v>
      </c>
      <c r="C272" s="63">
        <v>2.0</v>
      </c>
      <c r="D272" s="63" t="str">
        <f>IFERROR(__xludf.DUMMYFUNCTION("if(regexmatch(E272,""Recycled""),""No"",""Yes"")"),"No")</f>
        <v>No</v>
      </c>
      <c r="E272" s="63" t="s">
        <v>696</v>
      </c>
      <c r="F272" s="63" t="s">
        <v>654</v>
      </c>
      <c r="G272" s="1" t="s">
        <v>655</v>
      </c>
      <c r="H272" s="1"/>
      <c r="I272" s="63"/>
      <c r="L272" s="64">
        <f t="shared" si="48"/>
        <v>1</v>
      </c>
      <c r="Q272" s="17"/>
      <c r="R272" s="17"/>
      <c r="AM272" s="17">
        <v>1.0</v>
      </c>
    </row>
    <row r="273" hidden="1">
      <c r="A273" s="1" t="s">
        <v>1063</v>
      </c>
      <c r="B273" s="63">
        <v>2022.0</v>
      </c>
      <c r="C273" s="63">
        <v>3.0</v>
      </c>
      <c r="D273" s="63" t="str">
        <f>IFERROR(__xludf.DUMMYFUNCTION("if(regexmatch(E273,""Recycled""),""No"",""Yes"")"),"No")</f>
        <v>No</v>
      </c>
      <c r="E273" s="63" t="s">
        <v>786</v>
      </c>
      <c r="F273" s="63" t="s">
        <v>654</v>
      </c>
      <c r="G273" s="1" t="s">
        <v>655</v>
      </c>
      <c r="H273" s="1"/>
      <c r="I273" s="63"/>
      <c r="L273" s="64">
        <f t="shared" si="48"/>
        <v>1</v>
      </c>
      <c r="Q273" s="17"/>
      <c r="R273" s="17"/>
      <c r="AE273" s="17">
        <v>1.0</v>
      </c>
      <c r="CF273" s="65"/>
      <c r="CS273" s="66"/>
    </row>
    <row r="274">
      <c r="A274" s="1" t="s">
        <v>1063</v>
      </c>
      <c r="B274" s="63">
        <v>2024.0</v>
      </c>
      <c r="C274" s="63">
        <v>4.0</v>
      </c>
      <c r="D274" s="63" t="str">
        <f>IFERROR(__xludf.DUMMYFUNCTION("if(regexmatch(E274,""Recycled""),""No"",""Yes"")"),"Yes")</f>
        <v>Yes</v>
      </c>
      <c r="E274" s="63"/>
      <c r="F274" s="63" t="s">
        <v>660</v>
      </c>
      <c r="G274" s="1"/>
      <c r="H274" s="1">
        <v>3.0</v>
      </c>
      <c r="I274" s="63"/>
      <c r="J274" s="17" t="s">
        <v>1064</v>
      </c>
      <c r="L274" s="64"/>
      <c r="Q274" s="17"/>
      <c r="R274" s="17"/>
      <c r="CF274" s="65"/>
      <c r="CS274" s="66"/>
    </row>
    <row r="275" hidden="1">
      <c r="A275" s="1" t="s">
        <v>1065</v>
      </c>
      <c r="B275" s="63">
        <v>2018.0</v>
      </c>
      <c r="C275" s="63">
        <v>1.0</v>
      </c>
      <c r="D275" s="63" t="str">
        <f>IFERROR(__xludf.DUMMYFUNCTION("if(regexmatch(E275,""Recycled""),""No"",""Yes"")"),"No")</f>
        <v>No</v>
      </c>
      <c r="E275" s="63" t="s">
        <v>659</v>
      </c>
      <c r="F275" s="63" t="s">
        <v>660</v>
      </c>
      <c r="G275" s="1" t="s">
        <v>655</v>
      </c>
      <c r="H275" s="1"/>
      <c r="I275" s="63" t="s">
        <v>778</v>
      </c>
      <c r="L275" s="64">
        <f t="shared" ref="L275:L276" si="49">SUM(M275:AW275)</f>
        <v>2</v>
      </c>
      <c r="Q275" s="17">
        <v>1.0</v>
      </c>
      <c r="R275" s="17">
        <v>1.0</v>
      </c>
      <c r="CF275" s="65" t="s">
        <v>864</v>
      </c>
      <c r="CS275" s="66" t="s">
        <v>664</v>
      </c>
    </row>
    <row r="276" hidden="1">
      <c r="A276" s="1" t="s">
        <v>1065</v>
      </c>
      <c r="B276" s="63">
        <v>2021.0</v>
      </c>
      <c r="C276" s="63">
        <v>2.0</v>
      </c>
      <c r="D276" s="63" t="str">
        <f>IFERROR(__xludf.DUMMYFUNCTION("if(regexmatch(E276,""Recycled""),""No"",""Yes"")"),"No")</f>
        <v>No</v>
      </c>
      <c r="E276" s="63" t="s">
        <v>786</v>
      </c>
      <c r="F276" s="63" t="s">
        <v>654</v>
      </c>
      <c r="G276" s="1" t="s">
        <v>655</v>
      </c>
      <c r="H276" s="1"/>
      <c r="I276" s="69"/>
      <c r="K276" s="75" t="s">
        <v>825</v>
      </c>
      <c r="L276" s="64">
        <f t="shared" si="49"/>
        <v>1</v>
      </c>
      <c r="M276" s="17"/>
      <c r="AN276" s="17"/>
      <c r="AO276" s="17"/>
      <c r="AP276" s="17">
        <v>1.0</v>
      </c>
    </row>
    <row r="277">
      <c r="A277" s="1" t="s">
        <v>1065</v>
      </c>
      <c r="B277" s="63">
        <v>2024.0</v>
      </c>
      <c r="C277" s="63">
        <v>3.0</v>
      </c>
      <c r="D277" s="63" t="str">
        <f>IFERROR(__xludf.DUMMYFUNCTION("if(regexmatch(E277,""Recycled""),""No"",""Yes"")"),"Yes")</f>
        <v>Yes</v>
      </c>
      <c r="E277" s="63"/>
      <c r="F277" s="63" t="s">
        <v>654</v>
      </c>
      <c r="G277" s="1"/>
      <c r="H277" s="1">
        <v>2.0</v>
      </c>
      <c r="I277" s="69"/>
      <c r="J277" s="17" t="s">
        <v>1066</v>
      </c>
      <c r="K277" s="17"/>
      <c r="L277" s="64"/>
      <c r="M277" s="17"/>
      <c r="AN277" s="17"/>
      <c r="AW277" s="17"/>
    </row>
    <row r="278" hidden="1">
      <c r="A278" s="1" t="s">
        <v>1067</v>
      </c>
      <c r="B278" s="63">
        <v>2019.0</v>
      </c>
      <c r="C278" s="63">
        <v>1.0</v>
      </c>
      <c r="D278" s="63" t="str">
        <f>IFERROR(__xludf.DUMMYFUNCTION("if(regexmatch(E278,""Recycled""),""No"",""Yes"")"),"No")</f>
        <v>No</v>
      </c>
      <c r="E278" s="63" t="s">
        <v>696</v>
      </c>
      <c r="F278" s="63" t="s">
        <v>660</v>
      </c>
      <c r="G278" s="1" t="s">
        <v>655</v>
      </c>
      <c r="H278" s="1"/>
      <c r="I278" s="69"/>
      <c r="K278" s="17"/>
      <c r="L278" s="64">
        <f t="shared" ref="L278:L282" si="50">SUM(M278:AW278)</f>
        <v>1</v>
      </c>
      <c r="M278" s="17"/>
      <c r="AN278" s="17"/>
      <c r="AW278" s="17">
        <v>1.0</v>
      </c>
    </row>
    <row r="279" hidden="1">
      <c r="A279" s="18" t="s">
        <v>1067</v>
      </c>
      <c r="B279" s="63">
        <v>2023.0</v>
      </c>
      <c r="C279" s="63">
        <v>2.0</v>
      </c>
      <c r="D279" s="63" t="str">
        <f>IFERROR(__xludf.DUMMYFUNCTION("if(regexmatch(E279,""Recycled""),""No"",""Yes"")"),"No")</f>
        <v>No</v>
      </c>
      <c r="E279" s="63" t="s">
        <v>786</v>
      </c>
      <c r="F279" s="63" t="s">
        <v>654</v>
      </c>
      <c r="G279" s="2"/>
      <c r="H279" s="2"/>
      <c r="I279" s="69"/>
      <c r="K279" s="17" t="s">
        <v>1068</v>
      </c>
      <c r="L279" s="64">
        <f t="shared" si="50"/>
        <v>0</v>
      </c>
    </row>
    <row r="280" hidden="1">
      <c r="A280" s="1" t="s">
        <v>1069</v>
      </c>
      <c r="B280" s="63">
        <v>2018.0</v>
      </c>
      <c r="C280" s="63">
        <v>1.0</v>
      </c>
      <c r="D280" s="63" t="str">
        <f>IFERROR(__xludf.DUMMYFUNCTION("if(regexmatch(E280,""Recycled""),""No"",""Yes"")"),"No")</f>
        <v>No</v>
      </c>
      <c r="E280" s="63" t="s">
        <v>983</v>
      </c>
      <c r="F280" s="63" t="s">
        <v>660</v>
      </c>
      <c r="G280" s="1" t="s">
        <v>655</v>
      </c>
      <c r="H280" s="1"/>
      <c r="I280" s="63"/>
      <c r="L280" s="64">
        <f t="shared" si="50"/>
        <v>1</v>
      </c>
      <c r="M280" s="17">
        <v>1.0</v>
      </c>
      <c r="CJ280" s="68" t="s">
        <v>664</v>
      </c>
      <c r="CU280" s="68" t="s">
        <v>664</v>
      </c>
    </row>
    <row r="281" hidden="1">
      <c r="A281" s="18" t="s">
        <v>1069</v>
      </c>
      <c r="B281" s="63">
        <v>2023.0</v>
      </c>
      <c r="C281" s="63">
        <v>2.0</v>
      </c>
      <c r="D281" s="63" t="str">
        <f>IFERROR(__xludf.DUMMYFUNCTION("if(regexmatch(E281,""Recycled""),""No"",""Yes"")"),"No")</f>
        <v>No</v>
      </c>
      <c r="E281" s="63" t="s">
        <v>786</v>
      </c>
      <c r="F281" s="63" t="s">
        <v>787</v>
      </c>
      <c r="G281" s="1" t="s">
        <v>655</v>
      </c>
      <c r="H281" s="2"/>
      <c r="I281" s="69"/>
      <c r="K281" s="73" t="s">
        <v>839</v>
      </c>
      <c r="L281" s="64">
        <f t="shared" si="50"/>
        <v>1</v>
      </c>
      <c r="AE281" s="17">
        <v>1.0</v>
      </c>
    </row>
    <row r="282" hidden="1">
      <c r="A282" s="1" t="s">
        <v>1070</v>
      </c>
      <c r="B282" s="63">
        <v>2018.0</v>
      </c>
      <c r="C282" s="63">
        <v>1.0</v>
      </c>
      <c r="D282" s="63" t="str">
        <f>IFERROR(__xludf.DUMMYFUNCTION("if(regexmatch(E282,""Recycled""),""No"",""Yes"")"),"No")</f>
        <v>No</v>
      </c>
      <c r="E282" s="63" t="s">
        <v>786</v>
      </c>
      <c r="F282" s="63" t="s">
        <v>660</v>
      </c>
      <c r="G282" s="1" t="s">
        <v>655</v>
      </c>
      <c r="H282" s="1"/>
      <c r="I282" s="69"/>
      <c r="K282" s="75" t="s">
        <v>825</v>
      </c>
      <c r="L282" s="64">
        <f t="shared" si="50"/>
        <v>2</v>
      </c>
      <c r="M282" s="17">
        <v>1.0</v>
      </c>
      <c r="AC282" s="17"/>
      <c r="AD282" s="17"/>
      <c r="AE282" s="17">
        <v>1.0</v>
      </c>
    </row>
    <row r="283">
      <c r="A283" s="1" t="s">
        <v>1070</v>
      </c>
      <c r="B283" s="63">
        <v>2024.0</v>
      </c>
      <c r="C283" s="63">
        <v>2.0</v>
      </c>
      <c r="D283" s="63" t="str">
        <f>IFERROR(__xludf.DUMMYFUNCTION("if(regexmatch(E283,""Recycled""),""No"",""Yes"")"),"Yes")</f>
        <v>Yes</v>
      </c>
      <c r="E283" s="63"/>
      <c r="F283" s="63" t="s">
        <v>654</v>
      </c>
      <c r="G283" s="2"/>
      <c r="H283" s="1">
        <v>1.0</v>
      </c>
      <c r="I283" s="63"/>
      <c r="J283" s="17" t="s">
        <v>1071</v>
      </c>
      <c r="K283" s="17"/>
      <c r="L283" s="64"/>
      <c r="AJ283" s="17"/>
      <c r="AK283" s="17"/>
      <c r="AL283" s="17"/>
      <c r="AM283" s="17"/>
    </row>
    <row r="284" hidden="1">
      <c r="A284" s="1" t="s">
        <v>1072</v>
      </c>
      <c r="B284" s="63">
        <v>2021.0</v>
      </c>
      <c r="C284" s="63">
        <v>1.0</v>
      </c>
      <c r="D284" s="63" t="str">
        <f>IFERROR(__xludf.DUMMYFUNCTION("if(regexmatch(E284,""Recycled""),""No"",""Yes"")"),"No")</f>
        <v>No</v>
      </c>
      <c r="E284" s="63" t="s">
        <v>696</v>
      </c>
      <c r="F284" s="63" t="s">
        <v>654</v>
      </c>
      <c r="G284" s="2"/>
      <c r="H284" s="1"/>
      <c r="I284" s="63"/>
      <c r="K284" s="17"/>
      <c r="L284" s="64">
        <f t="shared" ref="L284:L288" si="51">SUM(M284:AW284)</f>
        <v>0</v>
      </c>
      <c r="AJ284" s="17"/>
      <c r="AK284" s="17"/>
      <c r="AL284" s="17"/>
      <c r="AM284" s="17"/>
    </row>
    <row r="285">
      <c r="A285" s="1" t="s">
        <v>1072</v>
      </c>
      <c r="B285" s="63">
        <v>2022.0</v>
      </c>
      <c r="C285" s="63">
        <v>2.0</v>
      </c>
      <c r="D285" s="63" t="str">
        <f>IFERROR(__xludf.DUMMYFUNCTION("if(regexmatch(E285,""Recycled""),""No"",""Yes"")"),"Yes")</f>
        <v>Yes</v>
      </c>
      <c r="E285" s="63" t="s">
        <v>943</v>
      </c>
      <c r="F285" s="63" t="s">
        <v>787</v>
      </c>
      <c r="G285" s="1" t="s">
        <v>655</v>
      </c>
      <c r="H285" s="2"/>
      <c r="I285" s="69"/>
      <c r="J285" s="17" t="s">
        <v>911</v>
      </c>
      <c r="K285" s="44" t="s">
        <v>1073</v>
      </c>
      <c r="L285" s="64">
        <f t="shared" si="51"/>
        <v>1</v>
      </c>
      <c r="AP285" s="17">
        <v>1.0</v>
      </c>
      <c r="ED285" s="66" t="s">
        <v>664</v>
      </c>
      <c r="EQ285" s="66" t="s">
        <v>664</v>
      </c>
    </row>
    <row r="286" hidden="1">
      <c r="A286" s="1" t="s">
        <v>1074</v>
      </c>
      <c r="B286" s="63">
        <v>2020.0</v>
      </c>
      <c r="C286" s="63">
        <v>1.0</v>
      </c>
      <c r="D286" s="63" t="str">
        <f>IFERROR(__xludf.DUMMYFUNCTION("if(regexmatch(E286,""Recycled""),""No"",""Yes"")"),"No")</f>
        <v>No</v>
      </c>
      <c r="E286" s="63" t="s">
        <v>857</v>
      </c>
      <c r="F286" s="63" t="s">
        <v>660</v>
      </c>
      <c r="G286" s="1" t="s">
        <v>655</v>
      </c>
      <c r="H286" s="1"/>
      <c r="I286" s="63"/>
      <c r="K286" s="17"/>
      <c r="L286" s="64">
        <f t="shared" si="51"/>
        <v>1</v>
      </c>
      <c r="AJ286" s="17"/>
      <c r="AK286" s="17"/>
      <c r="AL286" s="17"/>
      <c r="AM286" s="17"/>
      <c r="AW286" s="17">
        <v>1.0</v>
      </c>
    </row>
    <row r="287">
      <c r="A287" s="18" t="s">
        <v>1074</v>
      </c>
      <c r="B287" s="63">
        <v>2023.0</v>
      </c>
      <c r="C287" s="63">
        <v>2.0</v>
      </c>
      <c r="D287" s="63" t="str">
        <f>IFERROR(__xludf.DUMMYFUNCTION("if(regexmatch(E287,""Recycled""),""No"",""Yes"")"),"Yes")</f>
        <v>Yes</v>
      </c>
      <c r="E287" s="63" t="s">
        <v>22</v>
      </c>
      <c r="F287" s="63" t="s">
        <v>787</v>
      </c>
      <c r="G287" s="1" t="s">
        <v>655</v>
      </c>
      <c r="H287" s="2"/>
      <c r="I287" s="69"/>
      <c r="K287" s="73" t="s">
        <v>1075</v>
      </c>
      <c r="L287" s="64">
        <f t="shared" si="51"/>
        <v>1</v>
      </c>
      <c r="AV287" s="17">
        <v>1.0</v>
      </c>
    </row>
    <row r="288" hidden="1">
      <c r="A288" s="1" t="s">
        <v>1076</v>
      </c>
      <c r="B288" s="63">
        <v>2018.0</v>
      </c>
      <c r="C288" s="63">
        <v>1.0</v>
      </c>
      <c r="D288" s="63" t="str">
        <f>IFERROR(__xludf.DUMMYFUNCTION("if(regexmatch(E288,""Recycled""),""No"",""Yes"")"),"No")</f>
        <v>No</v>
      </c>
      <c r="E288" s="63" t="s">
        <v>876</v>
      </c>
      <c r="F288" s="63" t="s">
        <v>660</v>
      </c>
      <c r="G288" s="1" t="s">
        <v>655</v>
      </c>
      <c r="H288" s="1"/>
      <c r="I288" s="69"/>
      <c r="K288" s="75" t="s">
        <v>825</v>
      </c>
      <c r="L288" s="64">
        <f t="shared" si="51"/>
        <v>1</v>
      </c>
      <c r="AC288" s="17"/>
      <c r="AD288" s="17"/>
      <c r="AE288" s="17">
        <v>1.0</v>
      </c>
      <c r="CG288" s="66" t="s">
        <v>664</v>
      </c>
      <c r="CU288" s="68" t="s">
        <v>664</v>
      </c>
    </row>
    <row r="289">
      <c r="A289" s="1" t="s">
        <v>1076</v>
      </c>
      <c r="B289" s="63">
        <v>2024.0</v>
      </c>
      <c r="C289" s="63">
        <v>2.0</v>
      </c>
      <c r="D289" s="63" t="str">
        <f>IFERROR(__xludf.DUMMYFUNCTION("if(regexmatch(E289,""Recycled""),""No"",""Yes"")"),"Yes")</f>
        <v>Yes</v>
      </c>
      <c r="E289" s="63"/>
      <c r="F289" s="63" t="s">
        <v>660</v>
      </c>
      <c r="G289" s="1"/>
      <c r="H289" s="1">
        <v>2.0</v>
      </c>
      <c r="I289" s="69"/>
      <c r="J289" s="17" t="s">
        <v>1077</v>
      </c>
      <c r="K289" s="69"/>
      <c r="L289" s="64"/>
      <c r="M289" s="17"/>
      <c r="CG289" s="65"/>
      <c r="CU289" s="68"/>
    </row>
    <row r="290" hidden="1">
      <c r="A290" s="1" t="s">
        <v>1078</v>
      </c>
      <c r="B290" s="63">
        <v>2018.0</v>
      </c>
      <c r="C290" s="63">
        <v>1.0</v>
      </c>
      <c r="D290" s="63" t="str">
        <f>IFERROR(__xludf.DUMMYFUNCTION("if(regexmatch(E290,""Recycled""),""No"",""Yes"")"),"No")</f>
        <v>No</v>
      </c>
      <c r="E290" s="63" t="s">
        <v>1079</v>
      </c>
      <c r="F290" s="63" t="s">
        <v>660</v>
      </c>
      <c r="G290" s="1" t="s">
        <v>655</v>
      </c>
      <c r="H290" s="1"/>
      <c r="I290" s="69"/>
      <c r="K290" s="75" t="s">
        <v>825</v>
      </c>
      <c r="L290" s="64">
        <f>SUM(M290:AW290)</f>
        <v>1</v>
      </c>
      <c r="M290" s="17">
        <v>1.0</v>
      </c>
      <c r="CG290" s="65" t="s">
        <v>694</v>
      </c>
      <c r="CU290" s="68" t="s">
        <v>664</v>
      </c>
    </row>
    <row r="291">
      <c r="A291" s="1" t="s">
        <v>1078</v>
      </c>
      <c r="B291" s="63">
        <v>2025.0</v>
      </c>
      <c r="C291" s="63">
        <v>2.0</v>
      </c>
      <c r="D291" s="63" t="str">
        <f>IFERROR(__xludf.DUMMYFUNCTION("if(regexmatch(E291,""Recycled""),""No"",""Yes"")"),"Yes")</f>
        <v>Yes</v>
      </c>
      <c r="E291" s="63"/>
      <c r="F291" s="63" t="s">
        <v>660</v>
      </c>
      <c r="G291" s="1"/>
      <c r="H291" s="1"/>
      <c r="I291" s="69"/>
      <c r="J291" s="17" t="s">
        <v>1080</v>
      </c>
      <c r="L291" s="64"/>
      <c r="M291" s="17"/>
      <c r="CG291" s="65"/>
    </row>
    <row r="292" hidden="1">
      <c r="A292" s="1" t="s">
        <v>1081</v>
      </c>
      <c r="B292" s="63">
        <v>2018.0</v>
      </c>
      <c r="C292" s="63">
        <v>1.0</v>
      </c>
      <c r="D292" s="63" t="str">
        <f>IFERROR(__xludf.DUMMYFUNCTION("if(regexmatch(E292,""Recycled""),""No"",""Yes"")"),"No")</f>
        <v>No</v>
      </c>
      <c r="E292" s="63" t="s">
        <v>899</v>
      </c>
      <c r="F292" s="63" t="s">
        <v>660</v>
      </c>
      <c r="G292" s="1" t="s">
        <v>655</v>
      </c>
      <c r="H292" s="1"/>
      <c r="I292" s="69"/>
      <c r="K292" s="44" t="s">
        <v>1082</v>
      </c>
      <c r="L292" s="64">
        <f>SUM(M292:AW292)</f>
        <v>1</v>
      </c>
      <c r="M292" s="17">
        <v>1.0</v>
      </c>
      <c r="CG292" s="65" t="s">
        <v>994</v>
      </c>
    </row>
    <row r="293">
      <c r="A293" s="1" t="s">
        <v>1081</v>
      </c>
      <c r="B293" s="63">
        <v>2025.0</v>
      </c>
      <c r="C293" s="63">
        <v>2.0</v>
      </c>
      <c r="D293" s="63" t="str">
        <f>IFERROR(__xludf.DUMMYFUNCTION("if(regexmatch(E293,""Recycled""),""No"",""Yes"")"),"Yes")</f>
        <v>Yes</v>
      </c>
      <c r="E293" s="63"/>
      <c r="F293" s="63" t="s">
        <v>660</v>
      </c>
      <c r="G293" s="1"/>
      <c r="H293" s="1"/>
      <c r="I293" s="69"/>
      <c r="J293" s="17" t="s">
        <v>1083</v>
      </c>
      <c r="L293" s="64"/>
      <c r="M293" s="17"/>
      <c r="CG293" s="65"/>
    </row>
    <row r="294" hidden="1">
      <c r="A294" s="1" t="s">
        <v>1084</v>
      </c>
      <c r="B294" s="63">
        <v>2018.0</v>
      </c>
      <c r="C294" s="63">
        <v>1.0</v>
      </c>
      <c r="D294" s="63" t="str">
        <f>IFERROR(__xludf.DUMMYFUNCTION("if(regexmatch(E294,""Recycled""),""No"",""Yes"")"),"No")</f>
        <v>No</v>
      </c>
      <c r="E294" s="63" t="s">
        <v>696</v>
      </c>
      <c r="F294" s="63" t="s">
        <v>660</v>
      </c>
      <c r="G294" s="1" t="s">
        <v>31</v>
      </c>
      <c r="H294" s="1"/>
      <c r="I294" s="69"/>
      <c r="L294" s="64">
        <f t="shared" ref="L294:L295" si="52">SUM(M294:AW294)</f>
        <v>1</v>
      </c>
      <c r="M294" s="17">
        <v>1.0</v>
      </c>
      <c r="CG294" s="65" t="s">
        <v>694</v>
      </c>
    </row>
    <row r="295" hidden="1">
      <c r="A295" s="1" t="s">
        <v>1084</v>
      </c>
      <c r="B295" s="63">
        <v>2019.0</v>
      </c>
      <c r="C295" s="63">
        <v>2.0</v>
      </c>
      <c r="D295" s="63" t="str">
        <f>IFERROR(__xludf.DUMMYFUNCTION("if(regexmatch(E295,""Recycled""),""No"",""Yes"")"),"No")</f>
        <v>No</v>
      </c>
      <c r="E295" s="63" t="s">
        <v>786</v>
      </c>
      <c r="F295" s="63" t="s">
        <v>660</v>
      </c>
      <c r="G295" s="1" t="s">
        <v>655</v>
      </c>
      <c r="H295" s="1"/>
      <c r="I295" s="69"/>
      <c r="J295" s="17"/>
      <c r="L295" s="64">
        <f t="shared" si="52"/>
        <v>1</v>
      </c>
      <c r="M295" s="17"/>
      <c r="V295" s="17">
        <v>1.0</v>
      </c>
    </row>
    <row r="296">
      <c r="A296" s="1" t="s">
        <v>1084</v>
      </c>
      <c r="B296" s="63">
        <v>2024.0</v>
      </c>
      <c r="C296" s="63">
        <v>3.0</v>
      </c>
      <c r="D296" s="63" t="str">
        <f>IFERROR(__xludf.DUMMYFUNCTION("if(regexmatch(E296,""Recycled""),""No"",""Yes"")"),"Yes")</f>
        <v>Yes</v>
      </c>
      <c r="E296" s="63"/>
      <c r="F296" s="63" t="s">
        <v>660</v>
      </c>
      <c r="G296" s="1"/>
      <c r="H296" s="1">
        <v>2.0</v>
      </c>
      <c r="I296" s="69"/>
      <c r="J296" s="17" t="s">
        <v>1085</v>
      </c>
      <c r="L296" s="64"/>
      <c r="R296" s="17"/>
      <c r="AC296" s="17"/>
      <c r="AD296" s="17"/>
      <c r="AE296" s="17"/>
      <c r="CI296" s="68"/>
    </row>
    <row r="297">
      <c r="A297" s="1" t="s">
        <v>1086</v>
      </c>
      <c r="B297" s="63">
        <v>2024.0</v>
      </c>
      <c r="C297" s="63">
        <v>1.0</v>
      </c>
      <c r="D297" s="63" t="str">
        <f>IFERROR(__xludf.DUMMYFUNCTION("if(regexmatch(E297,""Recycled""),""No"",""Yes"")"),"Yes")</f>
        <v>Yes</v>
      </c>
      <c r="E297" s="63"/>
      <c r="F297" s="63" t="s">
        <v>660</v>
      </c>
      <c r="G297" s="1"/>
      <c r="H297" s="1">
        <v>2.0</v>
      </c>
      <c r="I297" s="69"/>
      <c r="J297" s="1" t="s">
        <v>1087</v>
      </c>
      <c r="K297" s="1"/>
      <c r="L297" s="64"/>
      <c r="R297" s="17"/>
      <c r="AC297" s="17"/>
      <c r="AD297" s="17"/>
      <c r="AE297" s="17"/>
      <c r="CI297" s="68"/>
    </row>
    <row r="298" hidden="1">
      <c r="A298" s="1" t="s">
        <v>1088</v>
      </c>
      <c r="B298" s="63">
        <v>2018.0</v>
      </c>
      <c r="C298" s="63">
        <v>1.0</v>
      </c>
      <c r="D298" s="63" t="str">
        <f>IFERROR(__xludf.DUMMYFUNCTION("if(regexmatch(E298,""Recycled""),""No"",""Yes"")"),"No")</f>
        <v>No</v>
      </c>
      <c r="E298" s="63" t="s">
        <v>786</v>
      </c>
      <c r="F298" s="63" t="s">
        <v>660</v>
      </c>
      <c r="G298" s="1" t="s">
        <v>655</v>
      </c>
      <c r="H298" s="1"/>
      <c r="I298" s="69"/>
      <c r="J298" s="17" t="s">
        <v>1089</v>
      </c>
      <c r="K298" s="41" t="s">
        <v>823</v>
      </c>
      <c r="L298" s="64">
        <f>SUM(M298:AW298)</f>
        <v>2</v>
      </c>
      <c r="R298" s="17">
        <v>1.0</v>
      </c>
      <c r="AC298" s="17"/>
      <c r="AD298" s="17"/>
      <c r="AE298" s="17">
        <v>1.0</v>
      </c>
      <c r="CI298" s="68" t="s">
        <v>11</v>
      </c>
    </row>
    <row r="299">
      <c r="A299" s="1" t="s">
        <v>1088</v>
      </c>
      <c r="B299" s="63">
        <v>2025.0</v>
      </c>
      <c r="C299" s="63">
        <v>2.0</v>
      </c>
      <c r="D299" s="63" t="str">
        <f>IFERROR(__xludf.DUMMYFUNCTION("if(regexmatch(E299,""Recycled""),""No"",""Yes"")"),"Yes")</f>
        <v>Yes</v>
      </c>
      <c r="E299" s="63"/>
      <c r="F299" s="63" t="s">
        <v>787</v>
      </c>
      <c r="G299" s="1"/>
      <c r="H299" s="1"/>
      <c r="I299" s="69"/>
      <c r="J299" s="17" t="s">
        <v>1090</v>
      </c>
      <c r="K299" s="17"/>
      <c r="L299" s="64"/>
      <c r="M299" s="17"/>
      <c r="CI299" s="68"/>
    </row>
    <row r="300" hidden="1">
      <c r="A300" s="1" t="s">
        <v>1091</v>
      </c>
      <c r="B300" s="63">
        <v>2018.0</v>
      </c>
      <c r="C300" s="63">
        <v>1.0</v>
      </c>
      <c r="D300" s="63" t="str">
        <f>IFERROR(__xludf.DUMMYFUNCTION("if(regexmatch(E300,""Recycled""),""No"",""Yes"")"),"No")</f>
        <v>No</v>
      </c>
      <c r="E300" s="63" t="s">
        <v>899</v>
      </c>
      <c r="F300" s="63" t="s">
        <v>660</v>
      </c>
      <c r="G300" s="1" t="s">
        <v>655</v>
      </c>
      <c r="H300" s="1"/>
      <c r="I300" s="69"/>
      <c r="J300" s="17" t="s">
        <v>1089</v>
      </c>
      <c r="K300" s="44" t="s">
        <v>1092</v>
      </c>
      <c r="L300" s="64">
        <f>SUM(M300:AW300)</f>
        <v>1</v>
      </c>
      <c r="M300" s="17">
        <v>1.0</v>
      </c>
      <c r="CI300" s="68" t="s">
        <v>11</v>
      </c>
    </row>
    <row r="301">
      <c r="A301" s="1" t="s">
        <v>1091</v>
      </c>
      <c r="B301" s="63">
        <v>2025.0</v>
      </c>
      <c r="C301" s="63">
        <v>2.0</v>
      </c>
      <c r="D301" s="63" t="str">
        <f>IFERROR(__xludf.DUMMYFUNCTION("if(regexmatch(E301,""Recycled""),""No"",""Yes"")"),"Yes")</f>
        <v>Yes</v>
      </c>
      <c r="E301" s="63"/>
      <c r="F301" s="63" t="s">
        <v>660</v>
      </c>
      <c r="G301" s="1"/>
      <c r="H301" s="2"/>
      <c r="I301" s="69"/>
      <c r="J301" s="17" t="s">
        <v>1093</v>
      </c>
      <c r="L301" s="64"/>
    </row>
    <row r="302" hidden="1">
      <c r="A302" s="1" t="s">
        <v>1094</v>
      </c>
      <c r="B302" s="63">
        <v>2018.0</v>
      </c>
      <c r="C302" s="63">
        <v>1.0</v>
      </c>
      <c r="D302" s="63" t="str">
        <f>IFERROR(__xludf.DUMMYFUNCTION("if(regexmatch(E302,""Recycled""),""No"",""Yes"")"),"No")</f>
        <v>No</v>
      </c>
      <c r="E302" s="63" t="s">
        <v>696</v>
      </c>
      <c r="F302" s="63" t="s">
        <v>660</v>
      </c>
      <c r="G302" s="1"/>
      <c r="H302" s="2"/>
      <c r="I302" s="69"/>
      <c r="J302" s="18"/>
      <c r="L302" s="64">
        <f t="shared" ref="L302:L303" si="53">SUM(M302:AW302)</f>
        <v>0</v>
      </c>
    </row>
    <row r="303" hidden="1">
      <c r="A303" s="1" t="s">
        <v>1094</v>
      </c>
      <c r="B303" s="63">
        <v>2021.0</v>
      </c>
      <c r="C303" s="63">
        <v>2.0</v>
      </c>
      <c r="D303" s="63" t="str">
        <f>IFERROR(__xludf.DUMMYFUNCTION("if(regexmatch(E303,""Recycled""),""No"",""Yes"")"),"No")</f>
        <v>No</v>
      </c>
      <c r="E303" s="63" t="s">
        <v>696</v>
      </c>
      <c r="F303" s="63" t="s">
        <v>654</v>
      </c>
      <c r="G303" s="1" t="s">
        <v>655</v>
      </c>
      <c r="H303" s="1"/>
      <c r="I303" s="63"/>
      <c r="L303" s="64">
        <f t="shared" si="53"/>
        <v>1</v>
      </c>
      <c r="M303" s="17"/>
      <c r="AC303" s="17"/>
      <c r="AD303" s="17"/>
      <c r="AE303" s="17"/>
      <c r="AM303" s="17">
        <v>1.0</v>
      </c>
      <c r="AN303" s="17"/>
      <c r="AO303" s="17"/>
      <c r="AP303" s="17"/>
    </row>
    <row r="304" hidden="1">
      <c r="A304" s="1" t="s">
        <v>1094</v>
      </c>
      <c r="B304" s="63">
        <v>2022.0</v>
      </c>
      <c r="C304" s="63">
        <v>3.0</v>
      </c>
      <c r="D304" s="63" t="str">
        <f>IFERROR(__xludf.DUMMYFUNCTION("if(regexmatch(E304,""Recycled""),""No"",""Yes"")"),"No")</f>
        <v>No</v>
      </c>
      <c r="E304" s="63" t="s">
        <v>786</v>
      </c>
      <c r="F304" s="63" t="s">
        <v>654</v>
      </c>
      <c r="G304" s="1" t="s">
        <v>655</v>
      </c>
      <c r="H304" s="1"/>
      <c r="I304" s="63"/>
      <c r="J304" s="17"/>
      <c r="K304" s="75" t="s">
        <v>825</v>
      </c>
      <c r="L304" s="64"/>
      <c r="M304" s="17"/>
      <c r="AC304" s="17"/>
      <c r="AD304" s="17"/>
      <c r="AE304" s="17">
        <v>1.0</v>
      </c>
      <c r="AN304" s="17"/>
      <c r="AO304" s="17"/>
      <c r="AP304" s="17"/>
    </row>
    <row r="305">
      <c r="A305" s="1" t="s">
        <v>1094</v>
      </c>
      <c r="B305" s="63">
        <v>2024.0</v>
      </c>
      <c r="C305" s="63">
        <v>4.0</v>
      </c>
      <c r="D305" s="63" t="str">
        <f>IFERROR(__xludf.DUMMYFUNCTION("if(regexmatch(E305,""Recycled""),""No"",""Yes"")"),"Yes")</f>
        <v>Yes</v>
      </c>
      <c r="E305" s="63"/>
      <c r="F305" s="63" t="s">
        <v>654</v>
      </c>
      <c r="G305" s="1"/>
      <c r="H305" s="1">
        <v>1.0</v>
      </c>
      <c r="I305" s="1"/>
      <c r="J305" s="17" t="s">
        <v>1095</v>
      </c>
      <c r="K305" s="17"/>
      <c r="L305" s="64"/>
      <c r="M305" s="17"/>
      <c r="AC305" s="17"/>
      <c r="AD305" s="17"/>
      <c r="AE305" s="17"/>
      <c r="AN305" s="17"/>
      <c r="AO305" s="17"/>
      <c r="AP305" s="17"/>
    </row>
    <row r="306" hidden="1">
      <c r="A306" s="1" t="s">
        <v>1096</v>
      </c>
      <c r="B306" s="63">
        <v>2018.0</v>
      </c>
      <c r="C306" s="63">
        <v>1.0</v>
      </c>
      <c r="D306" s="63" t="str">
        <f>IFERROR(__xludf.DUMMYFUNCTION("if(regexmatch(E306,""Recycled""),""No"",""Yes"")"),"No")</f>
        <v>No</v>
      </c>
      <c r="E306" s="63" t="s">
        <v>653</v>
      </c>
      <c r="F306" s="63" t="s">
        <v>654</v>
      </c>
      <c r="G306" s="1" t="s">
        <v>1097</v>
      </c>
      <c r="H306" s="1"/>
      <c r="I306" s="67" t="s">
        <v>1098</v>
      </c>
      <c r="J306" s="17" t="s">
        <v>1099</v>
      </c>
      <c r="K306" s="17"/>
      <c r="L306" s="64">
        <f t="shared" ref="L306:L307" si="54">SUM(M306:AW306)</f>
        <v>4</v>
      </c>
      <c r="M306" s="17">
        <v>1.0</v>
      </c>
      <c r="AC306" s="17"/>
      <c r="AD306" s="17"/>
      <c r="AE306" s="17">
        <v>1.0</v>
      </c>
      <c r="AN306" s="17"/>
      <c r="AO306" s="17">
        <v>1.0</v>
      </c>
      <c r="AP306" s="17">
        <v>1.0</v>
      </c>
      <c r="CI306" s="65" t="s">
        <v>1100</v>
      </c>
      <c r="CK306" s="65" t="s">
        <v>1100</v>
      </c>
      <c r="CM306" s="67" t="s">
        <v>1101</v>
      </c>
      <c r="CO306" s="67" t="s">
        <v>1102</v>
      </c>
      <c r="CQ306" s="67" t="s">
        <v>1102</v>
      </c>
      <c r="CS306" s="67" t="s">
        <v>860</v>
      </c>
      <c r="CU306" s="67" t="s">
        <v>1103</v>
      </c>
    </row>
    <row r="307" hidden="1">
      <c r="A307" s="1" t="s">
        <v>1096</v>
      </c>
      <c r="B307" s="63">
        <v>2020.0</v>
      </c>
      <c r="C307" s="63">
        <v>2.0</v>
      </c>
      <c r="D307" s="63" t="str">
        <f>IFERROR(__xludf.DUMMYFUNCTION("if(regexmatch(E307,""Recycled""),""No"",""Yes"")"),"No")</f>
        <v>No</v>
      </c>
      <c r="E307" s="63" t="s">
        <v>786</v>
      </c>
      <c r="F307" s="63" t="s">
        <v>654</v>
      </c>
      <c r="G307" s="1" t="s">
        <v>655</v>
      </c>
      <c r="H307" s="1"/>
      <c r="I307" s="63"/>
      <c r="K307" s="75" t="s">
        <v>825</v>
      </c>
      <c r="L307" s="64">
        <f t="shared" si="54"/>
        <v>2</v>
      </c>
      <c r="M307" s="17">
        <v>1.0</v>
      </c>
      <c r="AC307" s="17"/>
      <c r="AD307" s="17"/>
      <c r="AE307" s="17">
        <v>1.0</v>
      </c>
      <c r="AN307" s="17"/>
      <c r="AO307" s="17"/>
      <c r="AP307" s="17"/>
    </row>
    <row r="308">
      <c r="A308" s="1" t="s">
        <v>1096</v>
      </c>
      <c r="B308" s="63">
        <v>2024.0</v>
      </c>
      <c r="C308" s="63">
        <v>3.0</v>
      </c>
      <c r="D308" s="63" t="str">
        <f>IFERROR(__xludf.DUMMYFUNCTION("if(regexmatch(E308,""Recycled""),""No"",""Yes"")"),"Yes")</f>
        <v>Yes</v>
      </c>
      <c r="E308" s="63"/>
      <c r="F308" s="63" t="s">
        <v>654</v>
      </c>
      <c r="G308" s="1"/>
      <c r="H308" s="1">
        <v>1.0</v>
      </c>
      <c r="I308" s="69"/>
      <c r="J308" s="17" t="s">
        <v>1104</v>
      </c>
      <c r="L308" s="64"/>
      <c r="M308" s="17"/>
      <c r="O308" s="17"/>
      <c r="P308" s="17"/>
      <c r="Q308" s="17"/>
      <c r="CI308" s="67"/>
      <c r="CO308" s="68"/>
      <c r="CU308" s="67"/>
    </row>
    <row r="309" hidden="1">
      <c r="A309" s="1" t="s">
        <v>1105</v>
      </c>
      <c r="B309" s="63">
        <v>2018.0</v>
      </c>
      <c r="C309" s="63">
        <v>1.0</v>
      </c>
      <c r="D309" s="63" t="str">
        <f>IFERROR(__xludf.DUMMYFUNCTION("if(regexmatch(E309,""Recycled""),""No"",""Yes"")"),"No")</f>
        <v>No</v>
      </c>
      <c r="E309" s="63" t="s">
        <v>876</v>
      </c>
      <c r="F309" s="63" t="s">
        <v>660</v>
      </c>
      <c r="G309" s="1" t="s">
        <v>655</v>
      </c>
      <c r="H309" s="1"/>
      <c r="I309" s="69"/>
      <c r="K309" s="41" t="s">
        <v>861</v>
      </c>
      <c r="L309" s="64">
        <f>SUM(M309:AW309)</f>
        <v>3</v>
      </c>
      <c r="M309" s="17">
        <v>1.0</v>
      </c>
      <c r="O309" s="17">
        <v>1.0</v>
      </c>
      <c r="P309" s="17"/>
      <c r="Q309" s="17">
        <v>1.0</v>
      </c>
      <c r="CI309" s="67" t="s">
        <v>676</v>
      </c>
      <c r="CO309" s="68" t="s">
        <v>11</v>
      </c>
      <c r="CU309" s="67" t="s">
        <v>676</v>
      </c>
    </row>
    <row r="310">
      <c r="A310" s="1" t="s">
        <v>1105</v>
      </c>
      <c r="B310" s="63">
        <v>2024.0</v>
      </c>
      <c r="C310" s="63">
        <v>2.0</v>
      </c>
      <c r="D310" s="63" t="str">
        <f>IFERROR(__xludf.DUMMYFUNCTION("if(regexmatch(E310,""Recycled""),""No"",""Yes"")"),"Yes")</f>
        <v>Yes</v>
      </c>
      <c r="E310" s="63"/>
      <c r="F310" s="63" t="s">
        <v>787</v>
      </c>
      <c r="G310" s="1"/>
      <c r="H310" s="1"/>
      <c r="I310" s="69"/>
      <c r="J310" s="17" t="s">
        <v>1106</v>
      </c>
      <c r="L310" s="64"/>
      <c r="M310" s="17"/>
      <c r="AC310" s="17"/>
      <c r="AD310" s="17"/>
      <c r="AE310" s="17"/>
      <c r="CI310" s="68"/>
    </row>
    <row r="311" hidden="1">
      <c r="A311" s="1" t="s">
        <v>1107</v>
      </c>
      <c r="B311" s="63">
        <v>2018.0</v>
      </c>
      <c r="C311" s="63">
        <v>1.0</v>
      </c>
      <c r="D311" s="63" t="str">
        <f>IFERROR(__xludf.DUMMYFUNCTION("if(regexmatch(E311,""Recycled""),""No"",""Yes"")"),"No")</f>
        <v>No</v>
      </c>
      <c r="E311" s="63" t="s">
        <v>786</v>
      </c>
      <c r="F311" s="63" t="s">
        <v>660</v>
      </c>
      <c r="G311" s="1" t="s">
        <v>655</v>
      </c>
      <c r="H311" s="1"/>
      <c r="I311" s="69"/>
      <c r="L311" s="64">
        <f>SUM(M311:AW311)</f>
        <v>2</v>
      </c>
      <c r="M311" s="17">
        <v>1.0</v>
      </c>
      <c r="AC311" s="17"/>
      <c r="AD311" s="17"/>
      <c r="AE311" s="17">
        <v>1.0</v>
      </c>
      <c r="CI311" s="68" t="s">
        <v>11</v>
      </c>
    </row>
    <row r="312">
      <c r="A312" s="1" t="s">
        <v>1107</v>
      </c>
      <c r="B312" s="63">
        <v>2025.0</v>
      </c>
      <c r="C312" s="63">
        <v>2.0</v>
      </c>
      <c r="D312" s="63" t="str">
        <f>IFERROR(__xludf.DUMMYFUNCTION("if(regexmatch(E312,""Recycled""),""No"",""Yes"")"),"Yes")</f>
        <v>Yes</v>
      </c>
      <c r="E312" s="63"/>
      <c r="F312" s="63" t="s">
        <v>660</v>
      </c>
      <c r="G312" s="1"/>
      <c r="H312" s="1"/>
      <c r="I312" s="69"/>
      <c r="J312" s="17" t="s">
        <v>1108</v>
      </c>
      <c r="L312" s="64"/>
      <c r="AC312" s="17"/>
      <c r="AD312" s="17"/>
      <c r="AE312" s="17"/>
      <c r="CG312" s="65"/>
      <c r="CU312" s="68"/>
    </row>
    <row r="313" hidden="1">
      <c r="A313" s="1" t="s">
        <v>1109</v>
      </c>
      <c r="B313" s="63">
        <v>2018.0</v>
      </c>
      <c r="C313" s="63">
        <v>1.0</v>
      </c>
      <c r="D313" s="63" t="str">
        <f>IFERROR(__xludf.DUMMYFUNCTION("if(regexmatch(E313,""Recycled""),""No"",""Yes"")"),"No")</f>
        <v>No</v>
      </c>
      <c r="E313" s="63" t="s">
        <v>876</v>
      </c>
      <c r="F313" s="63" t="s">
        <v>660</v>
      </c>
      <c r="G313" s="1" t="s">
        <v>655</v>
      </c>
      <c r="H313" s="1"/>
      <c r="I313" s="69"/>
      <c r="K313" s="41" t="s">
        <v>823</v>
      </c>
      <c r="L313" s="64">
        <f>SUM(M313:AW313)</f>
        <v>1</v>
      </c>
      <c r="AC313" s="17"/>
      <c r="AD313" s="17"/>
      <c r="AE313" s="17">
        <v>1.0</v>
      </c>
      <c r="CG313" s="65" t="s">
        <v>1100</v>
      </c>
      <c r="CU313" s="68" t="s">
        <v>664</v>
      </c>
    </row>
    <row r="314" ht="14.25" customHeight="1">
      <c r="A314" s="1" t="s">
        <v>1109</v>
      </c>
      <c r="B314" s="63">
        <v>2024.0</v>
      </c>
      <c r="C314" s="63">
        <v>2.0</v>
      </c>
      <c r="D314" s="63" t="str">
        <f>IFERROR(__xludf.DUMMYFUNCTION("if(regexmatch(E314,""Recycled""),""No"",""Yes"")"),"Yes")</f>
        <v>Yes</v>
      </c>
      <c r="E314" s="63"/>
      <c r="F314" s="63" t="s">
        <v>787</v>
      </c>
      <c r="G314" s="1"/>
      <c r="H314" s="2"/>
      <c r="I314" s="69"/>
      <c r="J314" s="17" t="s">
        <v>1110</v>
      </c>
      <c r="K314" s="17"/>
      <c r="L314" s="64"/>
      <c r="AN314" s="17"/>
      <c r="ED314" s="66"/>
      <c r="ER314" s="66"/>
    </row>
    <row r="315" hidden="1">
      <c r="A315" s="1" t="s">
        <v>1111</v>
      </c>
      <c r="B315" s="63">
        <v>2022.0</v>
      </c>
      <c r="C315" s="63">
        <v>1.0</v>
      </c>
      <c r="D315" s="63" t="str">
        <f>IFERROR(__xludf.DUMMYFUNCTION("if(regexmatch(E315,""Recycled""),""No"",""Yes"")"),"No")</f>
        <v>No</v>
      </c>
      <c r="E315" s="63" t="s">
        <v>876</v>
      </c>
      <c r="F315" s="63" t="s">
        <v>787</v>
      </c>
      <c r="G315" s="1" t="s">
        <v>655</v>
      </c>
      <c r="H315" s="2"/>
      <c r="I315" s="69"/>
      <c r="J315" s="17" t="s">
        <v>1112</v>
      </c>
      <c r="K315" s="75" t="s">
        <v>825</v>
      </c>
      <c r="L315" s="64">
        <f>SUM(M315:AW315)</f>
        <v>1</v>
      </c>
      <c r="AN315" s="17">
        <v>1.0</v>
      </c>
      <c r="ED315" s="66" t="s">
        <v>664</v>
      </c>
      <c r="ER315" s="66" t="s">
        <v>664</v>
      </c>
    </row>
    <row r="316">
      <c r="A316" s="1" t="s">
        <v>1111</v>
      </c>
      <c r="B316" s="63">
        <v>2025.0</v>
      </c>
      <c r="C316" s="63">
        <v>2.0</v>
      </c>
      <c r="D316" s="63" t="str">
        <f>IFERROR(__xludf.DUMMYFUNCTION("if(regexmatch(E316,""Recycled""),""No"",""Yes"")"),"Yes")</f>
        <v>Yes</v>
      </c>
      <c r="E316" s="63"/>
      <c r="F316" s="63" t="s">
        <v>660</v>
      </c>
      <c r="G316" s="1"/>
      <c r="H316" s="1"/>
      <c r="I316" s="1"/>
      <c r="J316" s="17" t="s">
        <v>1113</v>
      </c>
      <c r="K316" s="17"/>
      <c r="L316" s="64"/>
      <c r="M316" s="17"/>
      <c r="AC316" s="17"/>
      <c r="AD316" s="17"/>
      <c r="AE316" s="17"/>
      <c r="AN316" s="17"/>
      <c r="AO316" s="17"/>
      <c r="AP316" s="17"/>
      <c r="CI316" s="65"/>
      <c r="CK316" s="65"/>
      <c r="CM316" s="67"/>
      <c r="CO316" s="67"/>
      <c r="CQ316" s="67"/>
      <c r="CS316" s="67"/>
      <c r="CU316" s="67"/>
    </row>
    <row r="317" hidden="1">
      <c r="A317" s="1" t="s">
        <v>1114</v>
      </c>
      <c r="B317" s="63">
        <v>2018.0</v>
      </c>
      <c r="C317" s="63">
        <v>1.0</v>
      </c>
      <c r="D317" s="63" t="str">
        <f>IFERROR(__xludf.DUMMYFUNCTION("if(regexmatch(E317,""Recycled""),""No"",""Yes"")"),"No")</f>
        <v>No</v>
      </c>
      <c r="E317" s="63" t="s">
        <v>653</v>
      </c>
      <c r="F317" s="63" t="s">
        <v>654</v>
      </c>
      <c r="G317" s="1" t="s">
        <v>1097</v>
      </c>
      <c r="H317" s="1"/>
      <c r="I317" s="67" t="s">
        <v>1098</v>
      </c>
      <c r="J317" s="17" t="s">
        <v>1115</v>
      </c>
      <c r="K317" s="17"/>
      <c r="L317" s="64">
        <f t="shared" ref="L317:L318" si="55">SUM(M317:AW317)</f>
        <v>4</v>
      </c>
      <c r="M317" s="17">
        <v>1.0</v>
      </c>
      <c r="AC317" s="17"/>
      <c r="AD317" s="17"/>
      <c r="AE317" s="17">
        <v>1.0</v>
      </c>
      <c r="AN317" s="17"/>
      <c r="AO317" s="17">
        <v>1.0</v>
      </c>
      <c r="AP317" s="17">
        <v>1.0</v>
      </c>
      <c r="CI317" s="65" t="s">
        <v>1100</v>
      </c>
      <c r="CK317" s="65" t="s">
        <v>1100</v>
      </c>
      <c r="CM317" s="67" t="s">
        <v>1102</v>
      </c>
      <c r="CO317" s="67" t="s">
        <v>1102</v>
      </c>
      <c r="CQ317" s="67" t="s">
        <v>1102</v>
      </c>
      <c r="CS317" s="67" t="s">
        <v>1116</v>
      </c>
      <c r="CU317" s="67" t="s">
        <v>1103</v>
      </c>
    </row>
    <row r="318" hidden="1">
      <c r="A318" s="1" t="s">
        <v>1114</v>
      </c>
      <c r="B318" s="63">
        <v>2020.0</v>
      </c>
      <c r="C318" s="63">
        <v>2.0</v>
      </c>
      <c r="D318" s="63" t="str">
        <f>IFERROR(__xludf.DUMMYFUNCTION("if(regexmatch(E318,""Recycled""),""No"",""Yes"")"),"No")</f>
        <v>No</v>
      </c>
      <c r="E318" s="63" t="s">
        <v>786</v>
      </c>
      <c r="F318" s="63" t="s">
        <v>654</v>
      </c>
      <c r="G318" s="1" t="s">
        <v>655</v>
      </c>
      <c r="H318" s="1"/>
      <c r="I318" s="63"/>
      <c r="K318" s="17"/>
      <c r="L318" s="64">
        <f t="shared" si="55"/>
        <v>2</v>
      </c>
      <c r="M318" s="17">
        <v>1.0</v>
      </c>
      <c r="AC318" s="17"/>
      <c r="AD318" s="17"/>
      <c r="AE318" s="17">
        <v>1.0</v>
      </c>
      <c r="AN318" s="17"/>
      <c r="AO318" s="17"/>
      <c r="AP318" s="17"/>
    </row>
    <row r="319">
      <c r="A319" s="1" t="s">
        <v>1114</v>
      </c>
      <c r="B319" s="63">
        <v>2024.0</v>
      </c>
      <c r="C319" s="63">
        <v>3.0</v>
      </c>
      <c r="D319" s="63" t="str">
        <f>IFERROR(__xludf.DUMMYFUNCTION("if(regexmatch(E319,""Recycled""),""No"",""Yes"")"),"Yes")</f>
        <v>Yes</v>
      </c>
      <c r="E319" s="63"/>
      <c r="F319" s="63" t="s">
        <v>660</v>
      </c>
      <c r="G319" s="1"/>
      <c r="H319" s="1">
        <v>2.0</v>
      </c>
      <c r="I319" s="63"/>
      <c r="J319" s="17" t="s">
        <v>1117</v>
      </c>
      <c r="K319" s="17" t="s">
        <v>1118</v>
      </c>
      <c r="L319" s="64"/>
      <c r="Q319" s="17"/>
    </row>
    <row r="320">
      <c r="A320" s="1" t="s">
        <v>1119</v>
      </c>
      <c r="B320" s="63">
        <v>2018.0</v>
      </c>
      <c r="C320" s="63">
        <v>1.0</v>
      </c>
      <c r="D320" s="63" t="str">
        <f>IFERROR(__xludf.DUMMYFUNCTION("if(regexmatch(E320,""Recycled""),""No"",""Yes"")"),"Yes")</f>
        <v>Yes</v>
      </c>
      <c r="E320" s="63" t="s">
        <v>22</v>
      </c>
      <c r="F320" s="63" t="s">
        <v>660</v>
      </c>
      <c r="G320" s="1" t="s">
        <v>655</v>
      </c>
      <c r="H320" s="1"/>
      <c r="I320" s="63"/>
      <c r="K320" s="73" t="s">
        <v>1120</v>
      </c>
      <c r="L320" s="64">
        <f t="shared" ref="L320:L321" si="56">SUM(M320:AW320)</f>
        <v>1</v>
      </c>
      <c r="Q320" s="17">
        <v>1.0</v>
      </c>
    </row>
    <row r="321" hidden="1">
      <c r="A321" s="1" t="s">
        <v>1121</v>
      </c>
      <c r="B321" s="63">
        <v>2019.0</v>
      </c>
      <c r="C321" s="63">
        <v>1.0</v>
      </c>
      <c r="D321" s="63" t="str">
        <f>IFERROR(__xludf.DUMMYFUNCTION("if(regexmatch(E321,""Recycled""),""No"",""Yes"")"),"No")</f>
        <v>No</v>
      </c>
      <c r="E321" s="63" t="s">
        <v>786</v>
      </c>
      <c r="F321" s="63" t="s">
        <v>660</v>
      </c>
      <c r="G321" s="1" t="s">
        <v>655</v>
      </c>
      <c r="H321" s="1"/>
      <c r="I321" s="63"/>
      <c r="J321" s="17"/>
      <c r="K321" s="41" t="s">
        <v>1122</v>
      </c>
      <c r="L321" s="64">
        <f t="shared" si="56"/>
        <v>4</v>
      </c>
      <c r="M321" s="17">
        <v>1.0</v>
      </c>
      <c r="O321" s="17">
        <v>1.0</v>
      </c>
      <c r="R321" s="17">
        <v>1.0</v>
      </c>
      <c r="AC321" s="17"/>
      <c r="AD321" s="17"/>
      <c r="AE321" s="17">
        <v>1.0</v>
      </c>
    </row>
    <row r="322">
      <c r="A322" s="1" t="s">
        <v>1121</v>
      </c>
      <c r="B322" s="63">
        <v>2025.0</v>
      </c>
      <c r="C322" s="63">
        <v>2.0</v>
      </c>
      <c r="D322" s="63" t="str">
        <f>IFERROR(__xludf.DUMMYFUNCTION("if(regexmatch(E322,""Recycled""),""No"",""Yes"")"),"Yes")</f>
        <v>Yes</v>
      </c>
      <c r="E322" s="63"/>
      <c r="F322" s="63" t="s">
        <v>660</v>
      </c>
      <c r="G322" s="1"/>
      <c r="H322" s="1"/>
      <c r="I322" s="63"/>
      <c r="J322" s="17" t="s">
        <v>1123</v>
      </c>
      <c r="L322" s="64"/>
      <c r="Q322" s="17"/>
      <c r="AP322" s="17"/>
    </row>
    <row r="323" hidden="1">
      <c r="A323" s="1" t="s">
        <v>1124</v>
      </c>
      <c r="B323" s="63">
        <v>2018.0</v>
      </c>
      <c r="C323" s="63">
        <v>1.0</v>
      </c>
      <c r="D323" s="63" t="str">
        <f>IFERROR(__xludf.DUMMYFUNCTION("if(regexmatch(E323,""Recycled""),""No"",""Yes"")"),"No")</f>
        <v>No</v>
      </c>
      <c r="E323" s="63" t="s">
        <v>659</v>
      </c>
      <c r="F323" s="63" t="s">
        <v>660</v>
      </c>
      <c r="G323" s="1" t="s">
        <v>655</v>
      </c>
      <c r="H323" s="1"/>
      <c r="I323" s="63"/>
      <c r="J323" s="17" t="s">
        <v>22</v>
      </c>
      <c r="L323" s="64">
        <f t="shared" ref="L323:L324" si="57">SUM(M323:AW323)</f>
        <v>2</v>
      </c>
      <c r="Q323" s="17">
        <v>1.0</v>
      </c>
      <c r="AP323" s="17">
        <v>1.0</v>
      </c>
    </row>
    <row r="324" hidden="1">
      <c r="A324" s="1" t="s">
        <v>1124</v>
      </c>
      <c r="B324" s="63">
        <v>2018.0</v>
      </c>
      <c r="C324" s="63">
        <v>2.0</v>
      </c>
      <c r="D324" s="63" t="str">
        <f>IFERROR(__xludf.DUMMYFUNCTION("if(regexmatch(E324,""Recycled""),""No"",""Yes"")"),"No")</f>
        <v>No</v>
      </c>
      <c r="E324" s="63" t="s">
        <v>786</v>
      </c>
      <c r="F324" s="63" t="s">
        <v>660</v>
      </c>
      <c r="G324" s="1" t="s">
        <v>655</v>
      </c>
      <c r="H324" s="1"/>
      <c r="I324" s="69"/>
      <c r="J324" s="17" t="s">
        <v>1125</v>
      </c>
      <c r="K324" s="73" t="s">
        <v>916</v>
      </c>
      <c r="L324" s="64">
        <f t="shared" si="57"/>
        <v>1</v>
      </c>
      <c r="AN324" s="17"/>
      <c r="AT324" s="17"/>
      <c r="AU324" s="17"/>
      <c r="AV324" s="17">
        <v>1.0</v>
      </c>
    </row>
    <row r="325">
      <c r="A325" s="1" t="s">
        <v>1124</v>
      </c>
      <c r="B325" s="63">
        <v>2024.0</v>
      </c>
      <c r="C325" s="63">
        <v>3.0</v>
      </c>
      <c r="D325" s="63" t="str">
        <f>IFERROR(__xludf.DUMMYFUNCTION("if(regexmatch(E325,""Recycled""),""No"",""Yes"")"),"Yes")</f>
        <v>Yes</v>
      </c>
      <c r="E325" s="63"/>
      <c r="F325" s="63" t="s">
        <v>1126</v>
      </c>
      <c r="G325" s="1"/>
      <c r="H325" s="1"/>
      <c r="I325" s="17"/>
      <c r="J325" s="17" t="s">
        <v>1127</v>
      </c>
      <c r="K325" s="17"/>
      <c r="L325" s="64"/>
      <c r="M325" s="17"/>
      <c r="AC325" s="17"/>
      <c r="AD325" s="17"/>
      <c r="AE325" s="17"/>
      <c r="AN325" s="17"/>
      <c r="AO325" s="17"/>
      <c r="AP325" s="17"/>
      <c r="CF325" s="3"/>
      <c r="CG325" s="3"/>
      <c r="CH325" s="3"/>
      <c r="CI325" s="67"/>
      <c r="CK325" s="67"/>
      <c r="CM325" s="67"/>
      <c r="CO325" s="67"/>
      <c r="CQ325" s="67"/>
      <c r="CS325" s="67"/>
      <c r="CU325" s="67"/>
    </row>
    <row r="326" hidden="1">
      <c r="A326" s="1" t="s">
        <v>1128</v>
      </c>
      <c r="B326" s="63">
        <v>2018.0</v>
      </c>
      <c r="C326" s="63">
        <v>1.0</v>
      </c>
      <c r="D326" s="63" t="str">
        <f>IFERROR(__xludf.DUMMYFUNCTION("if(regexmatch(E326,""Recycled""),""No"",""Yes"")"),"No")</f>
        <v>No</v>
      </c>
      <c r="E326" s="63" t="s">
        <v>1129</v>
      </c>
      <c r="F326" s="63" t="s">
        <v>654</v>
      </c>
      <c r="G326" s="1" t="s">
        <v>1097</v>
      </c>
      <c r="H326" s="1"/>
      <c r="I326" s="67" t="s">
        <v>1098</v>
      </c>
      <c r="J326" s="17" t="s">
        <v>1130</v>
      </c>
      <c r="K326" s="17"/>
      <c r="L326" s="64">
        <f t="shared" ref="L326:L327" si="58">SUM(M326:AW326)</f>
        <v>4</v>
      </c>
      <c r="M326" s="17">
        <v>1.0</v>
      </c>
      <c r="AC326" s="17"/>
      <c r="AD326" s="17"/>
      <c r="AE326" s="17">
        <v>1.0</v>
      </c>
      <c r="AN326" s="17"/>
      <c r="AO326" s="17">
        <v>1.0</v>
      </c>
      <c r="AP326" s="17">
        <v>1.0</v>
      </c>
      <c r="CF326" s="3"/>
      <c r="CG326" s="3"/>
      <c r="CH326" s="3"/>
      <c r="CI326" s="67" t="s">
        <v>1100</v>
      </c>
      <c r="CK326" s="67" t="s">
        <v>1100</v>
      </c>
      <c r="CM326" s="67" t="s">
        <v>1101</v>
      </c>
      <c r="CO326" s="67" t="s">
        <v>1102</v>
      </c>
      <c r="CQ326" s="67" t="s">
        <v>1103</v>
      </c>
      <c r="CS326" s="67" t="s">
        <v>1116</v>
      </c>
      <c r="CU326" s="67" t="s">
        <v>1103</v>
      </c>
    </row>
    <row r="327" hidden="1">
      <c r="A327" s="1" t="s">
        <v>1128</v>
      </c>
      <c r="B327" s="63">
        <v>2020.0</v>
      </c>
      <c r="C327" s="63">
        <v>2.0</v>
      </c>
      <c r="D327" s="63" t="str">
        <f>IFERROR(__xludf.DUMMYFUNCTION("if(regexmatch(E327,""Recycled""),""No"",""Yes"")"),"No")</f>
        <v>No</v>
      </c>
      <c r="E327" s="63" t="s">
        <v>786</v>
      </c>
      <c r="F327" s="63" t="s">
        <v>654</v>
      </c>
      <c r="G327" s="1" t="s">
        <v>655</v>
      </c>
      <c r="H327" s="1"/>
      <c r="I327" s="63"/>
      <c r="K327" s="17"/>
      <c r="L327" s="64">
        <f t="shared" si="58"/>
        <v>3</v>
      </c>
      <c r="M327" s="17">
        <v>1.0</v>
      </c>
      <c r="AC327" s="17"/>
      <c r="AD327" s="17"/>
      <c r="AE327" s="17">
        <v>1.0</v>
      </c>
      <c r="AN327" s="17"/>
      <c r="AO327" s="17"/>
      <c r="AP327" s="17">
        <v>1.0</v>
      </c>
      <c r="CF327" s="3"/>
      <c r="CG327" s="3"/>
      <c r="CH327" s="3"/>
    </row>
    <row r="328">
      <c r="A328" s="1" t="s">
        <v>1128</v>
      </c>
      <c r="B328" s="63">
        <v>2024.0</v>
      </c>
      <c r="C328" s="63">
        <v>3.0</v>
      </c>
      <c r="D328" s="63" t="str">
        <f>IFERROR(__xludf.DUMMYFUNCTION("if(regexmatch(E328,""Recycled""),""No"",""Yes"")"),"Yes")</f>
        <v>Yes</v>
      </c>
      <c r="E328" s="63"/>
      <c r="F328" s="63" t="s">
        <v>660</v>
      </c>
      <c r="G328" s="1"/>
      <c r="H328" s="1">
        <v>2.0</v>
      </c>
      <c r="I328" s="17"/>
      <c r="J328" s="17" t="s">
        <v>1131</v>
      </c>
      <c r="K328" s="17"/>
      <c r="L328" s="64"/>
      <c r="M328" s="17"/>
      <c r="AC328" s="17"/>
      <c r="AD328" s="17"/>
      <c r="AE328" s="17"/>
      <c r="AN328" s="17"/>
      <c r="AO328" s="17"/>
      <c r="AP328" s="17"/>
      <c r="CF328" s="3"/>
      <c r="CG328" s="3"/>
      <c r="CH328" s="3"/>
    </row>
    <row r="329" hidden="1">
      <c r="A329" s="1" t="s">
        <v>1132</v>
      </c>
      <c r="B329" s="63">
        <v>2018.0</v>
      </c>
      <c r="C329" s="63">
        <v>1.0</v>
      </c>
      <c r="D329" s="63" t="str">
        <f>IFERROR(__xludf.DUMMYFUNCTION("if(regexmatch(E329,""Recycled""),""No"",""Yes"")"),"No")</f>
        <v>No</v>
      </c>
      <c r="E329" s="63" t="s">
        <v>653</v>
      </c>
      <c r="F329" s="63" t="s">
        <v>654</v>
      </c>
      <c r="G329" s="1" t="s">
        <v>1097</v>
      </c>
      <c r="H329" s="1"/>
      <c r="I329" s="67" t="s">
        <v>1098</v>
      </c>
      <c r="J329" s="17" t="s">
        <v>1099</v>
      </c>
      <c r="K329" s="17"/>
      <c r="L329" s="64">
        <f t="shared" ref="L329:L333" si="59">SUM(M329:AW329)</f>
        <v>4</v>
      </c>
      <c r="M329" s="17">
        <v>1.0</v>
      </c>
      <c r="AC329" s="17"/>
      <c r="AD329" s="17"/>
      <c r="AE329" s="17">
        <v>1.0</v>
      </c>
      <c r="AN329" s="17"/>
      <c r="AO329" s="17">
        <v>1.0</v>
      </c>
      <c r="AP329" s="17">
        <v>1.0</v>
      </c>
      <c r="CF329" s="3"/>
      <c r="CG329" s="3"/>
      <c r="CH329" s="3"/>
      <c r="CI329" s="67" t="s">
        <v>1100</v>
      </c>
      <c r="CK329" s="67" t="s">
        <v>1100</v>
      </c>
      <c r="CM329" s="67" t="s">
        <v>1101</v>
      </c>
      <c r="CO329" s="67" t="s">
        <v>1102</v>
      </c>
      <c r="CQ329" s="67" t="s">
        <v>1103</v>
      </c>
      <c r="CS329" s="67" t="s">
        <v>1133</v>
      </c>
      <c r="CU329" s="67" t="s">
        <v>1103</v>
      </c>
    </row>
    <row r="330" hidden="1">
      <c r="A330" s="1" t="s">
        <v>1132</v>
      </c>
      <c r="B330" s="63">
        <v>2022.0</v>
      </c>
      <c r="C330" s="63">
        <v>2.0</v>
      </c>
      <c r="D330" s="63" t="str">
        <f>IFERROR(__xludf.DUMMYFUNCTION("if(regexmatch(E330,""Recycled""),""No"",""Yes"")"),"No")</f>
        <v>No</v>
      </c>
      <c r="E330" s="63" t="s">
        <v>857</v>
      </c>
      <c r="F330" s="63" t="s">
        <v>787</v>
      </c>
      <c r="G330" s="1" t="s">
        <v>655</v>
      </c>
      <c r="H330" s="2"/>
      <c r="I330" s="69"/>
      <c r="J330" s="17" t="s">
        <v>911</v>
      </c>
      <c r="K330" s="17" t="s">
        <v>1134</v>
      </c>
      <c r="L330" s="64">
        <f t="shared" si="59"/>
        <v>1</v>
      </c>
      <c r="T330" s="17">
        <v>1.0</v>
      </c>
      <c r="ED330" s="66" t="s">
        <v>664</v>
      </c>
      <c r="EO330" s="92" t="s">
        <v>664</v>
      </c>
    </row>
    <row r="331" hidden="1">
      <c r="A331" s="1" t="s">
        <v>1132</v>
      </c>
      <c r="B331" s="63">
        <v>2022.0</v>
      </c>
      <c r="C331" s="63">
        <v>3.0</v>
      </c>
      <c r="D331" s="63" t="str">
        <f>IFERROR(__xludf.DUMMYFUNCTION("if(regexmatch(E331,""Recycled""),""No"",""Yes"")"),"No")</f>
        <v>No</v>
      </c>
      <c r="E331" s="63" t="s">
        <v>786</v>
      </c>
      <c r="F331" s="63" t="s">
        <v>660</v>
      </c>
      <c r="G331" s="1" t="s">
        <v>655</v>
      </c>
      <c r="H331" s="2"/>
      <c r="I331" s="69"/>
      <c r="K331" s="41" t="s">
        <v>817</v>
      </c>
      <c r="L331" s="64">
        <f t="shared" si="59"/>
        <v>1</v>
      </c>
      <c r="AE331" s="17">
        <v>1.0</v>
      </c>
    </row>
    <row r="332" hidden="1">
      <c r="A332" s="1" t="s">
        <v>1135</v>
      </c>
      <c r="B332" s="63">
        <v>2018.0</v>
      </c>
      <c r="C332" s="63">
        <v>1.0</v>
      </c>
      <c r="D332" s="63" t="str">
        <f>IFERROR(__xludf.DUMMYFUNCTION("if(regexmatch(E332,""Recycled""),""No"",""Yes"")"),"No")</f>
        <v>No</v>
      </c>
      <c r="E332" s="63" t="s">
        <v>653</v>
      </c>
      <c r="F332" s="63" t="s">
        <v>654</v>
      </c>
      <c r="G332" s="1" t="s">
        <v>1097</v>
      </c>
      <c r="H332" s="1"/>
      <c r="I332" s="67" t="s">
        <v>1098</v>
      </c>
      <c r="J332" s="17" t="s">
        <v>1115</v>
      </c>
      <c r="K332" s="17"/>
      <c r="L332" s="64">
        <f t="shared" si="59"/>
        <v>4</v>
      </c>
      <c r="M332" s="17">
        <v>1.0</v>
      </c>
      <c r="AC332" s="17"/>
      <c r="AD332" s="17"/>
      <c r="AE332" s="17">
        <v>1.0</v>
      </c>
      <c r="AN332" s="17"/>
      <c r="AO332" s="17">
        <v>1.0</v>
      </c>
      <c r="AP332" s="17">
        <v>1.0</v>
      </c>
      <c r="CF332" s="3"/>
      <c r="CG332" s="3"/>
      <c r="CH332" s="3"/>
      <c r="CI332" s="67" t="s">
        <v>1100</v>
      </c>
      <c r="CK332" s="67" t="s">
        <v>1100</v>
      </c>
      <c r="CM332" s="67" t="s">
        <v>1101</v>
      </c>
      <c r="CO332" s="67" t="s">
        <v>1102</v>
      </c>
      <c r="CQ332" s="67" t="s">
        <v>1103</v>
      </c>
      <c r="CS332" s="67" t="s">
        <v>1136</v>
      </c>
      <c r="CU332" s="67" t="s">
        <v>1103</v>
      </c>
    </row>
    <row r="333" hidden="1">
      <c r="A333" s="1" t="s">
        <v>1137</v>
      </c>
      <c r="B333" s="63">
        <v>2020.0</v>
      </c>
      <c r="C333" s="63">
        <v>1.0</v>
      </c>
      <c r="D333" s="63" t="str">
        <f>IFERROR(__xludf.DUMMYFUNCTION("if(regexmatch(E333,""Recycled""),""No"",""Yes"")"),"No")</f>
        <v>No</v>
      </c>
      <c r="E333" s="63" t="s">
        <v>786</v>
      </c>
      <c r="F333" s="63" t="s">
        <v>660</v>
      </c>
      <c r="G333" s="1" t="s">
        <v>655</v>
      </c>
      <c r="H333" s="1"/>
      <c r="I333" s="63"/>
      <c r="K333" s="41" t="s">
        <v>1138</v>
      </c>
      <c r="L333" s="64">
        <f t="shared" si="59"/>
        <v>1</v>
      </c>
      <c r="M333" s="17">
        <v>1.0</v>
      </c>
      <c r="AC333" s="17"/>
      <c r="AD333" s="17"/>
      <c r="AE333" s="17"/>
      <c r="AN333" s="17"/>
      <c r="AO333" s="17"/>
      <c r="AP333" s="17"/>
      <c r="CF333" s="3"/>
      <c r="CG333" s="3"/>
      <c r="CH333" s="3"/>
      <c r="CI333" s="3"/>
      <c r="CJ333" s="3"/>
      <c r="CK333" s="3"/>
      <c r="CL333" s="3"/>
      <c r="CM333" s="3"/>
      <c r="CN333" s="3"/>
      <c r="CO333" s="3"/>
    </row>
    <row r="334" ht="14.25" customHeight="1">
      <c r="A334" s="1" t="s">
        <v>1137</v>
      </c>
      <c r="B334" s="63">
        <v>2024.0</v>
      </c>
      <c r="C334" s="63">
        <v>2.0</v>
      </c>
      <c r="D334" s="63" t="str">
        <f>IFERROR(__xludf.DUMMYFUNCTION("if(regexmatch(E334,""Recycled""),""No"",""Yes"")"),"Yes")</f>
        <v>Yes</v>
      </c>
      <c r="E334" s="63"/>
      <c r="F334" s="63" t="s">
        <v>787</v>
      </c>
      <c r="G334" s="1"/>
      <c r="H334" s="1"/>
      <c r="I334" s="1"/>
      <c r="J334" s="17" t="s">
        <v>1139</v>
      </c>
      <c r="K334" s="17"/>
      <c r="L334" s="64"/>
      <c r="M334" s="17"/>
      <c r="AC334" s="17"/>
      <c r="AD334" s="17"/>
      <c r="AE334" s="17"/>
      <c r="AN334" s="17"/>
      <c r="AO334" s="17"/>
      <c r="AP334" s="17"/>
      <c r="CF334" s="3"/>
      <c r="CG334" s="3"/>
      <c r="CH334" s="3"/>
      <c r="CI334" s="67"/>
      <c r="CK334" s="67"/>
      <c r="CM334" s="67"/>
      <c r="CO334" s="67"/>
      <c r="CQ334" s="67"/>
      <c r="CS334" s="67"/>
      <c r="CU334" s="67"/>
    </row>
    <row r="335" hidden="1">
      <c r="A335" s="1" t="s">
        <v>1140</v>
      </c>
      <c r="B335" s="63">
        <v>2018.0</v>
      </c>
      <c r="C335" s="63">
        <v>1.0</v>
      </c>
      <c r="D335" s="63" t="str">
        <f>IFERROR(__xludf.DUMMYFUNCTION("if(regexmatch(E335,""Recycled""),""No"",""Yes"")"),"No")</f>
        <v>No</v>
      </c>
      <c r="E335" s="63" t="s">
        <v>653</v>
      </c>
      <c r="F335" s="63" t="s">
        <v>654</v>
      </c>
      <c r="G335" s="1" t="s">
        <v>1097</v>
      </c>
      <c r="H335" s="1"/>
      <c r="I335" s="67" t="s">
        <v>1098</v>
      </c>
      <c r="J335" s="17" t="s">
        <v>1130</v>
      </c>
      <c r="K335" s="17"/>
      <c r="L335" s="64">
        <f t="shared" ref="L335:L336" si="60">SUM(M335:AW335)</f>
        <v>4</v>
      </c>
      <c r="M335" s="17">
        <v>1.0</v>
      </c>
      <c r="AC335" s="17"/>
      <c r="AD335" s="17"/>
      <c r="AE335" s="17">
        <v>1.0</v>
      </c>
      <c r="AN335" s="17"/>
      <c r="AO335" s="17">
        <v>1.0</v>
      </c>
      <c r="AP335" s="17">
        <v>1.0</v>
      </c>
      <c r="CF335" s="3"/>
      <c r="CG335" s="3"/>
      <c r="CH335" s="3"/>
      <c r="CI335" s="67" t="s">
        <v>1100</v>
      </c>
      <c r="CK335" s="67" t="s">
        <v>1100</v>
      </c>
      <c r="CM335" s="67" t="s">
        <v>1141</v>
      </c>
      <c r="CO335" s="67" t="s">
        <v>1102</v>
      </c>
      <c r="CQ335" s="67" t="s">
        <v>1103</v>
      </c>
      <c r="CS335" s="67" t="s">
        <v>1136</v>
      </c>
      <c r="CU335" s="67" t="s">
        <v>1103</v>
      </c>
    </row>
    <row r="336" hidden="1">
      <c r="A336" s="1" t="s">
        <v>1140</v>
      </c>
      <c r="B336" s="63">
        <v>2020.0</v>
      </c>
      <c r="C336" s="63">
        <v>2.0</v>
      </c>
      <c r="D336" s="63" t="str">
        <f>IFERROR(__xludf.DUMMYFUNCTION("if(regexmatch(E336,""Recycled""),""No"",""Yes"")"),"No")</f>
        <v>No</v>
      </c>
      <c r="E336" s="63" t="s">
        <v>786</v>
      </c>
      <c r="F336" s="63" t="s">
        <v>654</v>
      </c>
      <c r="G336" s="1" t="s">
        <v>655</v>
      </c>
      <c r="H336" s="1"/>
      <c r="I336" s="63"/>
      <c r="K336" s="75" t="s">
        <v>825</v>
      </c>
      <c r="L336" s="64">
        <f t="shared" si="60"/>
        <v>2</v>
      </c>
      <c r="M336" s="17">
        <v>1.0</v>
      </c>
      <c r="AC336" s="17"/>
      <c r="AD336" s="17"/>
      <c r="AE336" s="17">
        <v>1.0</v>
      </c>
      <c r="AN336" s="17"/>
      <c r="AO336" s="17"/>
      <c r="AP336" s="17"/>
    </row>
    <row r="337">
      <c r="A337" s="1" t="s">
        <v>1140</v>
      </c>
      <c r="B337" s="63">
        <v>2024.0</v>
      </c>
      <c r="C337" s="63">
        <v>3.0</v>
      </c>
      <c r="D337" s="63" t="str">
        <f>IFERROR(__xludf.DUMMYFUNCTION("if(regexmatch(E337,""Recycled""),""No"",""Yes"")"),"Yes")</f>
        <v>Yes</v>
      </c>
      <c r="E337" s="63"/>
      <c r="F337" s="63" t="s">
        <v>654</v>
      </c>
      <c r="G337" s="1"/>
      <c r="H337" s="1">
        <v>2.0</v>
      </c>
      <c r="I337" s="1"/>
      <c r="J337" s="17" t="s">
        <v>1142</v>
      </c>
      <c r="K337" s="17"/>
      <c r="L337" s="64"/>
      <c r="M337" s="17"/>
      <c r="AC337" s="17"/>
      <c r="AD337" s="17"/>
      <c r="AE337" s="17"/>
      <c r="AN337" s="17"/>
      <c r="AO337" s="17"/>
      <c r="AP337" s="17"/>
    </row>
    <row r="338" hidden="1">
      <c r="A338" s="1" t="s">
        <v>1143</v>
      </c>
      <c r="B338" s="63">
        <v>2018.0</v>
      </c>
      <c r="C338" s="63">
        <v>1.0</v>
      </c>
      <c r="D338" s="63" t="str">
        <f>IFERROR(__xludf.DUMMYFUNCTION("if(regexmatch(E338,""Recycled""),""No"",""Yes"")"),"No")</f>
        <v>No</v>
      </c>
      <c r="E338" s="63" t="s">
        <v>653</v>
      </c>
      <c r="F338" s="63" t="s">
        <v>654</v>
      </c>
      <c r="G338" s="1" t="s">
        <v>1097</v>
      </c>
      <c r="H338" s="1"/>
      <c r="I338" s="67" t="s">
        <v>1098</v>
      </c>
      <c r="J338" s="17" t="s">
        <v>1130</v>
      </c>
      <c r="K338" s="17"/>
      <c r="L338" s="64">
        <f t="shared" ref="L338:L340" si="61">SUM(M338:AW338)</f>
        <v>4</v>
      </c>
      <c r="M338" s="17">
        <v>1.0</v>
      </c>
      <c r="AC338" s="17"/>
      <c r="AD338" s="17"/>
      <c r="AE338" s="17">
        <v>1.0</v>
      </c>
      <c r="AN338" s="17"/>
      <c r="AO338" s="17">
        <v>1.0</v>
      </c>
      <c r="AP338" s="17">
        <v>1.0</v>
      </c>
      <c r="CI338" s="67" t="s">
        <v>1100</v>
      </c>
      <c r="CK338" s="67" t="s">
        <v>1100</v>
      </c>
      <c r="CM338" s="67" t="s">
        <v>1101</v>
      </c>
      <c r="CO338" s="67" t="s">
        <v>1102</v>
      </c>
      <c r="CQ338" s="67" t="s">
        <v>1103</v>
      </c>
      <c r="CS338" s="67" t="s">
        <v>669</v>
      </c>
      <c r="CU338" s="67" t="s">
        <v>1103</v>
      </c>
    </row>
    <row r="339" hidden="1">
      <c r="A339" s="1" t="s">
        <v>1143</v>
      </c>
      <c r="B339" s="63">
        <v>2020.0</v>
      </c>
      <c r="C339" s="63">
        <v>2.0</v>
      </c>
      <c r="D339" s="63" t="str">
        <f>IFERROR(__xludf.DUMMYFUNCTION("if(regexmatch(E339,""Recycled""),""No"",""Yes"")"),"No")</f>
        <v>No</v>
      </c>
      <c r="E339" s="63" t="s">
        <v>696</v>
      </c>
      <c r="F339" s="63" t="s">
        <v>654</v>
      </c>
      <c r="G339" s="1" t="s">
        <v>655</v>
      </c>
      <c r="H339" s="1"/>
      <c r="I339" s="63"/>
      <c r="L339" s="64">
        <f t="shared" si="61"/>
        <v>3</v>
      </c>
      <c r="M339" s="17">
        <v>1.0</v>
      </c>
      <c r="AC339" s="17"/>
      <c r="AD339" s="17"/>
      <c r="AE339" s="17">
        <v>1.0</v>
      </c>
      <c r="AN339" s="17"/>
      <c r="AO339" s="17"/>
      <c r="AP339" s="17">
        <v>1.0</v>
      </c>
    </row>
    <row r="340" hidden="1">
      <c r="A340" s="1" t="s">
        <v>1143</v>
      </c>
      <c r="B340" s="63">
        <v>2022.0</v>
      </c>
      <c r="C340" s="63">
        <v>3.0</v>
      </c>
      <c r="D340" s="63" t="str">
        <f>IFERROR(__xludf.DUMMYFUNCTION("if(regexmatch(E340,""Recycled""),""No"",""Yes"")"),"No")</f>
        <v>No</v>
      </c>
      <c r="E340" s="63" t="s">
        <v>786</v>
      </c>
      <c r="F340" s="63" t="s">
        <v>654</v>
      </c>
      <c r="G340" s="1" t="s">
        <v>655</v>
      </c>
      <c r="H340" s="2"/>
      <c r="I340" s="69"/>
      <c r="J340" s="17" t="s">
        <v>1144</v>
      </c>
      <c r="K340" s="41" t="s">
        <v>1145</v>
      </c>
      <c r="L340" s="64">
        <f t="shared" si="61"/>
        <v>1</v>
      </c>
      <c r="P340" s="17">
        <v>1.0</v>
      </c>
      <c r="Q340" s="17"/>
    </row>
    <row r="341">
      <c r="A341" s="1" t="s">
        <v>1143</v>
      </c>
      <c r="B341" s="63">
        <v>2024.0</v>
      </c>
      <c r="C341" s="63">
        <v>4.0</v>
      </c>
      <c r="D341" s="63" t="str">
        <f>IFERROR(__xludf.DUMMYFUNCTION("if(regexmatch(E341,""Recycled""),""No"",""Yes"")"),"Yes")</f>
        <v>Yes</v>
      </c>
      <c r="E341" s="63"/>
      <c r="F341" s="63" t="s">
        <v>654</v>
      </c>
      <c r="G341" s="1"/>
      <c r="H341" s="1">
        <v>2.0</v>
      </c>
      <c r="I341" s="69"/>
      <c r="J341" s="17" t="s">
        <v>1146</v>
      </c>
      <c r="L341" s="64"/>
      <c r="Q341" s="17"/>
    </row>
    <row r="342" hidden="1">
      <c r="A342" s="1" t="s">
        <v>1147</v>
      </c>
      <c r="B342" s="63">
        <v>2022.0</v>
      </c>
      <c r="C342" s="63">
        <v>1.0</v>
      </c>
      <c r="D342" s="63" t="str">
        <f>IFERROR(__xludf.DUMMYFUNCTION("if(regexmatch(E342,""Recycled""),""No"",""Yes"")"),"No")</f>
        <v>No</v>
      </c>
      <c r="E342" s="63" t="s">
        <v>696</v>
      </c>
      <c r="F342" s="63" t="s">
        <v>660</v>
      </c>
      <c r="G342" s="1" t="s">
        <v>655</v>
      </c>
      <c r="H342" s="2"/>
      <c r="I342" s="69"/>
      <c r="L342" s="64">
        <f t="shared" ref="L342:L346" si="62">SUM(M342:AW342)</f>
        <v>1</v>
      </c>
      <c r="Q342" s="17">
        <v>1.0</v>
      </c>
    </row>
    <row r="343" hidden="1">
      <c r="A343" s="1" t="s">
        <v>1147</v>
      </c>
      <c r="B343" s="63">
        <v>2018.0</v>
      </c>
      <c r="C343" s="63">
        <v>1.0</v>
      </c>
      <c r="D343" s="63" t="str">
        <f>IFERROR(__xludf.DUMMYFUNCTION("if(regexmatch(E343,""Recycled""),""No"",""Yes"")"),"No")</f>
        <v>No</v>
      </c>
      <c r="E343" s="63" t="s">
        <v>653</v>
      </c>
      <c r="F343" s="63" t="s">
        <v>654</v>
      </c>
      <c r="G343" s="1" t="s">
        <v>1097</v>
      </c>
      <c r="H343" s="1"/>
      <c r="I343" s="67" t="s">
        <v>1098</v>
      </c>
      <c r="J343" s="17" t="s">
        <v>1148</v>
      </c>
      <c r="K343" s="17"/>
      <c r="L343" s="64">
        <f t="shared" si="62"/>
        <v>4</v>
      </c>
      <c r="M343" s="17">
        <v>1.0</v>
      </c>
      <c r="AC343" s="17"/>
      <c r="AD343" s="17"/>
      <c r="AE343" s="17">
        <v>1.0</v>
      </c>
      <c r="AN343" s="17"/>
      <c r="AO343" s="17">
        <v>1.0</v>
      </c>
      <c r="AP343" s="17">
        <v>1.0</v>
      </c>
      <c r="CI343" s="67" t="s">
        <v>1100</v>
      </c>
      <c r="CK343" s="67" t="s">
        <v>1100</v>
      </c>
      <c r="CM343" s="67" t="s">
        <v>1101</v>
      </c>
      <c r="CO343" s="67" t="s">
        <v>1102</v>
      </c>
      <c r="CQ343" s="67" t="s">
        <v>1103</v>
      </c>
      <c r="CS343" s="67" t="s">
        <v>669</v>
      </c>
      <c r="CU343" s="67" t="s">
        <v>1103</v>
      </c>
    </row>
    <row r="344" hidden="1">
      <c r="A344" s="1" t="s">
        <v>1149</v>
      </c>
      <c r="B344" s="63">
        <v>2018.0</v>
      </c>
      <c r="C344" s="63">
        <v>1.0</v>
      </c>
      <c r="D344" s="63" t="str">
        <f>IFERROR(__xludf.DUMMYFUNCTION("if(regexmatch(E344,""Recycled""),""No"",""Yes"")"),"No")</f>
        <v>No</v>
      </c>
      <c r="E344" s="63" t="s">
        <v>653</v>
      </c>
      <c r="F344" s="63" t="s">
        <v>654</v>
      </c>
      <c r="G344" s="1" t="s">
        <v>1097</v>
      </c>
      <c r="H344" s="1"/>
      <c r="I344" s="67" t="s">
        <v>1098</v>
      </c>
      <c r="J344" s="17" t="s">
        <v>1099</v>
      </c>
      <c r="K344" s="17"/>
      <c r="L344" s="64">
        <f t="shared" si="62"/>
        <v>4</v>
      </c>
      <c r="M344" s="17">
        <v>1.0</v>
      </c>
      <c r="AC344" s="17"/>
      <c r="AD344" s="17"/>
      <c r="AE344" s="17">
        <v>1.0</v>
      </c>
      <c r="AN344" s="17"/>
      <c r="AO344" s="17">
        <v>1.0</v>
      </c>
      <c r="AP344" s="17">
        <v>1.0</v>
      </c>
      <c r="CI344" s="67" t="s">
        <v>1100</v>
      </c>
      <c r="CK344" s="67" t="s">
        <v>1100</v>
      </c>
      <c r="CM344" s="67" t="s">
        <v>1101</v>
      </c>
      <c r="CO344" s="67" t="s">
        <v>1102</v>
      </c>
      <c r="CQ344" s="67" t="s">
        <v>1103</v>
      </c>
      <c r="CS344" s="67" t="s">
        <v>1150</v>
      </c>
      <c r="CU344" s="67" t="s">
        <v>1150</v>
      </c>
    </row>
    <row r="345" hidden="1">
      <c r="A345" s="1" t="s">
        <v>1149</v>
      </c>
      <c r="B345" s="63">
        <v>2022.0</v>
      </c>
      <c r="C345" s="63">
        <v>1.0</v>
      </c>
      <c r="D345" s="63" t="str">
        <f>IFERROR(__xludf.DUMMYFUNCTION("if(regexmatch(E345,""Recycled""),""No"",""Yes"")"),"No")</f>
        <v>No</v>
      </c>
      <c r="E345" s="63" t="s">
        <v>786</v>
      </c>
      <c r="F345" s="63" t="s">
        <v>660</v>
      </c>
      <c r="G345" s="1" t="s">
        <v>655</v>
      </c>
      <c r="H345" s="2"/>
      <c r="I345" s="69"/>
      <c r="K345" s="75" t="s">
        <v>825</v>
      </c>
      <c r="L345" s="64">
        <f t="shared" si="62"/>
        <v>2</v>
      </c>
      <c r="R345" s="17">
        <v>1.0</v>
      </c>
      <c r="AP345" s="17">
        <v>1.0</v>
      </c>
    </row>
    <row r="346" hidden="1">
      <c r="A346" s="1" t="s">
        <v>1149</v>
      </c>
      <c r="B346" s="63">
        <v>2020.0</v>
      </c>
      <c r="C346" s="63">
        <v>2.0</v>
      </c>
      <c r="D346" s="63" t="str">
        <f>IFERROR(__xludf.DUMMYFUNCTION("if(regexmatch(E346,""Recycled""),""No"",""Yes"")"),"No")</f>
        <v>No</v>
      </c>
      <c r="E346" s="63" t="s">
        <v>696</v>
      </c>
      <c r="F346" s="63" t="s">
        <v>654</v>
      </c>
      <c r="G346" s="1" t="s">
        <v>655</v>
      </c>
      <c r="H346" s="1"/>
      <c r="I346" s="63"/>
      <c r="L346" s="64">
        <f t="shared" si="62"/>
        <v>2</v>
      </c>
      <c r="M346" s="17">
        <v>1.0</v>
      </c>
      <c r="AC346" s="17"/>
      <c r="AD346" s="17"/>
      <c r="AE346" s="17">
        <v>1.0</v>
      </c>
      <c r="AN346" s="17"/>
      <c r="AO346" s="17"/>
      <c r="AP346" s="17"/>
    </row>
    <row r="347">
      <c r="A347" s="1" t="s">
        <v>1149</v>
      </c>
      <c r="B347" s="63">
        <v>2024.0</v>
      </c>
      <c r="C347" s="63">
        <v>3.0</v>
      </c>
      <c r="D347" s="63" t="str">
        <f>IFERROR(__xludf.DUMMYFUNCTION("if(regexmatch(E347,""Recycled""),""No"",""Yes"")"),"Yes")</f>
        <v>Yes</v>
      </c>
      <c r="E347" s="63"/>
      <c r="F347" s="63" t="s">
        <v>787</v>
      </c>
      <c r="G347" s="1"/>
      <c r="H347" s="1"/>
      <c r="I347" s="63"/>
      <c r="J347" s="17" t="s">
        <v>1151</v>
      </c>
      <c r="L347" s="64"/>
      <c r="O347" s="17"/>
      <c r="AC347" s="17"/>
      <c r="AD347" s="17"/>
      <c r="AE347" s="17"/>
      <c r="AN347" s="17"/>
      <c r="AO347" s="17"/>
      <c r="AP347" s="17"/>
    </row>
    <row r="348">
      <c r="A348" s="1" t="s">
        <v>1152</v>
      </c>
      <c r="B348" s="63">
        <v>2019.0</v>
      </c>
      <c r="C348" s="63">
        <v>1.0</v>
      </c>
      <c r="D348" s="63" t="str">
        <f>IFERROR(__xludf.DUMMYFUNCTION("if(regexmatch(E348,""Recycled""),""No"",""Yes"")"),"Yes")</f>
        <v>Yes</v>
      </c>
      <c r="E348" s="63" t="s">
        <v>22</v>
      </c>
      <c r="F348" s="63" t="s">
        <v>660</v>
      </c>
      <c r="G348" s="1" t="s">
        <v>655</v>
      </c>
      <c r="H348" s="1"/>
      <c r="I348" s="63"/>
      <c r="K348" s="41" t="s">
        <v>1153</v>
      </c>
      <c r="L348" s="64">
        <f t="shared" ref="L348:L350" si="63">SUM(M348:AW348)</f>
        <v>2</v>
      </c>
      <c r="O348" s="17">
        <v>1.0</v>
      </c>
      <c r="AC348" s="17"/>
      <c r="AD348" s="17"/>
      <c r="AE348" s="17">
        <v>1.0</v>
      </c>
      <c r="AN348" s="17"/>
      <c r="AO348" s="17"/>
      <c r="AP348" s="17"/>
    </row>
    <row r="349" hidden="1">
      <c r="A349" s="1" t="s">
        <v>1154</v>
      </c>
      <c r="B349" s="63">
        <v>2018.0</v>
      </c>
      <c r="C349" s="63">
        <v>1.0</v>
      </c>
      <c r="D349" s="63" t="str">
        <f>IFERROR(__xludf.DUMMYFUNCTION("if(regexmatch(E349,""Recycled""),""No"",""Yes"")"),"No")</f>
        <v>No</v>
      </c>
      <c r="E349" s="63" t="s">
        <v>653</v>
      </c>
      <c r="F349" s="63" t="s">
        <v>654</v>
      </c>
      <c r="G349" s="1" t="s">
        <v>1097</v>
      </c>
      <c r="H349" s="1"/>
      <c r="I349" s="67" t="s">
        <v>1098</v>
      </c>
      <c r="J349" s="17" t="s">
        <v>1115</v>
      </c>
      <c r="K349" s="17"/>
      <c r="L349" s="64">
        <f t="shared" si="63"/>
        <v>4</v>
      </c>
      <c r="M349" s="17">
        <v>1.0</v>
      </c>
      <c r="AC349" s="17"/>
      <c r="AD349" s="17"/>
      <c r="AE349" s="17">
        <v>1.0</v>
      </c>
      <c r="AN349" s="17"/>
      <c r="AO349" s="17">
        <v>1.0</v>
      </c>
      <c r="AP349" s="17">
        <v>1.0</v>
      </c>
      <c r="CI349" s="67" t="s">
        <v>1100</v>
      </c>
      <c r="CK349" s="67" t="s">
        <v>1100</v>
      </c>
      <c r="CM349" s="67" t="s">
        <v>1101</v>
      </c>
      <c r="CO349" s="67" t="s">
        <v>1102</v>
      </c>
      <c r="CQ349" s="67" t="s">
        <v>1103</v>
      </c>
      <c r="CS349" s="67" t="s">
        <v>1150</v>
      </c>
      <c r="CU349" s="67" t="s">
        <v>1150</v>
      </c>
    </row>
    <row r="350" hidden="1">
      <c r="A350" s="1" t="s">
        <v>1154</v>
      </c>
      <c r="B350" s="63">
        <v>2022.0</v>
      </c>
      <c r="C350" s="63">
        <v>2.0</v>
      </c>
      <c r="D350" s="63" t="str">
        <f>IFERROR(__xludf.DUMMYFUNCTION("if(regexmatch(E350,""Recycled""),""No"",""Yes"")"),"No")</f>
        <v>No</v>
      </c>
      <c r="E350" s="63" t="s">
        <v>876</v>
      </c>
      <c r="F350" s="63" t="s">
        <v>660</v>
      </c>
      <c r="G350" s="1" t="s">
        <v>655</v>
      </c>
      <c r="H350" s="2"/>
      <c r="I350" s="69"/>
      <c r="J350" s="17" t="s">
        <v>1155</v>
      </c>
      <c r="K350" s="75" t="s">
        <v>825</v>
      </c>
      <c r="L350" s="64">
        <f t="shared" si="63"/>
        <v>1</v>
      </c>
      <c r="AI350" s="17">
        <v>1.0</v>
      </c>
      <c r="ED350" s="66" t="s">
        <v>664</v>
      </c>
      <c r="EP350" s="66" t="s">
        <v>664</v>
      </c>
    </row>
    <row r="351">
      <c r="A351" s="1" t="s">
        <v>1154</v>
      </c>
      <c r="B351" s="63">
        <v>2024.0</v>
      </c>
      <c r="C351" s="63">
        <v>3.0</v>
      </c>
      <c r="D351" s="63" t="str">
        <f>IFERROR(__xludf.DUMMYFUNCTION("if(regexmatch(E351,""Recycled""),""No"",""Yes"")"),"Yes")</f>
        <v>Yes</v>
      </c>
      <c r="E351" s="63"/>
      <c r="F351" s="63" t="s">
        <v>660</v>
      </c>
      <c r="G351" s="1"/>
      <c r="H351" s="1">
        <v>2.0</v>
      </c>
      <c r="I351" s="17"/>
      <c r="J351" s="17" t="s">
        <v>1156</v>
      </c>
      <c r="K351" s="17"/>
      <c r="L351" s="64"/>
      <c r="M351" s="17"/>
      <c r="AC351" s="17"/>
      <c r="AD351" s="17"/>
      <c r="AE351" s="17"/>
      <c r="AN351" s="17"/>
      <c r="AO351" s="17"/>
      <c r="AP351" s="17"/>
    </row>
    <row r="352" hidden="1">
      <c r="A352" s="1" t="s">
        <v>1157</v>
      </c>
      <c r="B352" s="63">
        <v>2018.0</v>
      </c>
      <c r="C352" s="63">
        <v>1.0</v>
      </c>
      <c r="D352" s="63" t="str">
        <f>IFERROR(__xludf.DUMMYFUNCTION("if(regexmatch(E352,""Recycled""),""No"",""Yes"")"),"No")</f>
        <v>No</v>
      </c>
      <c r="E352" s="63" t="s">
        <v>653</v>
      </c>
      <c r="F352" s="63" t="s">
        <v>654</v>
      </c>
      <c r="G352" s="1" t="s">
        <v>1097</v>
      </c>
      <c r="H352" s="1"/>
      <c r="I352" s="67" t="s">
        <v>1098</v>
      </c>
      <c r="J352" s="17" t="s">
        <v>1148</v>
      </c>
      <c r="K352" s="17"/>
      <c r="L352" s="64">
        <f t="shared" ref="L352:L359" si="64">SUM(M352:AW352)</f>
        <v>4</v>
      </c>
      <c r="M352" s="17">
        <v>1.0</v>
      </c>
      <c r="AC352" s="17"/>
      <c r="AD352" s="17"/>
      <c r="AE352" s="17">
        <v>1.0</v>
      </c>
      <c r="AN352" s="17"/>
      <c r="AO352" s="17">
        <v>1.0</v>
      </c>
      <c r="AP352" s="17">
        <v>1.0</v>
      </c>
      <c r="CI352" s="67" t="s">
        <v>1100</v>
      </c>
      <c r="CK352" s="67" t="s">
        <v>1100</v>
      </c>
      <c r="CM352" s="67" t="s">
        <v>1101</v>
      </c>
      <c r="CO352" s="67" t="s">
        <v>1102</v>
      </c>
      <c r="CQ352" s="67" t="s">
        <v>1103</v>
      </c>
      <c r="CS352" s="67" t="s">
        <v>860</v>
      </c>
      <c r="CU352" s="67" t="s">
        <v>1103</v>
      </c>
    </row>
    <row r="353" hidden="1">
      <c r="A353" s="1" t="s">
        <v>1157</v>
      </c>
      <c r="B353" s="63">
        <v>2020.0</v>
      </c>
      <c r="C353" s="63">
        <v>2.0</v>
      </c>
      <c r="D353" s="63" t="str">
        <f>IFERROR(__xludf.DUMMYFUNCTION("if(regexmatch(E353,""Recycled""),""No"",""Yes"")"),"No")</f>
        <v>No</v>
      </c>
      <c r="E353" s="63" t="s">
        <v>696</v>
      </c>
      <c r="F353" s="63" t="s">
        <v>654</v>
      </c>
      <c r="G353" s="1" t="s">
        <v>655</v>
      </c>
      <c r="H353" s="1"/>
      <c r="I353" s="63"/>
      <c r="K353" s="17"/>
      <c r="L353" s="64">
        <f t="shared" si="64"/>
        <v>2</v>
      </c>
      <c r="M353" s="17">
        <v>1.0</v>
      </c>
      <c r="AC353" s="17"/>
      <c r="AD353" s="17"/>
      <c r="AE353" s="17">
        <v>1.0</v>
      </c>
      <c r="AN353" s="17"/>
      <c r="AO353" s="17"/>
      <c r="AP353" s="17"/>
    </row>
    <row r="354">
      <c r="A354" s="1" t="s">
        <v>1157</v>
      </c>
      <c r="B354" s="63">
        <v>2022.0</v>
      </c>
      <c r="C354" s="63">
        <v>3.0</v>
      </c>
      <c r="D354" s="63" t="str">
        <f>IFERROR(__xludf.DUMMYFUNCTION("if(regexmatch(E354,""Recycled""),""No"",""Yes"")"),"Yes")</f>
        <v>Yes</v>
      </c>
      <c r="E354" s="63" t="s">
        <v>943</v>
      </c>
      <c r="F354" s="63" t="s">
        <v>654</v>
      </c>
      <c r="G354" s="1" t="s">
        <v>655</v>
      </c>
      <c r="H354" s="1">
        <v>2.0</v>
      </c>
      <c r="I354" s="69"/>
      <c r="J354" s="17" t="s">
        <v>1158</v>
      </c>
      <c r="K354" s="74" t="s">
        <v>1159</v>
      </c>
      <c r="L354" s="64">
        <f t="shared" si="64"/>
        <v>1</v>
      </c>
      <c r="M354" s="17"/>
      <c r="AC354" s="17"/>
      <c r="AD354" s="17"/>
      <c r="AE354" s="17"/>
      <c r="AK354" s="17">
        <v>1.0</v>
      </c>
      <c r="AN354" s="17"/>
      <c r="AO354" s="17"/>
      <c r="AP354" s="17"/>
      <c r="EC354" s="66" t="s">
        <v>664</v>
      </c>
      <c r="EP354" s="66" t="s">
        <v>664</v>
      </c>
    </row>
    <row r="355" hidden="1">
      <c r="A355" s="1" t="s">
        <v>1160</v>
      </c>
      <c r="B355" s="63">
        <v>2018.0</v>
      </c>
      <c r="C355" s="63">
        <v>1.0</v>
      </c>
      <c r="D355" s="63" t="str">
        <f>IFERROR(__xludf.DUMMYFUNCTION("if(regexmatch(E355,""Recycled""),""No"",""Yes"")"),"No")</f>
        <v>No</v>
      </c>
      <c r="E355" s="63" t="s">
        <v>653</v>
      </c>
      <c r="F355" s="63" t="s">
        <v>654</v>
      </c>
      <c r="G355" s="1" t="s">
        <v>1097</v>
      </c>
      <c r="H355" s="1"/>
      <c r="I355" s="67" t="s">
        <v>1098</v>
      </c>
      <c r="J355" s="17" t="s">
        <v>1148</v>
      </c>
      <c r="K355" s="17" t="s">
        <v>1161</v>
      </c>
      <c r="L355" s="64">
        <f t="shared" si="64"/>
        <v>4</v>
      </c>
      <c r="M355" s="17">
        <v>1.0</v>
      </c>
      <c r="AC355" s="17"/>
      <c r="AD355" s="17"/>
      <c r="AE355" s="17">
        <v>1.0</v>
      </c>
      <c r="AN355" s="17"/>
      <c r="AO355" s="17">
        <v>1.0</v>
      </c>
      <c r="AP355" s="17">
        <v>1.0</v>
      </c>
      <c r="CI355" s="67" t="s">
        <v>1100</v>
      </c>
      <c r="CK355" s="67" t="s">
        <v>1100</v>
      </c>
      <c r="CM355" s="67" t="s">
        <v>1101</v>
      </c>
      <c r="CO355" s="67" t="s">
        <v>1102</v>
      </c>
      <c r="CQ355" s="67" t="s">
        <v>1103</v>
      </c>
      <c r="CS355" s="67" t="s">
        <v>860</v>
      </c>
      <c r="CU355" s="67" t="s">
        <v>1103</v>
      </c>
    </row>
    <row r="356" hidden="1">
      <c r="A356" s="1" t="s">
        <v>1160</v>
      </c>
      <c r="B356" s="63">
        <v>2020.0</v>
      </c>
      <c r="C356" s="63">
        <v>2.0</v>
      </c>
      <c r="D356" s="63" t="str">
        <f>IFERROR(__xludf.DUMMYFUNCTION("if(regexmatch(E356,""Recycled""),""No"",""Yes"")"),"No")</f>
        <v>No</v>
      </c>
      <c r="E356" s="63" t="s">
        <v>696</v>
      </c>
      <c r="F356" s="63" t="s">
        <v>654</v>
      </c>
      <c r="G356" s="1" t="s">
        <v>655</v>
      </c>
      <c r="H356" s="1"/>
      <c r="I356" s="63"/>
      <c r="K356" s="17" t="s">
        <v>1162</v>
      </c>
      <c r="L356" s="64">
        <f t="shared" si="64"/>
        <v>2</v>
      </c>
      <c r="M356" s="17">
        <v>1.0</v>
      </c>
      <c r="AC356" s="17"/>
      <c r="AD356" s="17"/>
      <c r="AE356" s="17">
        <v>1.0</v>
      </c>
      <c r="AN356" s="17"/>
      <c r="AO356" s="17"/>
      <c r="AP356" s="17"/>
    </row>
    <row r="357">
      <c r="A357" s="1" t="s">
        <v>1160</v>
      </c>
      <c r="B357" s="63">
        <v>2022.0</v>
      </c>
      <c r="C357" s="63">
        <v>3.0</v>
      </c>
      <c r="D357" s="63" t="str">
        <f>IFERROR(__xludf.DUMMYFUNCTION("if(regexmatch(E357,""Recycled""),""No"",""Yes"")"),"Yes")</f>
        <v>Yes</v>
      </c>
      <c r="E357" s="63" t="s">
        <v>943</v>
      </c>
      <c r="F357" s="63" t="s">
        <v>654</v>
      </c>
      <c r="G357" s="1" t="s">
        <v>655</v>
      </c>
      <c r="H357" s="2"/>
      <c r="I357" s="69"/>
      <c r="J357" s="17" t="s">
        <v>1163</v>
      </c>
      <c r="K357" s="44" t="s">
        <v>1164</v>
      </c>
      <c r="L357" s="64">
        <f t="shared" si="64"/>
        <v>1</v>
      </c>
      <c r="R357" s="17"/>
      <c r="AN357" s="17"/>
      <c r="AO357" s="17">
        <v>1.0</v>
      </c>
      <c r="EC357" s="66" t="s">
        <v>1165</v>
      </c>
    </row>
    <row r="358" hidden="1">
      <c r="A358" s="1" t="s">
        <v>1166</v>
      </c>
      <c r="B358" s="63">
        <v>2019.0</v>
      </c>
      <c r="C358" s="63">
        <v>1.0</v>
      </c>
      <c r="D358" s="63" t="str">
        <f>IFERROR(__xludf.DUMMYFUNCTION("if(regexmatch(E358,""Recycled""),""No"",""Yes"")"),"No")</f>
        <v>No</v>
      </c>
      <c r="E358" s="63" t="s">
        <v>696</v>
      </c>
      <c r="F358" s="63" t="s">
        <v>654</v>
      </c>
      <c r="G358" s="1" t="s">
        <v>655</v>
      </c>
      <c r="H358" s="1"/>
      <c r="I358" s="63"/>
      <c r="J358" s="17" t="s">
        <v>1167</v>
      </c>
      <c r="L358" s="64">
        <f t="shared" si="64"/>
        <v>3</v>
      </c>
      <c r="Q358" s="17">
        <v>1.0</v>
      </c>
      <c r="R358" s="17">
        <v>1.0</v>
      </c>
      <c r="AP358" s="17">
        <v>1.0</v>
      </c>
    </row>
    <row r="359" hidden="1">
      <c r="A359" s="1" t="s">
        <v>1166</v>
      </c>
      <c r="B359" s="63">
        <v>2020.0</v>
      </c>
      <c r="C359" s="63">
        <v>2.0</v>
      </c>
      <c r="D359" s="63" t="str">
        <f>IFERROR(__xludf.DUMMYFUNCTION("if(regexmatch(E359,""Recycled""),""No"",""Yes"")"),"No")</f>
        <v>No</v>
      </c>
      <c r="E359" s="63" t="s">
        <v>786</v>
      </c>
      <c r="F359" s="63" t="s">
        <v>660</v>
      </c>
      <c r="G359" s="1" t="s">
        <v>655</v>
      </c>
      <c r="H359" s="1"/>
      <c r="I359" s="69"/>
      <c r="J359" s="18"/>
      <c r="K359" s="17"/>
      <c r="L359" s="64">
        <f t="shared" si="64"/>
        <v>2</v>
      </c>
      <c r="AD359" s="17"/>
      <c r="AE359" s="17">
        <v>1.0</v>
      </c>
      <c r="AP359" s="17"/>
      <c r="AW359" s="17">
        <v>1.0</v>
      </c>
    </row>
    <row r="360">
      <c r="A360" s="1" t="s">
        <v>1166</v>
      </c>
      <c r="B360" s="63">
        <v>2024.0</v>
      </c>
      <c r="C360" s="63">
        <v>3.0</v>
      </c>
      <c r="D360" s="63" t="str">
        <f>IFERROR(__xludf.DUMMYFUNCTION("if(regexmatch(E360,""Recycled""),""No"",""Yes"")"),"Yes")</f>
        <v>Yes</v>
      </c>
      <c r="E360" s="63"/>
      <c r="F360" s="63" t="s">
        <v>654</v>
      </c>
      <c r="G360" s="1"/>
      <c r="H360" s="1">
        <v>3.0</v>
      </c>
      <c r="I360" s="69"/>
      <c r="J360" s="18" t="s">
        <v>877</v>
      </c>
      <c r="K360" s="17"/>
      <c r="L360" s="64"/>
      <c r="AP360" s="17"/>
    </row>
    <row r="361" hidden="1">
      <c r="A361" s="1" t="s">
        <v>1168</v>
      </c>
      <c r="B361" s="63">
        <v>2019.0</v>
      </c>
      <c r="C361" s="63">
        <v>1.0</v>
      </c>
      <c r="D361" s="63" t="str">
        <f>IFERROR(__xludf.DUMMYFUNCTION("if(regexmatch(E361,""Recycled""),""No"",""Yes"")"),"No")</f>
        <v>No</v>
      </c>
      <c r="E361" s="63" t="s">
        <v>696</v>
      </c>
      <c r="F361" s="63" t="s">
        <v>654</v>
      </c>
      <c r="G361" s="1" t="s">
        <v>655</v>
      </c>
      <c r="H361" s="1"/>
      <c r="I361" s="69"/>
      <c r="J361" s="18"/>
      <c r="K361" s="17" t="s">
        <v>853</v>
      </c>
      <c r="L361" s="64">
        <f t="shared" ref="L361:L362" si="65">SUM(M361:AW361)</f>
        <v>1</v>
      </c>
      <c r="AP361" s="17">
        <v>1.0</v>
      </c>
    </row>
    <row r="362" hidden="1">
      <c r="A362" s="1" t="s">
        <v>1168</v>
      </c>
      <c r="B362" s="63">
        <v>2020.0</v>
      </c>
      <c r="C362" s="63">
        <v>2.0</v>
      </c>
      <c r="D362" s="63" t="str">
        <f>IFERROR(__xludf.DUMMYFUNCTION("if(regexmatch(E362,""Recycled""),""No"",""Yes"")"),"No")</f>
        <v>No</v>
      </c>
      <c r="E362" s="63" t="s">
        <v>899</v>
      </c>
      <c r="F362" s="63" t="s">
        <v>654</v>
      </c>
      <c r="G362" s="1" t="s">
        <v>655</v>
      </c>
      <c r="H362" s="1"/>
      <c r="I362" s="69"/>
      <c r="K362" s="73" t="s">
        <v>1169</v>
      </c>
      <c r="L362" s="64">
        <f t="shared" si="65"/>
        <v>1</v>
      </c>
      <c r="R362" s="17">
        <v>1.0</v>
      </c>
      <c r="AN362" s="17"/>
      <c r="AO362" s="17"/>
    </row>
    <row r="363">
      <c r="A363" s="1" t="s">
        <v>1168</v>
      </c>
      <c r="B363" s="63">
        <v>2025.0</v>
      </c>
      <c r="C363" s="63">
        <v>3.0</v>
      </c>
      <c r="D363" s="63" t="str">
        <f>IFERROR(__xludf.DUMMYFUNCTION("if(regexmatch(E363,""Recycled""),""No"",""Yes"")"),"Yes")</f>
        <v>Yes</v>
      </c>
      <c r="E363" s="63"/>
      <c r="F363" s="63" t="s">
        <v>660</v>
      </c>
      <c r="G363" s="1"/>
      <c r="H363" s="1"/>
      <c r="I363" s="69"/>
      <c r="J363" s="17" t="s">
        <v>1170</v>
      </c>
      <c r="L363" s="64"/>
      <c r="AN363" s="17"/>
      <c r="AP363" s="17"/>
    </row>
    <row r="364" hidden="1">
      <c r="A364" s="1" t="s">
        <v>1171</v>
      </c>
      <c r="B364" s="63">
        <v>2019.0</v>
      </c>
      <c r="C364" s="63">
        <v>1.0</v>
      </c>
      <c r="D364" s="63" t="str">
        <f>IFERROR(__xludf.DUMMYFUNCTION("if(regexmatch(E364,""Recycled""),""No"",""Yes"")"),"No")</f>
        <v>No</v>
      </c>
      <c r="E364" s="63" t="s">
        <v>696</v>
      </c>
      <c r="F364" s="63" t="s">
        <v>660</v>
      </c>
      <c r="G364" s="1" t="s">
        <v>655</v>
      </c>
      <c r="H364" s="1"/>
      <c r="I364" s="69"/>
      <c r="L364" s="64">
        <f t="shared" ref="L364:L366" si="66">SUM(M364:AW364)</f>
        <v>1</v>
      </c>
      <c r="AN364" s="17"/>
      <c r="AP364" s="17">
        <v>1.0</v>
      </c>
    </row>
    <row r="365" hidden="1">
      <c r="A365" s="1" t="s">
        <v>1172</v>
      </c>
      <c r="B365" s="63">
        <v>2019.0</v>
      </c>
      <c r="C365" s="63">
        <v>1.0</v>
      </c>
      <c r="D365" s="63" t="str">
        <f>IFERROR(__xludf.DUMMYFUNCTION("if(regexmatch(E365,""Recycled""),""No"",""Yes"")"),"No")</f>
        <v>No</v>
      </c>
      <c r="E365" s="63" t="s">
        <v>696</v>
      </c>
      <c r="F365" s="63" t="s">
        <v>660</v>
      </c>
      <c r="G365" s="1" t="s">
        <v>655</v>
      </c>
      <c r="H365" s="1"/>
      <c r="I365" s="63"/>
      <c r="K365" s="18"/>
      <c r="L365" s="64">
        <f t="shared" si="66"/>
        <v>1</v>
      </c>
      <c r="AW365" s="17">
        <v>1.0</v>
      </c>
    </row>
    <row r="366" hidden="1">
      <c r="A366" s="1" t="s">
        <v>1173</v>
      </c>
      <c r="B366" s="63">
        <v>2019.0</v>
      </c>
      <c r="C366" s="63">
        <v>1.0</v>
      </c>
      <c r="D366" s="63" t="str">
        <f>IFERROR(__xludf.DUMMYFUNCTION("if(regexmatch(E366,""Recycled""),""No"",""Yes"")"),"No")</f>
        <v>No</v>
      </c>
      <c r="E366" s="63" t="s">
        <v>786</v>
      </c>
      <c r="F366" s="63" t="s">
        <v>787</v>
      </c>
      <c r="G366" s="1" t="s">
        <v>655</v>
      </c>
      <c r="H366" s="1"/>
      <c r="I366" s="69"/>
      <c r="K366" s="75" t="s">
        <v>825</v>
      </c>
      <c r="L366" s="64">
        <f t="shared" si="66"/>
        <v>2</v>
      </c>
      <c r="M366" s="17">
        <v>1.0</v>
      </c>
      <c r="O366" s="17">
        <v>1.0</v>
      </c>
    </row>
    <row r="367">
      <c r="A367" s="1" t="s">
        <v>1173</v>
      </c>
      <c r="B367" s="63">
        <v>2025.0</v>
      </c>
      <c r="C367" s="63">
        <v>2.0</v>
      </c>
      <c r="D367" s="63" t="str">
        <f>IFERROR(__xludf.DUMMYFUNCTION("if(regexmatch(E367,""Recycled""),""No"",""Yes"")"),"Yes")</f>
        <v>Yes</v>
      </c>
      <c r="E367" s="63"/>
      <c r="F367" s="63" t="s">
        <v>787</v>
      </c>
      <c r="G367" s="1"/>
      <c r="H367" s="1"/>
      <c r="I367" s="69"/>
      <c r="J367" s="17" t="s">
        <v>1174</v>
      </c>
      <c r="K367" s="69"/>
      <c r="L367" s="64"/>
      <c r="M367" s="17"/>
      <c r="Q367" s="17"/>
    </row>
    <row r="368">
      <c r="A368" s="1" t="s">
        <v>1175</v>
      </c>
      <c r="B368" s="63">
        <v>2019.0</v>
      </c>
      <c r="C368" s="63">
        <v>1.0</v>
      </c>
      <c r="D368" s="63" t="str">
        <f>IFERROR(__xludf.DUMMYFUNCTION("if(regexmatch(E368,""Recycled""),""No"",""Yes"")"),"Yes")</f>
        <v>Yes</v>
      </c>
      <c r="E368" s="63" t="s">
        <v>22</v>
      </c>
      <c r="F368" s="63" t="s">
        <v>787</v>
      </c>
      <c r="G368" s="1" t="s">
        <v>655</v>
      </c>
      <c r="H368" s="1"/>
      <c r="I368" s="69"/>
      <c r="K368" s="73" t="s">
        <v>1176</v>
      </c>
      <c r="L368" s="64">
        <f t="shared" ref="L368:L370" si="67">SUM(M368:AW368)</f>
        <v>1</v>
      </c>
      <c r="M368" s="17">
        <v>1.0</v>
      </c>
      <c r="Q368" s="17"/>
    </row>
    <row r="369" hidden="1">
      <c r="A369" s="1" t="s">
        <v>1177</v>
      </c>
      <c r="B369" s="63">
        <v>2019.0</v>
      </c>
      <c r="C369" s="63">
        <v>1.0</v>
      </c>
      <c r="D369" s="63" t="str">
        <f>IFERROR(__xludf.DUMMYFUNCTION("if(regexmatch(E369,""Recycled""),""No"",""Yes"")"),"No")</f>
        <v>No</v>
      </c>
      <c r="E369" s="63" t="s">
        <v>786</v>
      </c>
      <c r="F369" s="63" t="s">
        <v>787</v>
      </c>
      <c r="G369" s="1" t="s">
        <v>655</v>
      </c>
      <c r="H369" s="1"/>
      <c r="I369" s="69"/>
      <c r="K369" s="41" t="s">
        <v>889</v>
      </c>
      <c r="L369" s="64">
        <f t="shared" si="67"/>
        <v>1</v>
      </c>
      <c r="Q369" s="17">
        <v>1.0</v>
      </c>
    </row>
    <row r="370" hidden="1">
      <c r="A370" s="1" t="s">
        <v>1178</v>
      </c>
      <c r="B370" s="63">
        <v>2022.0</v>
      </c>
      <c r="C370" s="63">
        <v>1.0</v>
      </c>
      <c r="D370" s="63" t="str">
        <f>IFERROR(__xludf.DUMMYFUNCTION("if(regexmatch(E370,""Recycled""),""No"",""Yes"")"),"No")</f>
        <v>No</v>
      </c>
      <c r="E370" s="63" t="s">
        <v>899</v>
      </c>
      <c r="F370" s="63" t="s">
        <v>660</v>
      </c>
      <c r="G370" s="1" t="s">
        <v>655</v>
      </c>
      <c r="H370" s="2"/>
      <c r="I370" s="69"/>
      <c r="J370" s="17" t="s">
        <v>1053</v>
      </c>
      <c r="K370" s="75" t="s">
        <v>825</v>
      </c>
      <c r="L370" s="64">
        <f t="shared" si="67"/>
        <v>1</v>
      </c>
      <c r="T370" s="17">
        <v>1.0</v>
      </c>
    </row>
    <row r="371">
      <c r="A371" s="1" t="s">
        <v>1178</v>
      </c>
      <c r="B371" s="63">
        <v>2025.0</v>
      </c>
      <c r="C371" s="63">
        <v>2.0</v>
      </c>
      <c r="D371" s="63" t="str">
        <f>IFERROR(__xludf.DUMMYFUNCTION("if(regexmatch(E371,""Recycled""),""No"",""Yes"")"),"Yes")</f>
        <v>Yes</v>
      </c>
      <c r="E371" s="63"/>
      <c r="F371" s="63" t="s">
        <v>660</v>
      </c>
      <c r="G371" s="1"/>
      <c r="H371" s="1"/>
      <c r="I371" s="69"/>
      <c r="J371" s="17" t="s">
        <v>1179</v>
      </c>
      <c r="L371" s="64"/>
      <c r="AC371" s="17"/>
      <c r="AD371" s="17"/>
      <c r="AE371" s="17"/>
    </row>
    <row r="372" hidden="1">
      <c r="A372" s="1" t="s">
        <v>1180</v>
      </c>
      <c r="B372" s="63">
        <v>2019.0</v>
      </c>
      <c r="C372" s="63">
        <v>1.0</v>
      </c>
      <c r="D372" s="63" t="str">
        <f>IFERROR(__xludf.DUMMYFUNCTION("if(regexmatch(E372,""Recycled""),""No"",""Yes"")"),"No")</f>
        <v>No</v>
      </c>
      <c r="E372" s="63" t="s">
        <v>696</v>
      </c>
      <c r="F372" s="63" t="s">
        <v>787</v>
      </c>
      <c r="G372" s="1" t="s">
        <v>655</v>
      </c>
      <c r="H372" s="1"/>
      <c r="I372" s="69"/>
      <c r="L372" s="64">
        <f t="shared" ref="L372:L374" si="68">SUM(M372:AW372)</f>
        <v>1</v>
      </c>
      <c r="AC372" s="17"/>
      <c r="AD372" s="17"/>
      <c r="AE372" s="17">
        <v>1.0</v>
      </c>
    </row>
    <row r="373" hidden="1">
      <c r="A373" s="1" t="s">
        <v>1181</v>
      </c>
      <c r="B373" s="63">
        <v>2019.0</v>
      </c>
      <c r="C373" s="63">
        <v>1.0</v>
      </c>
      <c r="D373" s="63" t="str">
        <f>IFERROR(__xludf.DUMMYFUNCTION("if(regexmatch(E373,""Recycled""),""No"",""Yes"")"),"No")</f>
        <v>No</v>
      </c>
      <c r="E373" s="63" t="s">
        <v>857</v>
      </c>
      <c r="F373" s="63" t="s">
        <v>787</v>
      </c>
      <c r="G373" s="1" t="s">
        <v>655</v>
      </c>
      <c r="H373" s="1"/>
      <c r="I373" s="69"/>
      <c r="L373" s="64">
        <f t="shared" si="68"/>
        <v>1</v>
      </c>
      <c r="AC373" s="17"/>
      <c r="AD373" s="17"/>
      <c r="AE373" s="17">
        <v>1.0</v>
      </c>
    </row>
    <row r="374" hidden="1">
      <c r="A374" s="18" t="s">
        <v>1181</v>
      </c>
      <c r="B374" s="63">
        <v>2023.0</v>
      </c>
      <c r="C374" s="63">
        <v>2.0</v>
      </c>
      <c r="D374" s="63" t="str">
        <f>IFERROR(__xludf.DUMMYFUNCTION("if(regexmatch(E374,""Recycled""),""No"",""Yes"")"),"No")</f>
        <v>No</v>
      </c>
      <c r="E374" s="63" t="s">
        <v>786</v>
      </c>
      <c r="F374" s="63" t="s">
        <v>787</v>
      </c>
      <c r="G374" s="1" t="s">
        <v>655</v>
      </c>
      <c r="H374" s="2"/>
      <c r="I374" s="69"/>
      <c r="K374" s="73" t="s">
        <v>916</v>
      </c>
      <c r="L374" s="64">
        <f t="shared" si="68"/>
        <v>1</v>
      </c>
      <c r="AE374" s="17">
        <v>1.0</v>
      </c>
    </row>
    <row r="375">
      <c r="A375" s="18" t="s">
        <v>1181</v>
      </c>
      <c r="B375" s="63">
        <v>2025.0</v>
      </c>
      <c r="C375" s="63">
        <v>3.0</v>
      </c>
      <c r="D375" s="63" t="str">
        <f>IFERROR(__xludf.DUMMYFUNCTION("if(regexmatch(E375,""Recycled""),""No"",""Yes"")"),"Yes")</f>
        <v>Yes</v>
      </c>
      <c r="E375" s="63"/>
      <c r="F375" s="63" t="s">
        <v>787</v>
      </c>
      <c r="G375" s="1"/>
      <c r="H375" s="1"/>
      <c r="I375" s="69"/>
      <c r="J375" s="17" t="s">
        <v>1182</v>
      </c>
      <c r="L375" s="64"/>
      <c r="AC375" s="17"/>
      <c r="AD375" s="17"/>
      <c r="AE375" s="17"/>
    </row>
    <row r="376" hidden="1">
      <c r="A376" s="1" t="s">
        <v>1183</v>
      </c>
      <c r="B376" s="63">
        <v>2019.0</v>
      </c>
      <c r="C376" s="63">
        <v>1.0</v>
      </c>
      <c r="D376" s="63" t="str">
        <f>IFERROR(__xludf.DUMMYFUNCTION("if(regexmatch(E376,""Recycled""),""No"",""Yes"")"),"No")</f>
        <v>No</v>
      </c>
      <c r="E376" s="63" t="s">
        <v>857</v>
      </c>
      <c r="F376" s="63" t="s">
        <v>787</v>
      </c>
      <c r="G376" s="1" t="s">
        <v>655</v>
      </c>
      <c r="H376" s="1"/>
      <c r="I376" s="69"/>
      <c r="L376" s="64">
        <f t="shared" ref="L376:L377" si="69">SUM(M376:AW376)</f>
        <v>1</v>
      </c>
      <c r="AC376" s="17"/>
      <c r="AD376" s="17"/>
      <c r="AE376" s="17">
        <v>1.0</v>
      </c>
    </row>
    <row r="377" hidden="1">
      <c r="A377" s="18" t="s">
        <v>1183</v>
      </c>
      <c r="B377" s="63">
        <v>2023.0</v>
      </c>
      <c r="C377" s="63">
        <v>2.0</v>
      </c>
      <c r="D377" s="63" t="str">
        <f>IFERROR(__xludf.DUMMYFUNCTION("if(regexmatch(E377,""Recycled""),""No"",""Yes"")"),"No")</f>
        <v>No</v>
      </c>
      <c r="E377" s="63" t="s">
        <v>786</v>
      </c>
      <c r="F377" s="63" t="s">
        <v>660</v>
      </c>
      <c r="G377" s="1" t="s">
        <v>655</v>
      </c>
      <c r="H377" s="2"/>
      <c r="I377" s="69"/>
      <c r="L377" s="64">
        <f t="shared" si="69"/>
        <v>1</v>
      </c>
      <c r="AO377" s="17">
        <v>1.0</v>
      </c>
    </row>
    <row r="378">
      <c r="A378" s="18" t="s">
        <v>1183</v>
      </c>
      <c r="B378" s="63">
        <v>2024.0</v>
      </c>
      <c r="C378" s="63">
        <v>3.0</v>
      </c>
      <c r="D378" s="63" t="str">
        <f>IFERROR(__xludf.DUMMYFUNCTION("if(regexmatch(E378,""Recycled""),""No"",""Yes"")"),"Yes")</f>
        <v>Yes</v>
      </c>
      <c r="E378" s="63"/>
      <c r="F378" s="63" t="s">
        <v>660</v>
      </c>
      <c r="G378" s="1"/>
      <c r="H378" s="1">
        <v>2.0</v>
      </c>
      <c r="I378" s="69"/>
      <c r="J378" s="17" t="s">
        <v>1013</v>
      </c>
      <c r="K378" s="17" t="s">
        <v>1184</v>
      </c>
      <c r="L378" s="64"/>
      <c r="AI378" s="17"/>
    </row>
    <row r="379" hidden="1">
      <c r="A379" s="1" t="s">
        <v>1185</v>
      </c>
      <c r="B379" s="63">
        <v>2022.0</v>
      </c>
      <c r="C379" s="63">
        <v>1.0</v>
      </c>
      <c r="D379" s="63" t="str">
        <f>IFERROR(__xludf.DUMMYFUNCTION("if(regexmatch(E379,""Recycled""),""No"",""Yes"")"),"No")</f>
        <v>No</v>
      </c>
      <c r="E379" s="63" t="s">
        <v>786</v>
      </c>
      <c r="F379" s="63" t="s">
        <v>660</v>
      </c>
      <c r="G379" s="1" t="s">
        <v>655</v>
      </c>
      <c r="H379" s="2"/>
      <c r="I379" s="69"/>
      <c r="J379" s="17" t="s">
        <v>1053</v>
      </c>
      <c r="L379" s="64">
        <f>SUM(M379:AW379)</f>
        <v>1</v>
      </c>
      <c r="AI379" s="17">
        <v>1.0</v>
      </c>
    </row>
    <row r="380">
      <c r="A380" s="1" t="s">
        <v>1185</v>
      </c>
      <c r="B380" s="63">
        <v>2024.0</v>
      </c>
      <c r="C380" s="63">
        <v>2.0</v>
      </c>
      <c r="D380" s="63" t="str">
        <f>IFERROR(__xludf.DUMMYFUNCTION("if(regexmatch(E380,""Recycled""),""No"",""Yes"")"),"Yes")</f>
        <v>Yes</v>
      </c>
      <c r="E380" s="63"/>
      <c r="F380" s="63" t="s">
        <v>660</v>
      </c>
      <c r="G380" s="1"/>
      <c r="H380" s="1">
        <v>2.0</v>
      </c>
      <c r="I380" s="63" t="s">
        <v>1186</v>
      </c>
      <c r="J380" s="17" t="s">
        <v>913</v>
      </c>
      <c r="L380" s="64"/>
      <c r="AC380" s="17"/>
      <c r="AD380" s="17"/>
      <c r="AE380" s="17"/>
      <c r="AN380" s="17"/>
      <c r="AO380" s="17"/>
    </row>
    <row r="381">
      <c r="A381" s="1" t="s">
        <v>1187</v>
      </c>
      <c r="B381" s="63">
        <v>2019.0</v>
      </c>
      <c r="C381" s="63">
        <v>1.0</v>
      </c>
      <c r="D381" s="63" t="str">
        <f>IFERROR(__xludf.DUMMYFUNCTION("if(regexmatch(E381,""Recycled""),""No"",""Yes"")"),"Yes")</f>
        <v>Yes</v>
      </c>
      <c r="E381" s="63" t="s">
        <v>22</v>
      </c>
      <c r="F381" s="63" t="s">
        <v>787</v>
      </c>
      <c r="G381" s="1" t="s">
        <v>655</v>
      </c>
      <c r="H381" s="1"/>
      <c r="I381" s="69"/>
      <c r="K381" s="73" t="s">
        <v>951</v>
      </c>
      <c r="L381" s="64">
        <f t="shared" ref="L381:L386" si="70">SUM(M381:AW381)</f>
        <v>1</v>
      </c>
      <c r="AC381" s="17"/>
      <c r="AD381" s="17"/>
      <c r="AE381" s="17">
        <v>1.0</v>
      </c>
      <c r="AN381" s="17"/>
      <c r="AO381" s="17"/>
    </row>
    <row r="382">
      <c r="A382" s="1" t="s">
        <v>1188</v>
      </c>
      <c r="B382" s="63">
        <v>2022.0</v>
      </c>
      <c r="C382" s="63">
        <v>1.0</v>
      </c>
      <c r="D382" s="63" t="str">
        <f>IFERROR(__xludf.DUMMYFUNCTION("if(regexmatch(E382,""Recycled""),""No"",""Yes"")"),"Yes")</f>
        <v>Yes</v>
      </c>
      <c r="E382" s="63" t="s">
        <v>943</v>
      </c>
      <c r="F382" s="63" t="s">
        <v>660</v>
      </c>
      <c r="G382" s="1" t="s">
        <v>655</v>
      </c>
      <c r="H382" s="2"/>
      <c r="I382" s="69"/>
      <c r="J382" s="17" t="s">
        <v>1053</v>
      </c>
      <c r="K382" s="73" t="s">
        <v>1189</v>
      </c>
      <c r="L382" s="64">
        <f t="shared" si="70"/>
        <v>1</v>
      </c>
      <c r="V382" s="17">
        <v>1.0</v>
      </c>
      <c r="ED382" s="66" t="s">
        <v>664</v>
      </c>
      <c r="EP382" s="66" t="s">
        <v>664</v>
      </c>
    </row>
    <row r="383" hidden="1">
      <c r="A383" s="1" t="s">
        <v>1190</v>
      </c>
      <c r="B383" s="63">
        <v>2019.0</v>
      </c>
      <c r="C383" s="63">
        <v>1.0</v>
      </c>
      <c r="D383" s="63" t="str">
        <f>IFERROR(__xludf.DUMMYFUNCTION("if(regexmatch(E383,""Recycled""),""No"",""Yes"")"),"No")</f>
        <v>No</v>
      </c>
      <c r="E383" s="63" t="s">
        <v>857</v>
      </c>
      <c r="F383" s="63" t="s">
        <v>787</v>
      </c>
      <c r="G383" s="1" t="s">
        <v>655</v>
      </c>
      <c r="H383" s="1"/>
      <c r="I383" s="69"/>
      <c r="L383" s="64">
        <f t="shared" si="70"/>
        <v>2</v>
      </c>
      <c r="M383" s="17">
        <v>1.0</v>
      </c>
      <c r="AC383" s="17"/>
      <c r="AD383" s="17"/>
      <c r="AE383" s="17">
        <v>1.0</v>
      </c>
    </row>
    <row r="384" hidden="1">
      <c r="A384" s="18" t="s">
        <v>1190</v>
      </c>
      <c r="B384" s="63">
        <v>2023.0</v>
      </c>
      <c r="C384" s="63">
        <v>2.0</v>
      </c>
      <c r="D384" s="63" t="str">
        <f>IFERROR(__xludf.DUMMYFUNCTION("if(regexmatch(E384,""Recycled""),""No"",""Yes"")"),"No")</f>
        <v>No</v>
      </c>
      <c r="E384" s="63" t="s">
        <v>786</v>
      </c>
      <c r="F384" s="63" t="s">
        <v>787</v>
      </c>
      <c r="G384" s="1" t="s">
        <v>655</v>
      </c>
      <c r="H384" s="2"/>
      <c r="I384" s="69"/>
      <c r="K384" s="44" t="s">
        <v>1191</v>
      </c>
      <c r="L384" s="64">
        <f t="shared" si="70"/>
        <v>1</v>
      </c>
      <c r="M384" s="17">
        <v>1.0</v>
      </c>
    </row>
    <row r="385" hidden="1">
      <c r="A385" s="1" t="s">
        <v>1192</v>
      </c>
      <c r="B385" s="63">
        <v>2019.0</v>
      </c>
      <c r="C385" s="63">
        <v>1.0</v>
      </c>
      <c r="D385" s="63" t="str">
        <f>IFERROR(__xludf.DUMMYFUNCTION("if(regexmatch(E385,""Recycled""),""No"",""Yes"")"),"No")</f>
        <v>No</v>
      </c>
      <c r="E385" s="63" t="s">
        <v>857</v>
      </c>
      <c r="F385" s="63" t="s">
        <v>787</v>
      </c>
      <c r="G385" s="1" t="s">
        <v>655</v>
      </c>
      <c r="H385" s="1"/>
      <c r="I385" s="69"/>
      <c r="L385" s="64">
        <f t="shared" si="70"/>
        <v>1</v>
      </c>
      <c r="M385" s="17">
        <v>1.0</v>
      </c>
    </row>
    <row r="386" hidden="1">
      <c r="A386" s="1" t="s">
        <v>1192</v>
      </c>
      <c r="B386" s="63">
        <v>2023.0</v>
      </c>
      <c r="C386" s="63">
        <v>2.0</v>
      </c>
      <c r="D386" s="63" t="str">
        <f>IFERROR(__xludf.DUMMYFUNCTION("if(regexmatch(E386,""Recycled""),""No"",""Yes"")"),"No")</f>
        <v>No</v>
      </c>
      <c r="E386" s="63" t="s">
        <v>786</v>
      </c>
      <c r="F386" s="63" t="s">
        <v>787</v>
      </c>
      <c r="G386" s="1" t="s">
        <v>655</v>
      </c>
      <c r="H386" s="2"/>
      <c r="I386" s="69"/>
      <c r="L386" s="64">
        <f t="shared" si="70"/>
        <v>1</v>
      </c>
      <c r="M386" s="17">
        <v>1.0</v>
      </c>
    </row>
    <row r="387">
      <c r="A387" s="1" t="s">
        <v>1192</v>
      </c>
      <c r="B387" s="63">
        <v>2024.0</v>
      </c>
      <c r="C387" s="63">
        <v>3.0</v>
      </c>
      <c r="D387" s="63" t="str">
        <f>IFERROR(__xludf.DUMMYFUNCTION("if(regexmatch(E387,""Recycled""),""No"",""Yes"")"),"Yes")</f>
        <v>Yes</v>
      </c>
      <c r="E387" s="63"/>
      <c r="F387" s="63" t="s">
        <v>660</v>
      </c>
      <c r="G387" s="1"/>
      <c r="H387" s="1">
        <v>2.0</v>
      </c>
      <c r="I387" s="69"/>
      <c r="J387" s="17" t="s">
        <v>1064</v>
      </c>
      <c r="L387" s="64"/>
      <c r="N387" s="17"/>
    </row>
    <row r="388">
      <c r="A388" s="1" t="s">
        <v>1193</v>
      </c>
      <c r="B388" s="63">
        <v>2019.0</v>
      </c>
      <c r="C388" s="63">
        <v>1.0</v>
      </c>
      <c r="D388" s="63" t="str">
        <f>IFERROR(__xludf.DUMMYFUNCTION("if(regexmatch(E388,""Recycled""),""No"",""Yes"")"),"Yes")</f>
        <v>Yes</v>
      </c>
      <c r="E388" s="63" t="s">
        <v>22</v>
      </c>
      <c r="F388" s="63" t="s">
        <v>787</v>
      </c>
      <c r="G388" s="1" t="s">
        <v>655</v>
      </c>
      <c r="H388" s="1"/>
      <c r="I388" s="69"/>
      <c r="K388" s="73" t="s">
        <v>1194</v>
      </c>
      <c r="L388" s="64">
        <f t="shared" ref="L388:L389" si="71">SUM(M388:AW388)</f>
        <v>1</v>
      </c>
      <c r="N388" s="17">
        <v>1.0</v>
      </c>
    </row>
    <row r="389" hidden="1">
      <c r="A389" s="1" t="s">
        <v>1195</v>
      </c>
      <c r="B389" s="63">
        <v>2022.0</v>
      </c>
      <c r="C389" s="63">
        <v>1.0</v>
      </c>
      <c r="D389" s="63" t="str">
        <f>IFERROR(__xludf.DUMMYFUNCTION("if(regexmatch(E389,""Recycled""),""No"",""Yes"")"),"No")</f>
        <v>No</v>
      </c>
      <c r="E389" s="63" t="s">
        <v>659</v>
      </c>
      <c r="F389" s="63" t="s">
        <v>660</v>
      </c>
      <c r="G389" s="1" t="s">
        <v>655</v>
      </c>
      <c r="H389" s="1">
        <v>2.0</v>
      </c>
      <c r="I389" s="69"/>
      <c r="J389" s="17" t="s">
        <v>1053</v>
      </c>
      <c r="K389" s="82" t="s">
        <v>1196</v>
      </c>
      <c r="L389" s="64">
        <f t="shared" si="71"/>
        <v>1</v>
      </c>
      <c r="T389" s="17">
        <v>1.0</v>
      </c>
      <c r="ED389" s="66" t="s">
        <v>664</v>
      </c>
      <c r="EP389" s="66" t="s">
        <v>664</v>
      </c>
    </row>
    <row r="390">
      <c r="A390" s="1" t="s">
        <v>1195</v>
      </c>
      <c r="B390" s="63">
        <v>2024.0</v>
      </c>
      <c r="C390" s="63">
        <v>2.0</v>
      </c>
      <c r="D390" s="63" t="str">
        <f>IFERROR(__xludf.DUMMYFUNCTION("if(regexmatch(E390,""Recycled""),""No"",""Yes"")"),"Yes")</f>
        <v>Yes</v>
      </c>
      <c r="E390" s="63"/>
      <c r="F390" s="63" t="s">
        <v>654</v>
      </c>
      <c r="G390" s="1"/>
      <c r="H390" s="1">
        <v>2.0</v>
      </c>
      <c r="I390" s="69"/>
      <c r="J390" s="17" t="s">
        <v>877</v>
      </c>
      <c r="L390" s="64"/>
      <c r="AP390" s="17"/>
    </row>
    <row r="391" hidden="1">
      <c r="A391" s="1" t="s">
        <v>1197</v>
      </c>
      <c r="B391" s="63">
        <v>2019.0</v>
      </c>
      <c r="C391" s="63">
        <v>1.0</v>
      </c>
      <c r="D391" s="63" t="str">
        <f>IFERROR(__xludf.DUMMYFUNCTION("if(regexmatch(E391,""Recycled""),""No"",""Yes"")"),"No")</f>
        <v>No</v>
      </c>
      <c r="E391" s="63" t="s">
        <v>899</v>
      </c>
      <c r="F391" s="63" t="s">
        <v>787</v>
      </c>
      <c r="G391" s="1" t="s">
        <v>655</v>
      </c>
      <c r="H391" s="1"/>
      <c r="I391" s="69"/>
      <c r="K391" s="75" t="s">
        <v>825</v>
      </c>
      <c r="L391" s="64">
        <f>SUM(M391:AW391)</f>
        <v>1</v>
      </c>
      <c r="AP391" s="17">
        <v>1.0</v>
      </c>
    </row>
    <row r="392">
      <c r="A392" s="1" t="s">
        <v>1197</v>
      </c>
      <c r="B392" s="63">
        <v>2025.0</v>
      </c>
      <c r="C392" s="63">
        <v>2.0</v>
      </c>
      <c r="D392" s="63" t="str">
        <f>IFERROR(__xludf.DUMMYFUNCTION("if(regexmatch(E392,""Recycled""),""No"",""Yes"")"),"Yes")</f>
        <v>Yes</v>
      </c>
      <c r="E392" s="63"/>
      <c r="F392" s="63" t="s">
        <v>660</v>
      </c>
      <c r="G392" s="1"/>
      <c r="H392" s="1">
        <v>1.0</v>
      </c>
      <c r="I392" s="69"/>
      <c r="J392" s="17" t="s">
        <v>1198</v>
      </c>
      <c r="K392" s="93"/>
      <c r="L392" s="64"/>
      <c r="AP392" s="17"/>
      <c r="AT392" s="17"/>
      <c r="AU392" s="17"/>
      <c r="AV392" s="17"/>
    </row>
    <row r="393" hidden="1">
      <c r="A393" s="1" t="s">
        <v>1199</v>
      </c>
      <c r="B393" s="63">
        <v>2019.0</v>
      </c>
      <c r="C393" s="63">
        <v>1.0</v>
      </c>
      <c r="D393" s="63" t="str">
        <f>IFERROR(__xludf.DUMMYFUNCTION("if(regexmatch(E393,""Recycled""),""No"",""Yes"")"),"No")</f>
        <v>No</v>
      </c>
      <c r="E393" s="63" t="s">
        <v>786</v>
      </c>
      <c r="F393" s="63" t="s">
        <v>787</v>
      </c>
      <c r="G393" s="1" t="s">
        <v>655</v>
      </c>
      <c r="H393" s="1"/>
      <c r="I393" s="69"/>
      <c r="K393" s="41" t="s">
        <v>1200</v>
      </c>
      <c r="L393" s="64">
        <f>SUM(M393:AW393)</f>
        <v>2</v>
      </c>
      <c r="AP393" s="17">
        <v>1.0</v>
      </c>
      <c r="AT393" s="17"/>
      <c r="AU393" s="17"/>
      <c r="AV393" s="17">
        <v>1.0</v>
      </c>
    </row>
    <row r="394">
      <c r="A394" s="1" t="s">
        <v>1199</v>
      </c>
      <c r="B394" s="63">
        <v>2025.0</v>
      </c>
      <c r="C394" s="63">
        <v>2.0</v>
      </c>
      <c r="D394" s="63" t="str">
        <f>IFERROR(__xludf.DUMMYFUNCTION("if(regexmatch(E394,""Recycled""),""No"",""Yes"")"),"Yes")</f>
        <v>Yes</v>
      </c>
      <c r="E394" s="63"/>
      <c r="F394" s="63" t="s">
        <v>787</v>
      </c>
      <c r="G394" s="1"/>
      <c r="H394" s="1"/>
      <c r="I394" s="69"/>
      <c r="J394" s="17" t="s">
        <v>1201</v>
      </c>
      <c r="L394" s="64"/>
      <c r="AP394" s="17"/>
      <c r="AT394" s="17"/>
    </row>
    <row r="395" hidden="1">
      <c r="A395" s="1" t="s">
        <v>1202</v>
      </c>
      <c r="B395" s="63">
        <v>2019.0</v>
      </c>
      <c r="C395" s="63">
        <v>1.0</v>
      </c>
      <c r="D395" s="63" t="str">
        <f>IFERROR(__xludf.DUMMYFUNCTION("if(regexmatch(E395,""Recycled""),""No"",""Yes"")"),"No")</f>
        <v>No</v>
      </c>
      <c r="E395" s="63" t="s">
        <v>899</v>
      </c>
      <c r="F395" s="63" t="s">
        <v>787</v>
      </c>
      <c r="G395" s="1" t="s">
        <v>655</v>
      </c>
      <c r="H395" s="1"/>
      <c r="I395" s="69"/>
      <c r="K395" s="75" t="s">
        <v>825</v>
      </c>
      <c r="L395" s="64">
        <f>SUM(M395:AW395)</f>
        <v>1</v>
      </c>
      <c r="AP395" s="17">
        <v>1.0</v>
      </c>
      <c r="AT395" s="17"/>
    </row>
    <row r="396">
      <c r="A396" s="1" t="s">
        <v>1202</v>
      </c>
      <c r="B396" s="63">
        <v>2025.0</v>
      </c>
      <c r="C396" s="63">
        <v>2.0</v>
      </c>
      <c r="D396" s="63" t="str">
        <f>IFERROR(__xludf.DUMMYFUNCTION("if(regexmatch(E396,""Recycled""),""No"",""Yes"")"),"Yes")</f>
        <v>Yes</v>
      </c>
      <c r="E396" s="63"/>
      <c r="F396" s="63" t="s">
        <v>787</v>
      </c>
      <c r="G396" s="1"/>
      <c r="H396" s="1"/>
      <c r="I396" s="69"/>
      <c r="J396" s="18" t="s">
        <v>1203</v>
      </c>
      <c r="K396" s="17"/>
      <c r="L396" s="64"/>
      <c r="M396" s="17"/>
      <c r="AC396" s="17"/>
      <c r="AD396" s="17"/>
      <c r="AE396" s="17"/>
      <c r="AM396" s="17"/>
      <c r="AP396" s="17"/>
    </row>
    <row r="397" hidden="1">
      <c r="A397" s="1" t="s">
        <v>1204</v>
      </c>
      <c r="B397" s="63">
        <v>2021.0</v>
      </c>
      <c r="C397" s="63">
        <v>1.0</v>
      </c>
      <c r="D397" s="63" t="str">
        <f>IFERROR(__xludf.DUMMYFUNCTION("if(regexmatch(E397,""Recycled""),""No"",""Yes"")"),"No")</f>
        <v>No</v>
      </c>
      <c r="E397" s="63" t="s">
        <v>696</v>
      </c>
      <c r="F397" s="63" t="s">
        <v>654</v>
      </c>
      <c r="G397" s="1" t="s">
        <v>655</v>
      </c>
      <c r="H397" s="1"/>
      <c r="I397" s="69"/>
      <c r="J397" s="18"/>
      <c r="K397" s="17"/>
      <c r="L397" s="64">
        <f t="shared" ref="L397:L398" si="72">SUM(M397:AW397)</f>
        <v>3</v>
      </c>
      <c r="M397" s="17">
        <v>1.0</v>
      </c>
      <c r="AC397" s="17"/>
      <c r="AD397" s="17"/>
      <c r="AE397" s="17">
        <v>1.0</v>
      </c>
      <c r="AM397" s="17">
        <v>1.0</v>
      </c>
      <c r="AP397" s="17"/>
    </row>
    <row r="398" hidden="1">
      <c r="A398" s="18" t="s">
        <v>1204</v>
      </c>
      <c r="B398" s="63">
        <v>2023.0</v>
      </c>
      <c r="C398" s="63">
        <v>2.0</v>
      </c>
      <c r="D398" s="63" t="str">
        <f>IFERROR(__xludf.DUMMYFUNCTION("if(regexmatch(E398,""Recycled""),""No"",""Yes"")"),"No")</f>
        <v>No</v>
      </c>
      <c r="E398" s="63" t="s">
        <v>786</v>
      </c>
      <c r="F398" s="63" t="s">
        <v>660</v>
      </c>
      <c r="G398" s="1" t="s">
        <v>655</v>
      </c>
      <c r="H398" s="2"/>
      <c r="I398" s="69"/>
      <c r="K398" s="75" t="s">
        <v>825</v>
      </c>
      <c r="L398" s="64">
        <f t="shared" si="72"/>
        <v>1</v>
      </c>
      <c r="AO398" s="17">
        <v>1.0</v>
      </c>
    </row>
    <row r="399">
      <c r="A399" s="18" t="s">
        <v>1204</v>
      </c>
      <c r="B399" s="63">
        <v>2024.0</v>
      </c>
      <c r="C399" s="63">
        <v>3.0</v>
      </c>
      <c r="D399" s="63" t="str">
        <f>IFERROR(__xludf.DUMMYFUNCTION("if(regexmatch(E399,""Recycled""),""No"",""Yes"")"),"Yes")</f>
        <v>Yes</v>
      </c>
      <c r="E399" s="63"/>
      <c r="F399" s="63" t="s">
        <v>660</v>
      </c>
      <c r="G399" s="1"/>
      <c r="H399" s="1">
        <v>2.0</v>
      </c>
      <c r="I399" s="69"/>
      <c r="J399" s="17" t="s">
        <v>1205</v>
      </c>
      <c r="L399" s="64"/>
      <c r="AO399" s="17"/>
    </row>
    <row r="400" hidden="1">
      <c r="A400" s="1" t="s">
        <v>1206</v>
      </c>
      <c r="B400" s="63">
        <v>2019.0</v>
      </c>
      <c r="C400" s="63">
        <v>1.0</v>
      </c>
      <c r="D400" s="63" t="str">
        <f>IFERROR(__xludf.DUMMYFUNCTION("if(regexmatch(E400,""Recycled""),""No"",""Yes"")"),"No")</f>
        <v>No</v>
      </c>
      <c r="E400" s="63" t="s">
        <v>786</v>
      </c>
      <c r="F400" s="63" t="s">
        <v>660</v>
      </c>
      <c r="G400" s="1" t="s">
        <v>655</v>
      </c>
      <c r="H400" s="1"/>
      <c r="I400" s="69"/>
      <c r="J400" s="18"/>
      <c r="L400" s="64">
        <f>SUM(M400:AW400)</f>
        <v>1</v>
      </c>
      <c r="AO400" s="17">
        <v>1.0</v>
      </c>
    </row>
    <row r="401">
      <c r="A401" s="1" t="s">
        <v>1206</v>
      </c>
      <c r="B401" s="63">
        <v>2024.0</v>
      </c>
      <c r="C401" s="63">
        <v>2.0</v>
      </c>
      <c r="D401" s="63" t="str">
        <f>IFERROR(__xludf.DUMMYFUNCTION("if(regexmatch(E401,""Recycled""),""No"",""Yes"")"),"Yes")</f>
        <v>Yes</v>
      </c>
      <c r="E401" s="63"/>
      <c r="F401" s="63" t="s">
        <v>660</v>
      </c>
      <c r="G401" s="1"/>
      <c r="H401" s="1">
        <v>2.0</v>
      </c>
      <c r="I401" s="69"/>
      <c r="J401" s="17" t="s">
        <v>1207</v>
      </c>
      <c r="K401" s="17"/>
      <c r="L401" s="64"/>
      <c r="AQ401" s="17"/>
      <c r="ED401" s="66"/>
      <c r="EQ401" s="66"/>
    </row>
    <row r="402" hidden="1">
      <c r="A402" s="1" t="s">
        <v>1208</v>
      </c>
      <c r="B402" s="63">
        <v>2022.0</v>
      </c>
      <c r="C402" s="63">
        <v>1.0</v>
      </c>
      <c r="D402" s="63" t="str">
        <f>IFERROR(__xludf.DUMMYFUNCTION("if(regexmatch(E402,""Recycled""),""No"",""Yes"")"),"No")</f>
        <v>No</v>
      </c>
      <c r="E402" s="63" t="s">
        <v>876</v>
      </c>
      <c r="F402" s="63" t="s">
        <v>660</v>
      </c>
      <c r="G402" s="1" t="s">
        <v>655</v>
      </c>
      <c r="H402" s="2"/>
      <c r="I402" s="69"/>
      <c r="J402" s="17" t="s">
        <v>1209</v>
      </c>
      <c r="K402" s="17" t="s">
        <v>1210</v>
      </c>
      <c r="L402" s="64">
        <f>SUM(M402:AW402)</f>
        <v>1</v>
      </c>
      <c r="AQ402" s="17">
        <v>1.0</v>
      </c>
      <c r="ED402" s="66" t="s">
        <v>664</v>
      </c>
      <c r="EQ402" s="66" t="s">
        <v>664</v>
      </c>
    </row>
    <row r="403">
      <c r="A403" s="1" t="s">
        <v>1208</v>
      </c>
      <c r="B403" s="63">
        <v>2024.0</v>
      </c>
      <c r="C403" s="63">
        <v>2.0</v>
      </c>
      <c r="D403" s="63" t="str">
        <f>IFERROR(__xludf.DUMMYFUNCTION("if(regexmatch(E403,""Recycled""),""No"",""Yes"")"),"Yes")</f>
        <v>Yes</v>
      </c>
      <c r="E403" s="63"/>
      <c r="F403" s="63" t="s">
        <v>660</v>
      </c>
      <c r="G403" s="1"/>
      <c r="H403" s="1">
        <v>3.0</v>
      </c>
      <c r="I403" s="69"/>
      <c r="J403" s="17" t="s">
        <v>1211</v>
      </c>
      <c r="L403" s="64"/>
      <c r="AA403" s="17"/>
      <c r="ED403" s="66"/>
      <c r="EP403" s="66"/>
    </row>
    <row r="404" hidden="1">
      <c r="A404" s="1" t="s">
        <v>1212</v>
      </c>
      <c r="B404" s="63">
        <v>2022.0</v>
      </c>
      <c r="C404" s="63">
        <v>1.0</v>
      </c>
      <c r="D404" s="63" t="str">
        <f>IFERROR(__xludf.DUMMYFUNCTION("if(regexmatch(E404,""Recycled""),""No"",""Yes"")"),"No")</f>
        <v>No</v>
      </c>
      <c r="E404" s="63" t="s">
        <v>876</v>
      </c>
      <c r="F404" s="63" t="s">
        <v>660</v>
      </c>
      <c r="G404" s="1" t="s">
        <v>655</v>
      </c>
      <c r="H404" s="2"/>
      <c r="I404" s="69"/>
      <c r="J404" s="17" t="s">
        <v>1213</v>
      </c>
      <c r="L404" s="64">
        <f>SUM(M404:AW404)</f>
        <v>1</v>
      </c>
      <c r="AA404" s="17">
        <v>1.0</v>
      </c>
      <c r="ED404" s="66" t="s">
        <v>664</v>
      </c>
      <c r="EP404" s="66" t="s">
        <v>664</v>
      </c>
    </row>
    <row r="405">
      <c r="A405" s="1" t="s">
        <v>1212</v>
      </c>
      <c r="B405" s="63">
        <v>2024.0</v>
      </c>
      <c r="C405" s="63">
        <v>2.0</v>
      </c>
      <c r="D405" s="63" t="str">
        <f>IFERROR(__xludf.DUMMYFUNCTION("if(regexmatch(E405,""Recycled""),""No"",""Yes"")"),"Yes")</f>
        <v>Yes</v>
      </c>
      <c r="E405" s="63"/>
      <c r="F405" s="63" t="s">
        <v>660</v>
      </c>
      <c r="G405" s="1"/>
      <c r="H405" s="1">
        <v>2.0</v>
      </c>
      <c r="I405" s="69"/>
      <c r="J405" s="17" t="s">
        <v>858</v>
      </c>
      <c r="L405" s="64"/>
      <c r="AT405" s="17"/>
      <c r="AU405" s="17"/>
      <c r="AV405" s="17"/>
    </row>
    <row r="406" hidden="1">
      <c r="A406" s="1" t="s">
        <v>1214</v>
      </c>
      <c r="B406" s="63">
        <v>2019.0</v>
      </c>
      <c r="C406" s="63">
        <v>1.0</v>
      </c>
      <c r="D406" s="63" t="str">
        <f>IFERROR(__xludf.DUMMYFUNCTION("if(regexmatch(E406,""Recycled""),""No"",""Yes"")"),"No")</f>
        <v>No</v>
      </c>
      <c r="E406" s="63" t="s">
        <v>786</v>
      </c>
      <c r="F406" s="63" t="s">
        <v>787</v>
      </c>
      <c r="G406" s="1" t="s">
        <v>655</v>
      </c>
      <c r="H406" s="1"/>
      <c r="I406" s="69"/>
      <c r="K406" s="73" t="s">
        <v>842</v>
      </c>
      <c r="L406" s="64">
        <f>SUM(M406:AW406)</f>
        <v>1</v>
      </c>
      <c r="AT406" s="17"/>
      <c r="AU406" s="17"/>
      <c r="AV406" s="17">
        <v>1.0</v>
      </c>
    </row>
    <row r="407">
      <c r="A407" s="1" t="s">
        <v>1214</v>
      </c>
      <c r="B407" s="63">
        <v>2025.0</v>
      </c>
      <c r="C407" s="63">
        <v>2.0</v>
      </c>
      <c r="D407" s="63" t="str">
        <f>IFERROR(__xludf.DUMMYFUNCTION("if(regexmatch(E407,""Recycled""),""No"",""Yes"")"),"Yes")</f>
        <v>Yes</v>
      </c>
      <c r="E407" s="63"/>
      <c r="F407" s="63" t="s">
        <v>787</v>
      </c>
      <c r="G407" s="1"/>
      <c r="H407" s="2"/>
      <c r="I407" s="69"/>
      <c r="J407" s="17" t="s">
        <v>1215</v>
      </c>
      <c r="K407" s="17"/>
      <c r="L407" s="64"/>
      <c r="AP407" s="17"/>
    </row>
    <row r="408" hidden="1">
      <c r="A408" s="1" t="s">
        <v>1216</v>
      </c>
      <c r="B408" s="63">
        <v>2022.0</v>
      </c>
      <c r="C408" s="63">
        <v>1.0</v>
      </c>
      <c r="D408" s="63" t="str">
        <f>IFERROR(__xludf.DUMMYFUNCTION("if(regexmatch(E408,""Recycled""),""No"",""Yes"")"),"No")</f>
        <v>No</v>
      </c>
      <c r="E408" s="63" t="s">
        <v>786</v>
      </c>
      <c r="F408" s="63" t="s">
        <v>660</v>
      </c>
      <c r="G408" s="1" t="s">
        <v>655</v>
      </c>
      <c r="H408" s="2"/>
      <c r="I408" s="69"/>
      <c r="J408" s="17" t="s">
        <v>1053</v>
      </c>
      <c r="K408" s="73" t="s">
        <v>916</v>
      </c>
      <c r="L408" s="64">
        <f>SUM(M408:AW408)</f>
        <v>1</v>
      </c>
      <c r="AP408" s="17">
        <v>1.0</v>
      </c>
    </row>
    <row r="409">
      <c r="A409" s="1" t="s">
        <v>1216</v>
      </c>
      <c r="B409" s="63">
        <v>2024.0</v>
      </c>
      <c r="C409" s="63">
        <v>2.0</v>
      </c>
      <c r="D409" s="63" t="str">
        <f>IFERROR(__xludf.DUMMYFUNCTION("if(regexmatch(E409,""Recycled""),""No"",""Yes"")"),"Yes")</f>
        <v>Yes</v>
      </c>
      <c r="E409" s="63"/>
      <c r="F409" s="63" t="s">
        <v>787</v>
      </c>
      <c r="G409" s="1"/>
      <c r="H409" s="1"/>
      <c r="I409" s="63"/>
      <c r="J409" s="17" t="s">
        <v>1217</v>
      </c>
      <c r="L409" s="64"/>
      <c r="AO409" s="17"/>
    </row>
    <row r="410" hidden="1">
      <c r="A410" s="1" t="s">
        <v>1218</v>
      </c>
      <c r="B410" s="63">
        <v>2018.0</v>
      </c>
      <c r="C410" s="63">
        <v>1.0</v>
      </c>
      <c r="D410" s="63" t="str">
        <f>IFERROR(__xludf.DUMMYFUNCTION("if(regexmatch(E410,""Recycled""),""No"",""Yes"")"),"No")</f>
        <v>No</v>
      </c>
      <c r="E410" s="63" t="s">
        <v>857</v>
      </c>
      <c r="F410" s="63" t="s">
        <v>660</v>
      </c>
      <c r="G410" s="1" t="s">
        <v>655</v>
      </c>
      <c r="H410" s="1"/>
      <c r="I410" s="63"/>
      <c r="J410" s="18"/>
      <c r="L410" s="64">
        <f t="shared" ref="L410:L411" si="73">SUM(M410:AW410)</f>
        <v>1</v>
      </c>
      <c r="AO410" s="17">
        <v>1.0</v>
      </c>
    </row>
    <row r="411" hidden="1">
      <c r="A411" s="18" t="s">
        <v>1218</v>
      </c>
      <c r="B411" s="63">
        <v>2023.0</v>
      </c>
      <c r="C411" s="63">
        <v>2.0</v>
      </c>
      <c r="D411" s="63" t="str">
        <f>IFERROR(__xludf.DUMMYFUNCTION("if(regexmatch(E411,""Recycled""),""No"",""Yes"")"),"No")</f>
        <v>No</v>
      </c>
      <c r="E411" s="63" t="s">
        <v>786</v>
      </c>
      <c r="F411" s="63" t="s">
        <v>654</v>
      </c>
      <c r="G411" s="2"/>
      <c r="H411" s="2"/>
      <c r="I411" s="69"/>
      <c r="K411" s="41" t="s">
        <v>1138</v>
      </c>
      <c r="L411" s="64">
        <f t="shared" si="73"/>
        <v>0</v>
      </c>
    </row>
    <row r="412">
      <c r="A412" s="18" t="s">
        <v>1218</v>
      </c>
      <c r="B412" s="63">
        <v>2024.0</v>
      </c>
      <c r="C412" s="63">
        <v>3.0</v>
      </c>
      <c r="D412" s="63" t="str">
        <f>IFERROR(__xludf.DUMMYFUNCTION("if(regexmatch(E412,""Recycled""),""No"",""Yes"")"),"Yes")</f>
        <v>Yes</v>
      </c>
      <c r="E412" s="63"/>
      <c r="F412" s="63" t="s">
        <v>660</v>
      </c>
      <c r="G412" s="1"/>
      <c r="H412" s="1">
        <v>2.0</v>
      </c>
      <c r="I412" s="69"/>
      <c r="J412" s="17" t="s">
        <v>1219</v>
      </c>
      <c r="L412" s="64"/>
      <c r="M412" s="17"/>
      <c r="U412" s="17"/>
    </row>
    <row r="413" hidden="1">
      <c r="A413" s="1" t="s">
        <v>1220</v>
      </c>
      <c r="B413" s="63">
        <v>2019.0</v>
      </c>
      <c r="C413" s="63">
        <v>1.0</v>
      </c>
      <c r="D413" s="63" t="str">
        <f>IFERROR(__xludf.DUMMYFUNCTION("if(regexmatch(E413,""Recycled""),""No"",""Yes"")"),"No")</f>
        <v>No</v>
      </c>
      <c r="E413" s="63" t="s">
        <v>857</v>
      </c>
      <c r="F413" s="63" t="s">
        <v>787</v>
      </c>
      <c r="G413" s="1" t="s">
        <v>655</v>
      </c>
      <c r="H413" s="1"/>
      <c r="I413" s="69"/>
      <c r="L413" s="64">
        <f t="shared" ref="L413:L416" si="74">SUM(M413:AW413)</f>
        <v>2</v>
      </c>
      <c r="M413" s="17">
        <v>1.0</v>
      </c>
      <c r="U413" s="17">
        <v>1.0</v>
      </c>
    </row>
    <row r="414">
      <c r="A414" s="18" t="s">
        <v>1220</v>
      </c>
      <c r="B414" s="63">
        <v>2023.0</v>
      </c>
      <c r="C414" s="63">
        <v>2.0</v>
      </c>
      <c r="D414" s="63" t="str">
        <f>IFERROR(__xludf.DUMMYFUNCTION("if(regexmatch(E414,""Recycled""),""No"",""Yes"")"),"Yes")</f>
        <v>Yes</v>
      </c>
      <c r="E414" s="63" t="s">
        <v>22</v>
      </c>
      <c r="F414" s="63" t="s">
        <v>654</v>
      </c>
      <c r="G414" s="2"/>
      <c r="H414" s="2"/>
      <c r="I414" s="69"/>
      <c r="K414" s="73" t="s">
        <v>1221</v>
      </c>
      <c r="L414" s="64">
        <f t="shared" si="74"/>
        <v>0</v>
      </c>
    </row>
    <row r="415">
      <c r="A415" s="1" t="s">
        <v>1222</v>
      </c>
      <c r="B415" s="63">
        <v>2019.0</v>
      </c>
      <c r="C415" s="63">
        <v>1.0</v>
      </c>
      <c r="D415" s="63" t="str">
        <f>IFERROR(__xludf.DUMMYFUNCTION("if(regexmatch(E415,""Recycled""),""No"",""Yes"")"),"Yes")</f>
        <v>Yes</v>
      </c>
      <c r="E415" s="63" t="s">
        <v>22</v>
      </c>
      <c r="F415" s="63" t="s">
        <v>787</v>
      </c>
      <c r="G415" s="1" t="s">
        <v>655</v>
      </c>
      <c r="H415" s="1"/>
      <c r="I415" s="69"/>
      <c r="K415" s="73" t="s">
        <v>1223</v>
      </c>
      <c r="L415" s="64">
        <f t="shared" si="74"/>
        <v>3</v>
      </c>
      <c r="Q415" s="17">
        <v>1.0</v>
      </c>
      <c r="S415" s="17">
        <v>1.0</v>
      </c>
      <c r="T415" s="17"/>
      <c r="U415" s="17">
        <v>1.0</v>
      </c>
    </row>
    <row r="416" hidden="1">
      <c r="A416" s="1" t="s">
        <v>1224</v>
      </c>
      <c r="B416" s="63">
        <v>2019.0</v>
      </c>
      <c r="C416" s="63">
        <v>1.0</v>
      </c>
      <c r="D416" s="63" t="str">
        <f>IFERROR(__xludf.DUMMYFUNCTION("if(regexmatch(E416,""Recycled""),""No"",""Yes"")"),"No")</f>
        <v>No</v>
      </c>
      <c r="E416" s="63" t="s">
        <v>899</v>
      </c>
      <c r="F416" s="63" t="s">
        <v>787</v>
      </c>
      <c r="G416" s="1" t="s">
        <v>655</v>
      </c>
      <c r="H416" s="1"/>
      <c r="I416" s="69"/>
      <c r="K416" s="75" t="s">
        <v>825</v>
      </c>
      <c r="L416" s="64">
        <f t="shared" si="74"/>
        <v>1</v>
      </c>
      <c r="T416" s="17"/>
      <c r="AO416" s="17">
        <v>1.0</v>
      </c>
      <c r="AT416" s="17"/>
    </row>
    <row r="417">
      <c r="A417" s="1" t="s">
        <v>1224</v>
      </c>
      <c r="B417" s="63">
        <v>2025.0</v>
      </c>
      <c r="C417" s="63">
        <v>2.0</v>
      </c>
      <c r="D417" s="63" t="str">
        <f>IFERROR(__xludf.DUMMYFUNCTION("if(regexmatch(E417,""Recycled""),""No"",""Yes"")"),"Yes")</f>
        <v>Yes</v>
      </c>
      <c r="E417" s="63"/>
      <c r="F417" s="63" t="s">
        <v>660</v>
      </c>
      <c r="G417" s="1"/>
      <c r="H417" s="1"/>
      <c r="I417" s="69"/>
      <c r="J417" s="17" t="s">
        <v>882</v>
      </c>
      <c r="L417" s="64"/>
      <c r="S417" s="17"/>
      <c r="AP417" s="17"/>
      <c r="AU417" s="17"/>
      <c r="AV417" s="17"/>
    </row>
    <row r="418" hidden="1">
      <c r="A418" s="1" t="s">
        <v>1225</v>
      </c>
      <c r="B418" s="63">
        <v>2019.0</v>
      </c>
      <c r="C418" s="63">
        <v>1.0</v>
      </c>
      <c r="D418" s="63" t="str">
        <f>IFERROR(__xludf.DUMMYFUNCTION("if(regexmatch(E418,""Recycled""),""No"",""Yes"")"),"No")</f>
        <v>No</v>
      </c>
      <c r="E418" s="63" t="s">
        <v>857</v>
      </c>
      <c r="F418" s="63" t="s">
        <v>787</v>
      </c>
      <c r="G418" s="1" t="s">
        <v>655</v>
      </c>
      <c r="H418" s="1"/>
      <c r="I418" s="69"/>
      <c r="L418" s="64">
        <f t="shared" ref="L418:L419" si="75">SUM(M418:AW418)</f>
        <v>3</v>
      </c>
      <c r="S418" s="17">
        <v>1.0</v>
      </c>
      <c r="AP418" s="17">
        <v>1.0</v>
      </c>
      <c r="AU418" s="17"/>
      <c r="AV418" s="17">
        <v>1.0</v>
      </c>
    </row>
    <row r="419" hidden="1">
      <c r="A419" s="18" t="s">
        <v>1225</v>
      </c>
      <c r="B419" s="63">
        <v>2023.0</v>
      </c>
      <c r="C419" s="63">
        <v>2.0</v>
      </c>
      <c r="D419" s="63" t="str">
        <f>IFERROR(__xludf.DUMMYFUNCTION("if(regexmatch(E419,""Recycled""),""No"",""Yes"")"),"No")</f>
        <v>No</v>
      </c>
      <c r="E419" s="63" t="s">
        <v>786</v>
      </c>
      <c r="F419" s="63" t="s">
        <v>660</v>
      </c>
      <c r="G419" s="1" t="s">
        <v>655</v>
      </c>
      <c r="H419" s="2"/>
      <c r="I419" s="69"/>
      <c r="K419" s="17" t="s">
        <v>1226</v>
      </c>
      <c r="L419" s="64">
        <f t="shared" si="75"/>
        <v>1</v>
      </c>
      <c r="AO419" s="17">
        <v>1.0</v>
      </c>
    </row>
    <row r="420">
      <c r="A420" s="18" t="s">
        <v>1225</v>
      </c>
      <c r="B420" s="63">
        <v>2024.0</v>
      </c>
      <c r="C420" s="63">
        <v>3.0</v>
      </c>
      <c r="D420" s="63" t="str">
        <f>IFERROR(__xludf.DUMMYFUNCTION("if(regexmatch(E420,""Recycled""),""No"",""Yes"")"),"Yes")</f>
        <v>Yes</v>
      </c>
      <c r="E420" s="63"/>
      <c r="F420" s="63" t="s">
        <v>654</v>
      </c>
      <c r="G420" s="1"/>
      <c r="H420" s="1">
        <v>3.0</v>
      </c>
      <c r="I420" s="69"/>
      <c r="J420" s="17" t="s">
        <v>877</v>
      </c>
      <c r="L420" s="64"/>
      <c r="M420" s="17"/>
      <c r="U420" s="17"/>
      <c r="V420" s="17"/>
    </row>
    <row r="421" hidden="1">
      <c r="A421" s="1" t="s">
        <v>1227</v>
      </c>
      <c r="B421" s="63">
        <v>2019.0</v>
      </c>
      <c r="C421" s="63">
        <v>1.0</v>
      </c>
      <c r="D421" s="63" t="str">
        <f>IFERROR(__xludf.DUMMYFUNCTION("if(regexmatch(E421,""Recycled""),""No"",""Yes"")"),"No")</f>
        <v>No</v>
      </c>
      <c r="E421" s="63" t="s">
        <v>857</v>
      </c>
      <c r="F421" s="63" t="s">
        <v>787</v>
      </c>
      <c r="G421" s="1" t="s">
        <v>655</v>
      </c>
      <c r="H421" s="1"/>
      <c r="I421" s="69"/>
      <c r="L421" s="64">
        <f t="shared" ref="L421:L423" si="76">SUM(M421:AW421)</f>
        <v>3</v>
      </c>
      <c r="M421" s="17">
        <v>1.0</v>
      </c>
      <c r="U421" s="17">
        <v>1.0</v>
      </c>
      <c r="V421" s="17">
        <v>1.0</v>
      </c>
    </row>
    <row r="422">
      <c r="A422" s="18" t="s">
        <v>1227</v>
      </c>
      <c r="B422" s="63">
        <v>2023.0</v>
      </c>
      <c r="C422" s="63">
        <v>2.0</v>
      </c>
      <c r="D422" s="63" t="str">
        <f>IFERROR(__xludf.DUMMYFUNCTION("if(regexmatch(E422,""Recycled""),""No"",""Yes"")"),"Yes")</f>
        <v>Yes</v>
      </c>
      <c r="E422" s="63" t="s">
        <v>22</v>
      </c>
      <c r="F422" s="63" t="s">
        <v>654</v>
      </c>
      <c r="G422" s="2"/>
      <c r="H422" s="2"/>
      <c r="I422" s="69"/>
      <c r="K422" s="44" t="s">
        <v>1228</v>
      </c>
      <c r="L422" s="64">
        <f t="shared" si="76"/>
        <v>0</v>
      </c>
    </row>
    <row r="423" hidden="1">
      <c r="A423" s="1" t="s">
        <v>1229</v>
      </c>
      <c r="B423" s="63">
        <v>2019.0</v>
      </c>
      <c r="C423" s="63">
        <v>1.0</v>
      </c>
      <c r="D423" s="63" t="str">
        <f>IFERROR(__xludf.DUMMYFUNCTION("if(regexmatch(E423,""Recycled""),""No"",""Yes"")"),"No")</f>
        <v>No</v>
      </c>
      <c r="E423" s="63" t="s">
        <v>786</v>
      </c>
      <c r="F423" s="63" t="s">
        <v>660</v>
      </c>
      <c r="G423" s="1" t="s">
        <v>655</v>
      </c>
      <c r="H423" s="1"/>
      <c r="I423" s="2"/>
      <c r="J423" s="6"/>
      <c r="K423" s="41" t="s">
        <v>861</v>
      </c>
      <c r="L423" s="64">
        <f t="shared" si="76"/>
        <v>1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18"/>
      <c r="AD423" s="18"/>
      <c r="AE423" s="18">
        <v>1.0</v>
      </c>
      <c r="AF423" s="6"/>
      <c r="AG423" s="6"/>
      <c r="AH423" s="6"/>
      <c r="AI423" s="6"/>
      <c r="AJ423" s="6"/>
      <c r="AK423" s="6"/>
      <c r="AL423" s="6"/>
      <c r="AM423" s="6"/>
      <c r="AN423" s="18"/>
      <c r="AO423" s="18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</row>
    <row r="424">
      <c r="A424" s="1" t="s">
        <v>1229</v>
      </c>
      <c r="B424" s="63">
        <v>2024.0</v>
      </c>
      <c r="C424" s="63">
        <v>2.0</v>
      </c>
      <c r="D424" s="63" t="str">
        <f>IFERROR(__xludf.DUMMYFUNCTION("if(regexmatch(E424,""Recycled""),""No"",""Yes"")"),"Yes")</f>
        <v>Yes</v>
      </c>
      <c r="E424" s="63"/>
      <c r="F424" s="63" t="s">
        <v>660</v>
      </c>
      <c r="G424" s="1"/>
      <c r="H424" s="1">
        <v>1.0</v>
      </c>
      <c r="I424" s="69"/>
      <c r="J424" s="17" t="s">
        <v>1230</v>
      </c>
      <c r="L424" s="64"/>
      <c r="Q424" s="17"/>
      <c r="S424" s="17"/>
      <c r="AP424" s="17"/>
    </row>
    <row r="425" hidden="1">
      <c r="A425" s="1" t="s">
        <v>1231</v>
      </c>
      <c r="B425" s="63">
        <v>2019.0</v>
      </c>
      <c r="C425" s="63">
        <v>1.0</v>
      </c>
      <c r="D425" s="63" t="str">
        <f>IFERROR(__xludf.DUMMYFUNCTION("if(regexmatch(E425,""Recycled""),""No"",""Yes"")"),"No")</f>
        <v>No</v>
      </c>
      <c r="E425" s="63" t="s">
        <v>786</v>
      </c>
      <c r="F425" s="63" t="s">
        <v>787</v>
      </c>
      <c r="G425" s="1" t="s">
        <v>655</v>
      </c>
      <c r="H425" s="1"/>
      <c r="I425" s="69"/>
      <c r="K425" s="41" t="s">
        <v>823</v>
      </c>
      <c r="L425" s="64">
        <f>SUM(M425:AW425)</f>
        <v>3</v>
      </c>
      <c r="Q425" s="17">
        <v>1.0</v>
      </c>
      <c r="S425" s="17">
        <v>1.0</v>
      </c>
      <c r="AP425" s="17">
        <v>1.0</v>
      </c>
    </row>
    <row r="426">
      <c r="A426" s="1" t="s">
        <v>1231</v>
      </c>
      <c r="B426" s="63">
        <v>2025.0</v>
      </c>
      <c r="C426" s="63">
        <v>2.0</v>
      </c>
      <c r="D426" s="63" t="str">
        <f>IFERROR(__xludf.DUMMYFUNCTION("if(regexmatch(E426,""Recycled""),""No"",""Yes"")"),"Yes")</f>
        <v>Yes</v>
      </c>
      <c r="E426" s="63"/>
      <c r="F426" s="63" t="s">
        <v>787</v>
      </c>
      <c r="G426" s="1"/>
      <c r="H426" s="2"/>
      <c r="I426" s="69"/>
      <c r="J426" s="17" t="s">
        <v>1232</v>
      </c>
      <c r="L426" s="64"/>
      <c r="M426" s="17"/>
      <c r="T426" s="17"/>
      <c r="U426" s="17"/>
      <c r="AT426" s="17"/>
      <c r="AU426" s="17"/>
      <c r="AV426" s="17"/>
    </row>
    <row r="427" hidden="1">
      <c r="A427" s="1" t="s">
        <v>1233</v>
      </c>
      <c r="B427" s="63">
        <v>2021.0</v>
      </c>
      <c r="C427" s="63">
        <v>1.0</v>
      </c>
      <c r="D427" s="63" t="str">
        <f>IFERROR(__xludf.DUMMYFUNCTION("if(regexmatch(E427,""Recycled""),""No"",""Yes"")"),"No")</f>
        <v>No</v>
      </c>
      <c r="E427" s="63" t="s">
        <v>786</v>
      </c>
      <c r="F427" s="63" t="s">
        <v>787</v>
      </c>
      <c r="G427" s="1" t="s">
        <v>655</v>
      </c>
      <c r="H427" s="2"/>
      <c r="I427" s="69"/>
      <c r="K427" s="41" t="s">
        <v>823</v>
      </c>
      <c r="L427" s="64">
        <f>SUM(M427:AW427)</f>
        <v>3</v>
      </c>
      <c r="M427" s="17">
        <v>1.0</v>
      </c>
      <c r="T427" s="17"/>
      <c r="U427" s="17">
        <v>1.0</v>
      </c>
      <c r="AT427" s="17"/>
      <c r="AU427" s="17"/>
      <c r="AV427" s="17">
        <v>1.0</v>
      </c>
    </row>
    <row r="428">
      <c r="A428" s="1" t="s">
        <v>1233</v>
      </c>
      <c r="B428" s="63">
        <v>2025.0</v>
      </c>
      <c r="C428" s="63">
        <v>2.0</v>
      </c>
      <c r="D428" s="63" t="str">
        <f>IFERROR(__xludf.DUMMYFUNCTION("if(regexmatch(E428,""Recycled""),""No"",""Yes"")"),"Yes")</f>
        <v>Yes</v>
      </c>
      <c r="E428" s="63"/>
      <c r="F428" s="63" t="s">
        <v>787</v>
      </c>
      <c r="G428" s="1"/>
      <c r="H428" s="2"/>
      <c r="I428" s="69"/>
      <c r="J428" s="17" t="s">
        <v>1234</v>
      </c>
      <c r="L428" s="64"/>
      <c r="M428" s="17"/>
      <c r="AD428" s="17"/>
      <c r="AE428" s="17"/>
      <c r="AI428" s="17"/>
      <c r="AO428" s="17"/>
      <c r="AT428" s="17"/>
      <c r="AU428" s="17"/>
      <c r="AV428" s="17"/>
    </row>
    <row r="429" hidden="1">
      <c r="A429" s="1" t="s">
        <v>1235</v>
      </c>
      <c r="B429" s="63">
        <v>2019.0</v>
      </c>
      <c r="C429" s="63">
        <v>1.0</v>
      </c>
      <c r="D429" s="63" t="str">
        <f>IFERROR(__xludf.DUMMYFUNCTION("if(regexmatch(E429,""Recycled""),""No"",""Yes"")"),"No")</f>
        <v>No</v>
      </c>
      <c r="E429" s="63" t="s">
        <v>786</v>
      </c>
      <c r="F429" s="63" t="s">
        <v>660</v>
      </c>
      <c r="G429" s="1" t="s">
        <v>655</v>
      </c>
      <c r="H429" s="2"/>
      <c r="I429" s="69"/>
      <c r="K429" s="41" t="s">
        <v>861</v>
      </c>
      <c r="L429" s="64">
        <f>SUM(M429:AW429)</f>
        <v>5</v>
      </c>
      <c r="M429" s="17">
        <v>1.0</v>
      </c>
      <c r="AD429" s="17"/>
      <c r="AE429" s="17">
        <v>1.0</v>
      </c>
      <c r="AI429" s="17">
        <v>1.0</v>
      </c>
      <c r="AO429" s="17">
        <v>1.0</v>
      </c>
      <c r="AT429" s="17"/>
      <c r="AU429" s="17"/>
      <c r="AV429" s="17">
        <v>1.0</v>
      </c>
    </row>
    <row r="430">
      <c r="A430" s="1" t="s">
        <v>1235</v>
      </c>
      <c r="B430" s="63">
        <v>2025.0</v>
      </c>
      <c r="C430" s="63">
        <v>2.0</v>
      </c>
      <c r="D430" s="63" t="str">
        <f>IFERROR(__xludf.DUMMYFUNCTION("if(regexmatch(E430,""Recycled""),""No"",""Yes"")"),"Yes")</f>
        <v>Yes</v>
      </c>
      <c r="E430" s="63"/>
      <c r="F430" s="63" t="s">
        <v>660</v>
      </c>
      <c r="G430" s="1"/>
      <c r="H430" s="1"/>
      <c r="I430" s="63"/>
      <c r="J430" s="17" t="s">
        <v>1236</v>
      </c>
      <c r="K430" s="18"/>
      <c r="L430" s="64"/>
      <c r="M430" s="3"/>
      <c r="N430" s="8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83"/>
      <c r="AD430" s="83"/>
      <c r="AE430" s="83"/>
      <c r="AF430" s="3"/>
      <c r="AG430" s="3"/>
      <c r="AH430" s="3"/>
      <c r="AI430" s="83"/>
      <c r="AJ430" s="3"/>
      <c r="AK430" s="3"/>
      <c r="AL430" s="3"/>
      <c r="AM430" s="3"/>
      <c r="AN430" s="3"/>
      <c r="AO430" s="3"/>
      <c r="AP430" s="8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8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</row>
    <row r="431">
      <c r="A431" s="1" t="s">
        <v>1237</v>
      </c>
      <c r="B431" s="63">
        <v>2018.0</v>
      </c>
      <c r="C431" s="63">
        <v>1.0</v>
      </c>
      <c r="D431" s="63" t="str">
        <f>IFERROR(__xludf.DUMMYFUNCTION("if(regexmatch(E431,""Recycled""),""No"",""Yes"")"),"Yes")</f>
        <v>Yes</v>
      </c>
      <c r="E431" s="63" t="s">
        <v>22</v>
      </c>
      <c r="F431" s="63" t="s">
        <v>660</v>
      </c>
      <c r="G431" s="1" t="s">
        <v>655</v>
      </c>
      <c r="H431" s="1"/>
      <c r="I431" s="63"/>
      <c r="J431" s="18"/>
      <c r="K431" s="74" t="s">
        <v>1238</v>
      </c>
      <c r="L431" s="64">
        <f t="shared" ref="L431:L432" si="77">SUM(M431:AW431)</f>
        <v>3</v>
      </c>
      <c r="M431" s="3"/>
      <c r="N431" s="83">
        <v>1.0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83"/>
      <c r="AD431" s="83"/>
      <c r="AE431" s="83">
        <v>1.0</v>
      </c>
      <c r="AF431" s="3"/>
      <c r="AG431" s="3"/>
      <c r="AH431" s="3"/>
      <c r="AI431" s="83">
        <v>1.0</v>
      </c>
      <c r="AJ431" s="3"/>
      <c r="AK431" s="3"/>
      <c r="AL431" s="3"/>
      <c r="AM431" s="3"/>
      <c r="AN431" s="3"/>
      <c r="AO431" s="3"/>
      <c r="AP431" s="8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8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</row>
    <row r="432" hidden="1">
      <c r="A432" s="1" t="s">
        <v>1239</v>
      </c>
      <c r="B432" s="63">
        <v>2020.0</v>
      </c>
      <c r="C432" s="63">
        <v>1.0</v>
      </c>
      <c r="D432" s="63" t="str">
        <f>IFERROR(__xludf.DUMMYFUNCTION("if(regexmatch(E432,""Recycled""),""No"",""Yes"")"),"No")</f>
        <v>No</v>
      </c>
      <c r="E432" s="63" t="s">
        <v>786</v>
      </c>
      <c r="F432" s="63" t="s">
        <v>660</v>
      </c>
      <c r="G432" s="1" t="s">
        <v>655</v>
      </c>
      <c r="H432" s="2"/>
      <c r="I432" s="69"/>
      <c r="K432" s="41" t="s">
        <v>817</v>
      </c>
      <c r="L432" s="64">
        <f t="shared" si="77"/>
        <v>1</v>
      </c>
      <c r="AP432" s="17">
        <v>1.0</v>
      </c>
    </row>
    <row r="433">
      <c r="A433" s="1" t="s">
        <v>1239</v>
      </c>
      <c r="B433" s="63">
        <v>2024.0</v>
      </c>
      <c r="C433" s="63">
        <v>2.0</v>
      </c>
      <c r="D433" s="63" t="str">
        <f>IFERROR(__xludf.DUMMYFUNCTION("if(regexmatch(E433,""Recycled""),""No"",""Yes"")"),"Yes")</f>
        <v>Yes</v>
      </c>
      <c r="E433" s="63"/>
      <c r="F433" s="63" t="s">
        <v>787</v>
      </c>
      <c r="G433" s="1"/>
      <c r="H433" s="2"/>
      <c r="I433" s="69"/>
      <c r="J433" s="17" t="s">
        <v>1240</v>
      </c>
      <c r="L433" s="64"/>
      <c r="AO433" s="17"/>
    </row>
    <row r="434" hidden="1">
      <c r="A434" s="1" t="s">
        <v>1241</v>
      </c>
      <c r="B434" s="63">
        <v>2020.0</v>
      </c>
      <c r="C434" s="63">
        <v>1.0</v>
      </c>
      <c r="D434" s="63" t="str">
        <f>IFERROR(__xludf.DUMMYFUNCTION("if(regexmatch(E434,""Recycled""),""No"",""Yes"")"),"No")</f>
        <v>No</v>
      </c>
      <c r="E434" s="63" t="s">
        <v>786</v>
      </c>
      <c r="F434" s="63" t="s">
        <v>660</v>
      </c>
      <c r="G434" s="1" t="s">
        <v>655</v>
      </c>
      <c r="H434" s="2"/>
      <c r="I434" s="69"/>
      <c r="L434" s="64">
        <f>SUM(M434:AW434)</f>
        <v>1</v>
      </c>
      <c r="AO434" s="17">
        <v>1.0</v>
      </c>
    </row>
    <row r="435">
      <c r="A435" s="1" t="s">
        <v>1241</v>
      </c>
      <c r="B435" s="63">
        <v>2024.0</v>
      </c>
      <c r="C435" s="63">
        <v>2.0</v>
      </c>
      <c r="D435" s="63" t="str">
        <f>IFERROR(__xludf.DUMMYFUNCTION("if(regexmatch(E435,""Recycled""),""No"",""Yes"")"),"Yes")</f>
        <v>Yes</v>
      </c>
      <c r="E435" s="63"/>
      <c r="F435" s="63" t="s">
        <v>660</v>
      </c>
      <c r="G435" s="1"/>
      <c r="H435" s="1">
        <v>2.0</v>
      </c>
      <c r="I435" s="69"/>
      <c r="J435" s="17" t="s">
        <v>1242</v>
      </c>
      <c r="K435" s="69"/>
      <c r="L435" s="64"/>
      <c r="V435" s="17"/>
    </row>
    <row r="436">
      <c r="A436" s="1" t="s">
        <v>1243</v>
      </c>
      <c r="B436" s="63">
        <v>2020.0</v>
      </c>
      <c r="C436" s="63">
        <v>1.0</v>
      </c>
      <c r="D436" s="63" t="str">
        <f>IFERROR(__xludf.DUMMYFUNCTION("if(regexmatch(E436,""Recycled""),""No"",""Yes"")"),"Yes")</f>
        <v>Yes</v>
      </c>
      <c r="E436" s="63" t="s">
        <v>22</v>
      </c>
      <c r="F436" s="63" t="s">
        <v>660</v>
      </c>
      <c r="G436" s="1" t="s">
        <v>655</v>
      </c>
      <c r="H436" s="2"/>
      <c r="I436" s="69"/>
      <c r="K436" s="73" t="s">
        <v>1194</v>
      </c>
      <c r="L436" s="64">
        <f t="shared" ref="L436:L441" si="78">SUM(M436:AW436)</f>
        <v>1</v>
      </c>
      <c r="V436" s="17">
        <v>1.0</v>
      </c>
    </row>
    <row r="437" hidden="1">
      <c r="A437" s="1" t="s">
        <v>1244</v>
      </c>
      <c r="B437" s="63">
        <v>2020.0</v>
      </c>
      <c r="C437" s="63">
        <v>1.0</v>
      </c>
      <c r="D437" s="63" t="str">
        <f>IFERROR(__xludf.DUMMYFUNCTION("if(regexmatch(E437,""Recycled""),""No"",""Yes"")"),"No")</f>
        <v>No</v>
      </c>
      <c r="E437" s="63" t="s">
        <v>696</v>
      </c>
      <c r="F437" s="63" t="s">
        <v>660</v>
      </c>
      <c r="G437" s="1" t="s">
        <v>655</v>
      </c>
      <c r="H437" s="2"/>
      <c r="I437" s="69"/>
      <c r="L437" s="64">
        <f t="shared" si="78"/>
        <v>1</v>
      </c>
      <c r="AW437" s="17">
        <v>1.0</v>
      </c>
    </row>
    <row r="438" hidden="1">
      <c r="A438" s="1" t="s">
        <v>1245</v>
      </c>
      <c r="B438" s="63">
        <v>2020.0</v>
      </c>
      <c r="C438" s="63">
        <v>1.0</v>
      </c>
      <c r="D438" s="63" t="str">
        <f>IFERROR(__xludf.DUMMYFUNCTION("if(regexmatch(E438,""Recycled""),""No"",""Yes"")"),"No")</f>
        <v>No</v>
      </c>
      <c r="E438" s="63" t="s">
        <v>696</v>
      </c>
      <c r="F438" s="63" t="s">
        <v>654</v>
      </c>
      <c r="G438" s="1" t="s">
        <v>655</v>
      </c>
      <c r="H438" s="1"/>
      <c r="I438" s="63"/>
      <c r="K438" s="17"/>
      <c r="L438" s="64">
        <f t="shared" si="78"/>
        <v>3</v>
      </c>
      <c r="M438" s="17">
        <v>1.0</v>
      </c>
      <c r="AC438" s="17"/>
      <c r="AD438" s="17"/>
      <c r="AE438" s="17">
        <v>1.0</v>
      </c>
      <c r="AN438" s="17"/>
      <c r="AO438" s="17">
        <v>1.0</v>
      </c>
      <c r="AP438" s="17"/>
    </row>
    <row r="439" hidden="1">
      <c r="A439" s="1" t="s">
        <v>1246</v>
      </c>
      <c r="B439" s="63">
        <v>2020.0</v>
      </c>
      <c r="C439" s="63">
        <v>1.0</v>
      </c>
      <c r="D439" s="63" t="str">
        <f>IFERROR(__xludf.DUMMYFUNCTION("if(regexmatch(E439,""Recycled""),""No"",""Yes"")"),"No")</f>
        <v>No</v>
      </c>
      <c r="E439" s="63" t="s">
        <v>696</v>
      </c>
      <c r="F439" s="63" t="s">
        <v>654</v>
      </c>
      <c r="G439" s="1" t="s">
        <v>655</v>
      </c>
      <c r="H439" s="1"/>
      <c r="I439" s="63"/>
      <c r="K439" s="17"/>
      <c r="L439" s="64">
        <f t="shared" si="78"/>
        <v>2</v>
      </c>
      <c r="M439" s="17">
        <v>1.0</v>
      </c>
      <c r="AC439" s="17"/>
      <c r="AD439" s="17"/>
      <c r="AE439" s="17">
        <v>1.0</v>
      </c>
      <c r="AN439" s="17"/>
      <c r="AO439" s="17"/>
      <c r="AP439" s="17"/>
    </row>
    <row r="440">
      <c r="A440" s="1" t="s">
        <v>1246</v>
      </c>
      <c r="B440" s="63">
        <v>2022.0</v>
      </c>
      <c r="C440" s="63">
        <v>2.0</v>
      </c>
      <c r="D440" s="63" t="str">
        <f>IFERROR(__xludf.DUMMYFUNCTION("if(regexmatch(E440,""Recycled""),""No"",""Yes"")"),"Yes")</f>
        <v>Yes</v>
      </c>
      <c r="E440" s="63" t="s">
        <v>943</v>
      </c>
      <c r="F440" s="63" t="s">
        <v>654</v>
      </c>
      <c r="G440" s="1" t="s">
        <v>655</v>
      </c>
      <c r="H440" s="1">
        <v>2.0</v>
      </c>
      <c r="I440" s="69"/>
      <c r="J440" s="17" t="s">
        <v>1158</v>
      </c>
      <c r="K440" s="74" t="s">
        <v>1247</v>
      </c>
      <c r="L440" s="64">
        <f t="shared" si="78"/>
        <v>1</v>
      </c>
      <c r="M440" s="17"/>
      <c r="AC440" s="17"/>
      <c r="AD440" s="17"/>
      <c r="AE440" s="17"/>
      <c r="AF440" s="17">
        <v>1.0</v>
      </c>
      <c r="AP440" s="17"/>
      <c r="EC440" s="66" t="s">
        <v>664</v>
      </c>
      <c r="EP440" s="66" t="s">
        <v>664</v>
      </c>
    </row>
    <row r="441" hidden="1">
      <c r="A441" s="1" t="s">
        <v>1248</v>
      </c>
      <c r="B441" s="63">
        <v>2021.0</v>
      </c>
      <c r="C441" s="63">
        <v>1.0</v>
      </c>
      <c r="D441" s="63" t="str">
        <f>IFERROR(__xludf.DUMMYFUNCTION("if(regexmatch(E441,""Recycled""),""No"",""Yes"")"),"No")</f>
        <v>No</v>
      </c>
      <c r="E441" s="63" t="s">
        <v>786</v>
      </c>
      <c r="F441" s="63" t="s">
        <v>654</v>
      </c>
      <c r="G441" s="1" t="s">
        <v>655</v>
      </c>
      <c r="H441" s="2"/>
      <c r="I441" s="69"/>
      <c r="K441" s="75" t="s">
        <v>825</v>
      </c>
      <c r="L441" s="64">
        <f t="shared" si="78"/>
        <v>3</v>
      </c>
      <c r="M441" s="17">
        <v>1.0</v>
      </c>
      <c r="AC441" s="17"/>
      <c r="AD441" s="17"/>
      <c r="AE441" s="17">
        <v>1.0</v>
      </c>
      <c r="AP441" s="17">
        <v>1.0</v>
      </c>
    </row>
    <row r="442">
      <c r="A442" s="1" t="s">
        <v>1248</v>
      </c>
      <c r="B442" s="63">
        <v>2024.0</v>
      </c>
      <c r="C442" s="63">
        <v>2.0</v>
      </c>
      <c r="D442" s="63" t="str">
        <f>IFERROR(__xludf.DUMMYFUNCTION("if(regexmatch(E442,""Recycled""),""No"",""Yes"")"),"Yes")</f>
        <v>Yes</v>
      </c>
      <c r="E442" s="63"/>
      <c r="F442" s="63" t="s">
        <v>654</v>
      </c>
      <c r="G442" s="1"/>
      <c r="H442" s="1">
        <v>1.0</v>
      </c>
      <c r="I442" s="69"/>
      <c r="J442" s="17" t="s">
        <v>1249</v>
      </c>
      <c r="L442" s="64"/>
      <c r="M442" s="17"/>
    </row>
    <row r="443" hidden="1">
      <c r="A443" s="1" t="s">
        <v>1250</v>
      </c>
      <c r="B443" s="63">
        <v>2021.0</v>
      </c>
      <c r="C443" s="63">
        <v>1.0</v>
      </c>
      <c r="D443" s="63" t="str">
        <f>IFERROR(__xludf.DUMMYFUNCTION("if(regexmatch(E443,""Recycled""),""No"",""Yes"")"),"No")</f>
        <v>No</v>
      </c>
      <c r="E443" s="63" t="s">
        <v>786</v>
      </c>
      <c r="F443" s="63" t="s">
        <v>660</v>
      </c>
      <c r="G443" s="1" t="s">
        <v>655</v>
      </c>
      <c r="H443" s="2"/>
      <c r="I443" s="69"/>
      <c r="L443" s="64">
        <f t="shared" ref="L443:L444" si="79">SUM(M443:AW443)</f>
        <v>1</v>
      </c>
      <c r="M443" s="17">
        <v>1.0</v>
      </c>
    </row>
    <row r="444" hidden="1">
      <c r="A444" s="1" t="s">
        <v>1251</v>
      </c>
      <c r="B444" s="63">
        <v>2021.0</v>
      </c>
      <c r="C444" s="63">
        <v>1.0</v>
      </c>
      <c r="D444" s="63" t="str">
        <f>IFERROR(__xludf.DUMMYFUNCTION("if(regexmatch(E444,""Recycled""),""No"",""Yes"")"),"No")</f>
        <v>No</v>
      </c>
      <c r="E444" s="63" t="s">
        <v>786</v>
      </c>
      <c r="F444" s="63" t="s">
        <v>660</v>
      </c>
      <c r="G444" s="1" t="s">
        <v>655</v>
      </c>
      <c r="H444" s="2"/>
      <c r="I444" s="69"/>
      <c r="L444" s="64">
        <f t="shared" si="79"/>
        <v>1</v>
      </c>
      <c r="AO444" s="17">
        <v>1.0</v>
      </c>
    </row>
    <row r="445">
      <c r="A445" s="1" t="s">
        <v>1251</v>
      </c>
      <c r="B445" s="63">
        <v>2024.0</v>
      </c>
      <c r="C445" s="63">
        <v>2.0</v>
      </c>
      <c r="D445" s="63" t="str">
        <f>IFERROR(__xludf.DUMMYFUNCTION("if(regexmatch(E445,""Recycled""),""No"",""Yes"")"),"Yes")</f>
        <v>Yes</v>
      </c>
      <c r="E445" s="63"/>
      <c r="F445" s="63" t="s">
        <v>660</v>
      </c>
      <c r="G445" s="1"/>
      <c r="H445" s="1">
        <v>2.0</v>
      </c>
      <c r="I445" s="69"/>
      <c r="J445" s="17" t="s">
        <v>1077</v>
      </c>
      <c r="L445" s="64"/>
      <c r="AD445" s="17"/>
      <c r="AE445" s="17"/>
    </row>
    <row r="446" hidden="1">
      <c r="A446" s="1" t="s">
        <v>1252</v>
      </c>
      <c r="B446" s="63">
        <v>2021.0</v>
      </c>
      <c r="C446" s="63">
        <v>1.0</v>
      </c>
      <c r="D446" s="63" t="str">
        <f>IFERROR(__xludf.DUMMYFUNCTION("if(regexmatch(E446,""Recycled""),""No"",""Yes"")"),"No")</f>
        <v>No</v>
      </c>
      <c r="E446" s="63" t="s">
        <v>786</v>
      </c>
      <c r="F446" s="63" t="s">
        <v>660</v>
      </c>
      <c r="G446" s="1" t="s">
        <v>655</v>
      </c>
      <c r="H446" s="2"/>
      <c r="I446" s="69"/>
      <c r="K446" s="41" t="s">
        <v>1122</v>
      </c>
      <c r="L446" s="64">
        <f>SUM(M446:AW446)</f>
        <v>1</v>
      </c>
      <c r="AD446" s="17"/>
      <c r="AE446" s="17">
        <v>1.0</v>
      </c>
    </row>
    <row r="447">
      <c r="A447" s="1" t="s">
        <v>1252</v>
      </c>
      <c r="B447" s="63">
        <v>2024.0</v>
      </c>
      <c r="C447" s="63">
        <v>2.0</v>
      </c>
      <c r="D447" s="63" t="str">
        <f>IFERROR(__xludf.DUMMYFUNCTION("if(regexmatch(E447,""Recycled""),""No"",""Yes"")"),"Yes")</f>
        <v>Yes</v>
      </c>
      <c r="E447" s="63"/>
      <c r="F447" s="63" t="s">
        <v>660</v>
      </c>
      <c r="G447" s="1"/>
      <c r="H447" s="1">
        <v>2.0</v>
      </c>
      <c r="I447" s="63" t="s">
        <v>995</v>
      </c>
      <c r="J447" s="94" t="s">
        <v>996</v>
      </c>
      <c r="K447" s="95" t="s">
        <v>997</v>
      </c>
      <c r="L447" s="64"/>
      <c r="AF447" s="17"/>
      <c r="AG447" s="17"/>
    </row>
    <row r="448" hidden="1">
      <c r="A448" s="1" t="s">
        <v>1253</v>
      </c>
      <c r="B448" s="63">
        <v>2021.0</v>
      </c>
      <c r="C448" s="63">
        <v>1.0</v>
      </c>
      <c r="D448" s="63" t="str">
        <f>IFERROR(__xludf.DUMMYFUNCTION("if(regexmatch(E448,""Recycled""),""No"",""Yes"")"),"No")</f>
        <v>No</v>
      </c>
      <c r="E448" s="63" t="s">
        <v>786</v>
      </c>
      <c r="F448" s="63" t="s">
        <v>654</v>
      </c>
      <c r="G448" s="1" t="s">
        <v>655</v>
      </c>
      <c r="H448" s="2"/>
      <c r="I448" s="69"/>
      <c r="J448" s="17" t="s">
        <v>1254</v>
      </c>
      <c r="K448" s="75" t="s">
        <v>825</v>
      </c>
      <c r="L448" s="64">
        <f>SUM(M448:AW448)</f>
        <v>1</v>
      </c>
      <c r="AF448" s="17"/>
      <c r="AG448" s="17">
        <v>1.0</v>
      </c>
      <c r="DO448" s="65" t="s">
        <v>1255</v>
      </c>
      <c r="ED448" s="65" t="s">
        <v>1255</v>
      </c>
    </row>
    <row r="449">
      <c r="A449" s="1" t="s">
        <v>1253</v>
      </c>
      <c r="B449" s="63">
        <v>2024.0</v>
      </c>
      <c r="C449" s="63">
        <v>2.0</v>
      </c>
      <c r="D449" s="63" t="str">
        <f>IFERROR(__xludf.DUMMYFUNCTION("if(regexmatch(E449,""Recycled""),""No"",""Yes"")"),"Yes")</f>
        <v>Yes</v>
      </c>
      <c r="E449" s="63"/>
      <c r="F449" s="63" t="s">
        <v>654</v>
      </c>
      <c r="G449" s="1"/>
      <c r="H449" s="1">
        <v>2.0</v>
      </c>
      <c r="I449" s="69"/>
      <c r="J449" s="17" t="s">
        <v>1256</v>
      </c>
      <c r="K449" s="69"/>
      <c r="L449" s="64"/>
      <c r="T449" s="17"/>
    </row>
    <row r="450" hidden="1">
      <c r="A450" s="1" t="s">
        <v>1257</v>
      </c>
      <c r="B450" s="63">
        <v>2021.0</v>
      </c>
      <c r="C450" s="63">
        <v>1.0</v>
      </c>
      <c r="D450" s="63" t="str">
        <f>IFERROR(__xludf.DUMMYFUNCTION("if(regexmatch(E450,""Recycled""),""No"",""Yes"")"),"No")</f>
        <v>No</v>
      </c>
      <c r="E450" s="63" t="s">
        <v>876</v>
      </c>
      <c r="F450" s="63" t="s">
        <v>654</v>
      </c>
      <c r="G450" s="1" t="s">
        <v>655</v>
      </c>
      <c r="H450" s="2"/>
      <c r="I450" s="69"/>
      <c r="J450" s="17" t="s">
        <v>1258</v>
      </c>
      <c r="K450" s="73" t="s">
        <v>1259</v>
      </c>
      <c r="L450" s="64">
        <f>SUM(M450:AW450)</f>
        <v>1</v>
      </c>
      <c r="T450" s="17">
        <v>1.0</v>
      </c>
      <c r="DO450" s="65" t="s">
        <v>1255</v>
      </c>
      <c r="ED450" s="96" t="s">
        <v>1255</v>
      </c>
    </row>
    <row r="451">
      <c r="A451" s="1" t="s">
        <v>1257</v>
      </c>
      <c r="B451" s="63">
        <v>2025.0</v>
      </c>
      <c r="C451" s="63">
        <v>2.0</v>
      </c>
      <c r="D451" s="63" t="str">
        <f>IFERROR(__xludf.DUMMYFUNCTION("if(regexmatch(E451,""Recycled""),""No"",""Yes"")"),"Yes")</f>
        <v>Yes</v>
      </c>
      <c r="E451" s="63"/>
      <c r="F451" s="63" t="s">
        <v>660</v>
      </c>
      <c r="G451" s="1"/>
      <c r="H451" s="1">
        <v>1.0</v>
      </c>
      <c r="I451" s="69"/>
      <c r="J451" s="17" t="s">
        <v>1260</v>
      </c>
      <c r="K451" s="17"/>
      <c r="L451" s="64"/>
      <c r="Y451" s="17"/>
      <c r="DO451" s="65"/>
      <c r="ED451" s="96"/>
    </row>
    <row r="452">
      <c r="A452" s="1" t="s">
        <v>1261</v>
      </c>
      <c r="B452" s="63">
        <v>2021.0</v>
      </c>
      <c r="C452" s="63">
        <v>1.0</v>
      </c>
      <c r="D452" s="63" t="str">
        <f>IFERROR(__xludf.DUMMYFUNCTION("if(regexmatch(E452,""Recycled""),""No"",""Yes"")"),"Yes")</f>
        <v>Yes</v>
      </c>
      <c r="E452" s="63" t="s">
        <v>943</v>
      </c>
      <c r="F452" s="63" t="s">
        <v>654</v>
      </c>
      <c r="G452" s="1" t="s">
        <v>655</v>
      </c>
      <c r="H452" s="2"/>
      <c r="I452" s="69"/>
      <c r="J452" s="17" t="s">
        <v>1258</v>
      </c>
      <c r="K452" s="73" t="s">
        <v>1262</v>
      </c>
      <c r="L452" s="64">
        <f t="shared" ref="L452:L453" si="80">SUM(M452:AW452)</f>
        <v>1</v>
      </c>
      <c r="Y452" s="17">
        <v>1.0</v>
      </c>
      <c r="DO452" s="65" t="s">
        <v>1255</v>
      </c>
      <c r="ED452" s="96" t="s">
        <v>1255</v>
      </c>
    </row>
    <row r="453" ht="14.25" hidden="1" customHeight="1">
      <c r="A453" s="1" t="s">
        <v>1263</v>
      </c>
      <c r="B453" s="63">
        <v>2021.0</v>
      </c>
      <c r="C453" s="63">
        <v>1.0</v>
      </c>
      <c r="D453" s="63" t="str">
        <f>IFERROR(__xludf.DUMMYFUNCTION("if(regexmatch(E453,""Recycled""),""No"",""Yes"")"),"No")</f>
        <v>No</v>
      </c>
      <c r="E453" s="63" t="s">
        <v>876</v>
      </c>
      <c r="F453" s="63" t="s">
        <v>654</v>
      </c>
      <c r="G453" s="1" t="s">
        <v>655</v>
      </c>
      <c r="H453" s="2"/>
      <c r="I453" s="69"/>
      <c r="J453" s="17" t="s">
        <v>1264</v>
      </c>
      <c r="K453" s="73" t="s">
        <v>916</v>
      </c>
      <c r="L453" s="64">
        <f t="shared" si="80"/>
        <v>2</v>
      </c>
      <c r="U453" s="17">
        <v>1.0</v>
      </c>
      <c r="Y453" s="17">
        <v>1.0</v>
      </c>
      <c r="DO453" s="65" t="s">
        <v>1255</v>
      </c>
      <c r="EE453" s="96" t="s">
        <v>1255</v>
      </c>
    </row>
    <row r="454">
      <c r="A454" s="1" t="s">
        <v>1263</v>
      </c>
      <c r="B454" s="63">
        <v>2024.0</v>
      </c>
      <c r="C454" s="63">
        <v>2.0</v>
      </c>
      <c r="D454" s="63" t="str">
        <f>IFERROR(__xludf.DUMMYFUNCTION("if(regexmatch(E454,""Recycled""),""No"",""Yes"")"),"Yes")</f>
        <v>Yes</v>
      </c>
      <c r="E454" s="63"/>
      <c r="F454" s="63" t="s">
        <v>787</v>
      </c>
      <c r="G454" s="1"/>
      <c r="H454" s="2"/>
      <c r="I454" s="69"/>
      <c r="J454" s="17" t="s">
        <v>1265</v>
      </c>
      <c r="K454" s="17"/>
      <c r="L454" s="64"/>
      <c r="Z454" s="17"/>
      <c r="AA454" s="17"/>
      <c r="AB454" s="17"/>
      <c r="DO454" s="65"/>
      <c r="EE454" s="96"/>
    </row>
    <row r="455" hidden="1">
      <c r="A455" s="1" t="s">
        <v>1266</v>
      </c>
      <c r="B455" s="63">
        <v>2021.0</v>
      </c>
      <c r="C455" s="63">
        <v>1.0</v>
      </c>
      <c r="D455" s="63" t="str">
        <f>IFERROR(__xludf.DUMMYFUNCTION("if(regexmatch(E455,""Recycled""),""No"",""Yes"")"),"No")</f>
        <v>No</v>
      </c>
      <c r="E455" s="63" t="s">
        <v>876</v>
      </c>
      <c r="F455" s="63" t="s">
        <v>654</v>
      </c>
      <c r="G455" s="1" t="s">
        <v>655</v>
      </c>
      <c r="H455" s="2"/>
      <c r="I455" s="69"/>
      <c r="J455" s="17" t="s">
        <v>1267</v>
      </c>
      <c r="K455" s="73" t="s">
        <v>1268</v>
      </c>
      <c r="L455" s="64">
        <f>SUM(M455:AW455)</f>
        <v>1</v>
      </c>
      <c r="Z455" s="17"/>
      <c r="AA455" s="17"/>
      <c r="AB455" s="17">
        <v>1.0</v>
      </c>
      <c r="DO455" s="65" t="s">
        <v>1255</v>
      </c>
      <c r="EE455" s="96" t="s">
        <v>1255</v>
      </c>
    </row>
    <row r="456">
      <c r="A456" s="1" t="s">
        <v>1266</v>
      </c>
      <c r="B456" s="63">
        <v>2025.0</v>
      </c>
      <c r="C456" s="63">
        <v>2.0</v>
      </c>
      <c r="D456" s="63" t="str">
        <f>IFERROR(__xludf.DUMMYFUNCTION("if(regexmatch(E456,""Recycled""),""No"",""Yes"")"),"Yes")</f>
        <v>Yes</v>
      </c>
      <c r="E456" s="63"/>
      <c r="F456" s="63" t="s">
        <v>660</v>
      </c>
      <c r="G456" s="1"/>
      <c r="H456" s="2"/>
      <c r="I456" s="69"/>
      <c r="J456" s="17" t="s">
        <v>1269</v>
      </c>
      <c r="K456" s="17"/>
      <c r="L456" s="64"/>
      <c r="V456" s="17"/>
      <c r="DP456" s="96"/>
      <c r="EE456" s="96"/>
    </row>
    <row r="457" hidden="1">
      <c r="A457" s="1" t="s">
        <v>1270</v>
      </c>
      <c r="B457" s="63">
        <v>2021.0</v>
      </c>
      <c r="C457" s="63">
        <v>1.0</v>
      </c>
      <c r="D457" s="63" t="str">
        <f>IFERROR(__xludf.DUMMYFUNCTION("if(regexmatch(E457,""Recycled""),""No"",""Yes"")"),"No")</f>
        <v>No</v>
      </c>
      <c r="E457" s="63" t="s">
        <v>876</v>
      </c>
      <c r="F457" s="63" t="s">
        <v>654</v>
      </c>
      <c r="G457" s="1" t="s">
        <v>655</v>
      </c>
      <c r="H457" s="2"/>
      <c r="I457" s="69"/>
      <c r="J457" s="17" t="s">
        <v>1271</v>
      </c>
      <c r="K457" s="73" t="s">
        <v>1272</v>
      </c>
      <c r="L457" s="64">
        <f>SUM(M457:AW457)</f>
        <v>1</v>
      </c>
      <c r="V457" s="17">
        <v>1.0</v>
      </c>
      <c r="DP457" s="96" t="s">
        <v>1255</v>
      </c>
      <c r="EE457" s="96" t="s">
        <v>1255</v>
      </c>
    </row>
    <row r="458">
      <c r="A458" s="1" t="s">
        <v>1270</v>
      </c>
      <c r="B458" s="63">
        <v>2025.0</v>
      </c>
      <c r="C458" s="63">
        <v>2.0</v>
      </c>
      <c r="D458" s="63" t="str">
        <f>IFERROR(__xludf.DUMMYFUNCTION("if(regexmatch(E458,""Recycled""),""No"",""Yes"")"),"Yes")</f>
        <v>Yes</v>
      </c>
      <c r="E458" s="63"/>
      <c r="F458" s="63" t="s">
        <v>660</v>
      </c>
      <c r="G458" s="1"/>
      <c r="H458" s="1">
        <v>1.0</v>
      </c>
      <c r="I458" s="69"/>
      <c r="J458" s="17" t="s">
        <v>1273</v>
      </c>
      <c r="K458" s="69"/>
      <c r="L458" s="64"/>
      <c r="AP458" s="17"/>
      <c r="DP458" s="66"/>
    </row>
    <row r="459" hidden="1">
      <c r="A459" s="1" t="s">
        <v>1274</v>
      </c>
      <c r="B459" s="63">
        <v>2021.0</v>
      </c>
      <c r="C459" s="63">
        <v>1.0</v>
      </c>
      <c r="D459" s="63" t="str">
        <f>IFERROR(__xludf.DUMMYFUNCTION("if(regexmatch(E459,""Recycled""),""No"",""Yes"")"),"No")</f>
        <v>No</v>
      </c>
      <c r="E459" s="63" t="s">
        <v>786</v>
      </c>
      <c r="F459" s="63" t="s">
        <v>654</v>
      </c>
      <c r="G459" s="1" t="s">
        <v>655</v>
      </c>
      <c r="H459" s="2"/>
      <c r="I459" s="69"/>
      <c r="J459" s="17" t="s">
        <v>1275</v>
      </c>
      <c r="K459" s="41" t="s">
        <v>1138</v>
      </c>
      <c r="L459" s="64">
        <f>SUM(M459:AW459)</f>
        <v>1</v>
      </c>
      <c r="AP459" s="17">
        <v>1.0</v>
      </c>
      <c r="DP459" s="66" t="s">
        <v>11</v>
      </c>
    </row>
    <row r="460">
      <c r="A460" s="1" t="s">
        <v>1274</v>
      </c>
      <c r="B460" s="63">
        <v>2024.0</v>
      </c>
      <c r="C460" s="63">
        <v>2.0</v>
      </c>
      <c r="D460" s="63" t="str">
        <f>IFERROR(__xludf.DUMMYFUNCTION("if(regexmatch(E460,""Recycled""),""No"",""Yes"")"),"Yes")</f>
        <v>Yes</v>
      </c>
      <c r="E460" s="63"/>
      <c r="F460" s="63" t="s">
        <v>654</v>
      </c>
      <c r="G460" s="1"/>
      <c r="H460" s="1">
        <v>1.0</v>
      </c>
      <c r="I460" s="69"/>
      <c r="J460" s="17" t="s">
        <v>1276</v>
      </c>
      <c r="K460" s="17"/>
      <c r="L460" s="64"/>
      <c r="AC460" s="17"/>
    </row>
    <row r="461" hidden="1">
      <c r="A461" s="1" t="s">
        <v>1277</v>
      </c>
      <c r="B461" s="63">
        <v>2021.0</v>
      </c>
      <c r="C461" s="63">
        <v>1.0</v>
      </c>
      <c r="D461" s="63" t="str">
        <f>IFERROR(__xludf.DUMMYFUNCTION("if(regexmatch(E461,""Recycled""),""No"",""Yes"")"),"No")</f>
        <v>No</v>
      </c>
      <c r="E461" s="63" t="s">
        <v>876</v>
      </c>
      <c r="F461" s="63" t="s">
        <v>654</v>
      </c>
      <c r="G461" s="1" t="s">
        <v>655</v>
      </c>
      <c r="H461" s="2"/>
      <c r="I461" s="69"/>
      <c r="J461" s="17" t="s">
        <v>1278</v>
      </c>
      <c r="K461" s="17" t="s">
        <v>1279</v>
      </c>
      <c r="L461" s="64">
        <f>SUM(M461:AW461)</f>
        <v>1</v>
      </c>
      <c r="AC461" s="17">
        <v>1.0</v>
      </c>
      <c r="DP461" s="96" t="s">
        <v>1255</v>
      </c>
      <c r="ED461" s="96" t="s">
        <v>1255</v>
      </c>
    </row>
    <row r="462">
      <c r="A462" s="1" t="s">
        <v>1277</v>
      </c>
      <c r="B462" s="63">
        <v>2024.0</v>
      </c>
      <c r="C462" s="63">
        <v>2.0</v>
      </c>
      <c r="D462" s="63" t="str">
        <f>IFERROR(__xludf.DUMMYFUNCTION("if(regexmatch(E462,""Recycled""),""No"",""Yes"")"),"Yes")</f>
        <v>Yes</v>
      </c>
      <c r="E462" s="63"/>
      <c r="F462" s="63" t="s">
        <v>660</v>
      </c>
      <c r="G462" s="1"/>
      <c r="H462" s="1">
        <v>2.0</v>
      </c>
      <c r="I462" s="69"/>
      <c r="J462" s="17" t="s">
        <v>1013</v>
      </c>
      <c r="L462" s="64"/>
      <c r="W462" s="17"/>
      <c r="X462" s="17"/>
    </row>
    <row r="463" hidden="1">
      <c r="A463" s="1" t="s">
        <v>1280</v>
      </c>
      <c r="B463" s="63">
        <v>2021.0</v>
      </c>
      <c r="C463" s="63">
        <v>1.0</v>
      </c>
      <c r="D463" s="63" t="str">
        <f>IFERROR(__xludf.DUMMYFUNCTION("if(regexmatch(E463,""Recycled""),""No"",""Yes"")"),"No")</f>
        <v>No</v>
      </c>
      <c r="E463" s="63" t="s">
        <v>876</v>
      </c>
      <c r="F463" s="63" t="s">
        <v>654</v>
      </c>
      <c r="G463" s="1" t="s">
        <v>655</v>
      </c>
      <c r="H463" s="2"/>
      <c r="I463" s="69"/>
      <c r="J463" s="17" t="s">
        <v>1281</v>
      </c>
      <c r="K463" s="75" t="s">
        <v>825</v>
      </c>
      <c r="L463" s="64">
        <f>SUM(M463:AW463)</f>
        <v>1</v>
      </c>
      <c r="W463" s="17"/>
      <c r="X463" s="17">
        <v>1.0</v>
      </c>
      <c r="DP463" s="96" t="s">
        <v>1255</v>
      </c>
      <c r="ED463" s="96" t="s">
        <v>1255</v>
      </c>
    </row>
    <row r="464">
      <c r="A464" s="1" t="s">
        <v>1280</v>
      </c>
      <c r="B464" s="63">
        <v>2024.0</v>
      </c>
      <c r="C464" s="63">
        <v>2.0</v>
      </c>
      <c r="D464" s="63" t="str">
        <f>IFERROR(__xludf.DUMMYFUNCTION("if(regexmatch(E464,""Recycled""),""No"",""Yes"")"),"Yes")</f>
        <v>Yes</v>
      </c>
      <c r="E464" s="63"/>
      <c r="F464" s="63" t="s">
        <v>654</v>
      </c>
      <c r="G464" s="1"/>
      <c r="H464" s="1">
        <v>3.0</v>
      </c>
      <c r="I464" s="63" t="s">
        <v>995</v>
      </c>
      <c r="J464" s="94" t="s">
        <v>996</v>
      </c>
      <c r="K464" s="95" t="s">
        <v>997</v>
      </c>
      <c r="L464" s="64"/>
      <c r="T464" s="17"/>
    </row>
    <row r="465" hidden="1">
      <c r="A465" s="1" t="s">
        <v>1282</v>
      </c>
      <c r="B465" s="63">
        <v>2021.0</v>
      </c>
      <c r="C465" s="63">
        <v>1.0</v>
      </c>
      <c r="D465" s="63" t="str">
        <f>IFERROR(__xludf.DUMMYFUNCTION("if(regexmatch(E465,""Recycled""),""No"",""Yes"")"),"No")</f>
        <v>No</v>
      </c>
      <c r="E465" s="63" t="s">
        <v>876</v>
      </c>
      <c r="F465" s="63" t="s">
        <v>654</v>
      </c>
      <c r="G465" s="1" t="s">
        <v>655</v>
      </c>
      <c r="H465" s="2"/>
      <c r="I465" s="69"/>
      <c r="J465" s="17" t="s">
        <v>1278</v>
      </c>
      <c r="K465" s="41" t="s">
        <v>1283</v>
      </c>
      <c r="L465" s="64">
        <f>SUM(M465:AW465)</f>
        <v>1</v>
      </c>
      <c r="T465" s="17">
        <v>1.0</v>
      </c>
      <c r="DP465" s="65" t="s">
        <v>888</v>
      </c>
      <c r="ED465" s="96" t="s">
        <v>1255</v>
      </c>
    </row>
    <row r="466">
      <c r="A466" s="1" t="s">
        <v>1282</v>
      </c>
      <c r="B466" s="63">
        <v>2024.0</v>
      </c>
      <c r="C466" s="63">
        <v>2.0</v>
      </c>
      <c r="D466" s="63" t="str">
        <f>IFERROR(__xludf.DUMMYFUNCTION("if(regexmatch(E466,""Recycled""),""No"",""Yes"")"),"Yes")</f>
        <v>Yes</v>
      </c>
      <c r="E466" s="63"/>
      <c r="F466" s="63" t="s">
        <v>654</v>
      </c>
      <c r="G466" s="1"/>
      <c r="H466" s="1">
        <v>1.0</v>
      </c>
      <c r="I466" s="69"/>
      <c r="J466" s="17" t="s">
        <v>1284</v>
      </c>
      <c r="K466" s="69"/>
      <c r="L466" s="64"/>
      <c r="W466" s="17"/>
    </row>
    <row r="467" hidden="1">
      <c r="A467" s="1" t="s">
        <v>1285</v>
      </c>
      <c r="B467" s="63">
        <v>2021.0</v>
      </c>
      <c r="C467" s="63">
        <v>1.0</v>
      </c>
      <c r="D467" s="63" t="str">
        <f>IFERROR(__xludf.DUMMYFUNCTION("if(regexmatch(E467,""Recycled""),""No"",""Yes"")"),"No")</f>
        <v>No</v>
      </c>
      <c r="E467" s="63" t="s">
        <v>876</v>
      </c>
      <c r="F467" s="63" t="s">
        <v>654</v>
      </c>
      <c r="G467" s="1" t="s">
        <v>655</v>
      </c>
      <c r="H467" s="2"/>
      <c r="I467" s="69"/>
      <c r="J467" s="17" t="s">
        <v>1278</v>
      </c>
      <c r="K467" s="73" t="s">
        <v>1286</v>
      </c>
      <c r="L467" s="64">
        <f>SUM(M467:AW467)</f>
        <v>1</v>
      </c>
      <c r="W467" s="17">
        <v>1.0</v>
      </c>
      <c r="DP467" s="66" t="s">
        <v>664</v>
      </c>
      <c r="ED467" s="66" t="s">
        <v>664</v>
      </c>
    </row>
    <row r="468">
      <c r="A468" s="1" t="s">
        <v>1285</v>
      </c>
      <c r="B468" s="63">
        <v>2024.0</v>
      </c>
      <c r="C468" s="63">
        <v>2.0</v>
      </c>
      <c r="D468" s="63" t="str">
        <f>IFERROR(__xludf.DUMMYFUNCTION("if(regexmatch(E468,""Recycled""),""No"",""Yes"")"),"Yes")</f>
        <v>Yes</v>
      </c>
      <c r="E468" s="63"/>
      <c r="F468" s="63" t="s">
        <v>660</v>
      </c>
      <c r="G468" s="1"/>
      <c r="H468" s="1">
        <v>2.0</v>
      </c>
      <c r="I468" s="69"/>
      <c r="J468" s="17" t="s">
        <v>1287</v>
      </c>
      <c r="K468" s="69"/>
      <c r="L468" s="64"/>
      <c r="X468" s="17"/>
    </row>
    <row r="469" hidden="1">
      <c r="A469" s="1" t="s">
        <v>1288</v>
      </c>
      <c r="B469" s="63">
        <v>2021.0</v>
      </c>
      <c r="C469" s="63">
        <v>1.0</v>
      </c>
      <c r="D469" s="63" t="str">
        <f>IFERROR(__xludf.DUMMYFUNCTION("if(regexmatch(E469,""Recycled""),""No"",""Yes"")"),"No")</f>
        <v>No</v>
      </c>
      <c r="E469" s="63" t="s">
        <v>876</v>
      </c>
      <c r="F469" s="63" t="s">
        <v>654</v>
      </c>
      <c r="G469" s="1" t="s">
        <v>655</v>
      </c>
      <c r="H469" s="2"/>
      <c r="I469" s="69"/>
      <c r="J469" s="17" t="s">
        <v>1278</v>
      </c>
      <c r="K469" s="41" t="s">
        <v>1289</v>
      </c>
      <c r="L469" s="64">
        <f>SUM(M469:AW469)</f>
        <v>1</v>
      </c>
      <c r="X469" s="17">
        <v>1.0</v>
      </c>
      <c r="DP469" s="66" t="s">
        <v>664</v>
      </c>
      <c r="ED469" s="66" t="s">
        <v>664</v>
      </c>
    </row>
    <row r="470">
      <c r="A470" s="1" t="s">
        <v>1288</v>
      </c>
      <c r="B470" s="63">
        <v>2025.0</v>
      </c>
      <c r="C470" s="63">
        <v>2.0</v>
      </c>
      <c r="D470" s="63" t="str">
        <f>IFERROR(__xludf.DUMMYFUNCTION("if(regexmatch(E470,""Recycled""),""No"",""Yes"")"),"Yes")</f>
        <v>Yes</v>
      </c>
      <c r="E470" s="63"/>
      <c r="F470" s="63" t="s">
        <v>660</v>
      </c>
      <c r="G470" s="1"/>
      <c r="H470" s="2"/>
      <c r="I470" s="69"/>
      <c r="J470" s="18" t="s">
        <v>1290</v>
      </c>
      <c r="K470" s="17"/>
      <c r="L470" s="64"/>
      <c r="Q470" s="17"/>
      <c r="DP470" s="66"/>
      <c r="ED470" s="66"/>
    </row>
    <row r="471" hidden="1">
      <c r="A471" s="1" t="s">
        <v>1291</v>
      </c>
      <c r="B471" s="63">
        <v>2021.0</v>
      </c>
      <c r="C471" s="63">
        <v>1.0</v>
      </c>
      <c r="D471" s="63" t="str">
        <f>IFERROR(__xludf.DUMMYFUNCTION("if(regexmatch(E471,""Recycled""),""No"",""Yes"")"),"No")</f>
        <v>No</v>
      </c>
      <c r="E471" s="63" t="s">
        <v>876</v>
      </c>
      <c r="F471" s="63" t="s">
        <v>654</v>
      </c>
      <c r="G471" s="1" t="s">
        <v>655</v>
      </c>
      <c r="H471" s="2"/>
      <c r="I471" s="69"/>
      <c r="J471" s="17" t="s">
        <v>1278</v>
      </c>
      <c r="K471" s="73" t="s">
        <v>916</v>
      </c>
      <c r="L471" s="64">
        <f>SUM(M471:AW471)</f>
        <v>1</v>
      </c>
      <c r="Q471" s="17">
        <v>1.0</v>
      </c>
      <c r="DP471" s="66" t="s">
        <v>664</v>
      </c>
      <c r="ED471" s="66" t="s">
        <v>664</v>
      </c>
    </row>
    <row r="472">
      <c r="A472" s="1" t="s">
        <v>1291</v>
      </c>
      <c r="B472" s="63">
        <v>2024.0</v>
      </c>
      <c r="C472" s="63">
        <v>2.0</v>
      </c>
      <c r="D472" s="63" t="str">
        <f>IFERROR(__xludf.DUMMYFUNCTION("if(regexmatch(E472,""Recycled""),""No"",""Yes"")"),"Yes")</f>
        <v>Yes</v>
      </c>
      <c r="E472" s="63"/>
      <c r="F472" s="63" t="s">
        <v>787</v>
      </c>
      <c r="G472" s="1"/>
      <c r="H472" s="2"/>
      <c r="I472" s="69"/>
      <c r="J472" s="18" t="s">
        <v>1292</v>
      </c>
      <c r="K472" s="18"/>
      <c r="L472" s="64"/>
      <c r="M472" s="6"/>
      <c r="N472" s="6"/>
      <c r="O472" s="6"/>
      <c r="P472" s="6"/>
      <c r="Q472" s="6"/>
      <c r="R472" s="18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</row>
    <row r="473" hidden="1">
      <c r="A473" s="1" t="s">
        <v>1293</v>
      </c>
      <c r="B473" s="63">
        <v>2021.0</v>
      </c>
      <c r="C473" s="63">
        <v>1.0</v>
      </c>
      <c r="D473" s="63" t="str">
        <f>IFERROR(__xludf.DUMMYFUNCTION("if(regexmatch(E473,""Recycled""),""No"",""Yes"")"),"No")</f>
        <v>No</v>
      </c>
      <c r="E473" s="63" t="s">
        <v>786</v>
      </c>
      <c r="F473" s="63" t="s">
        <v>654</v>
      </c>
      <c r="G473" s="1" t="s">
        <v>655</v>
      </c>
      <c r="H473" s="2"/>
      <c r="I473" s="69"/>
      <c r="J473" s="18"/>
      <c r="K473" s="82" t="s">
        <v>1294</v>
      </c>
      <c r="L473" s="64">
        <f>SUM(M473:AW473)</f>
        <v>1</v>
      </c>
      <c r="M473" s="6"/>
      <c r="N473" s="6"/>
      <c r="O473" s="6"/>
      <c r="P473" s="6"/>
      <c r="Q473" s="6"/>
      <c r="R473" s="18">
        <v>1.0</v>
      </c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</row>
    <row r="474">
      <c r="A474" s="1" t="s">
        <v>1293</v>
      </c>
      <c r="B474" s="63">
        <v>2024.0</v>
      </c>
      <c r="C474" s="63">
        <v>2.0</v>
      </c>
      <c r="D474" s="63" t="str">
        <f>IFERROR(__xludf.DUMMYFUNCTION("if(regexmatch(E474,""Recycled""),""No"",""Yes"")"),"Yes")</f>
        <v>Yes</v>
      </c>
      <c r="E474" s="63"/>
      <c r="F474" s="63" t="s">
        <v>787</v>
      </c>
      <c r="G474" s="1"/>
      <c r="H474" s="2"/>
      <c r="I474" s="69"/>
      <c r="J474" s="17" t="s">
        <v>1295</v>
      </c>
      <c r="K474" s="17"/>
      <c r="L474" s="64"/>
      <c r="AO474" s="17"/>
    </row>
    <row r="475" hidden="1">
      <c r="A475" s="1" t="s">
        <v>1296</v>
      </c>
      <c r="B475" s="63">
        <v>2021.0</v>
      </c>
      <c r="C475" s="63">
        <v>1.0</v>
      </c>
      <c r="D475" s="63" t="str">
        <f>IFERROR(__xludf.DUMMYFUNCTION("if(regexmatch(E475,""Recycled""),""No"",""Yes"")"),"No")</f>
        <v>No</v>
      </c>
      <c r="E475" s="63" t="s">
        <v>857</v>
      </c>
      <c r="F475" s="63" t="s">
        <v>660</v>
      </c>
      <c r="G475" s="1" t="s">
        <v>655</v>
      </c>
      <c r="H475" s="2"/>
      <c r="I475" s="69"/>
      <c r="K475" s="17" t="s">
        <v>1297</v>
      </c>
      <c r="L475" s="64">
        <f t="shared" ref="L475:L477" si="81">SUM(M475:AW475)</f>
        <v>1</v>
      </c>
      <c r="AO475" s="17">
        <v>1.0</v>
      </c>
    </row>
    <row r="476">
      <c r="A476" s="1" t="s">
        <v>1298</v>
      </c>
      <c r="B476" s="63">
        <v>2021.0</v>
      </c>
      <c r="C476" s="63">
        <v>1.0</v>
      </c>
      <c r="D476" s="63" t="str">
        <f>IFERROR(__xludf.DUMMYFUNCTION("if(regexmatch(E476,""Recycled""),""No"",""Yes"")"),"Yes")</f>
        <v>Yes</v>
      </c>
      <c r="E476" s="63" t="s">
        <v>22</v>
      </c>
      <c r="F476" s="63" t="s">
        <v>660</v>
      </c>
      <c r="G476" s="1" t="s">
        <v>655</v>
      </c>
      <c r="H476" s="2"/>
      <c r="I476" s="69"/>
      <c r="K476" s="73" t="s">
        <v>1299</v>
      </c>
      <c r="L476" s="64">
        <f t="shared" si="81"/>
        <v>2</v>
      </c>
      <c r="R476" s="17">
        <v>1.0</v>
      </c>
      <c r="V476" s="17">
        <v>1.0</v>
      </c>
    </row>
    <row r="477" hidden="1">
      <c r="A477" s="1" t="s">
        <v>1300</v>
      </c>
      <c r="B477" s="63">
        <v>2021.0</v>
      </c>
      <c r="C477" s="63">
        <v>1.0</v>
      </c>
      <c r="D477" s="63" t="str">
        <f>IFERROR(__xludf.DUMMYFUNCTION("if(regexmatch(E477,""Recycled""),""No"",""Yes"")"),"No")</f>
        <v>No</v>
      </c>
      <c r="E477" s="63" t="s">
        <v>786</v>
      </c>
      <c r="F477" s="63" t="s">
        <v>660</v>
      </c>
      <c r="G477" s="1" t="s">
        <v>655</v>
      </c>
      <c r="H477" s="2"/>
      <c r="I477" s="69"/>
      <c r="K477" s="73" t="s">
        <v>1301</v>
      </c>
      <c r="L477" s="64">
        <f t="shared" si="81"/>
        <v>1</v>
      </c>
      <c r="V477" s="17">
        <v>1.0</v>
      </c>
    </row>
    <row r="478">
      <c r="A478" s="1" t="s">
        <v>1300</v>
      </c>
      <c r="B478" s="63">
        <v>2025.0</v>
      </c>
      <c r="C478" s="63">
        <v>2.0</v>
      </c>
      <c r="D478" s="63" t="str">
        <f>IFERROR(__xludf.DUMMYFUNCTION("if(regexmatch(E478,""Recycled""),""No"",""Yes"")"),"Yes")</f>
        <v>Yes</v>
      </c>
      <c r="E478" s="63"/>
      <c r="F478" s="63" t="s">
        <v>787</v>
      </c>
      <c r="G478" s="1"/>
      <c r="H478" s="1"/>
      <c r="I478" s="63"/>
      <c r="J478" s="17" t="s">
        <v>1302</v>
      </c>
      <c r="L478" s="64"/>
      <c r="AO478" s="17"/>
    </row>
    <row r="479" hidden="1">
      <c r="A479" s="1" t="s">
        <v>1303</v>
      </c>
      <c r="B479" s="63">
        <v>2018.0</v>
      </c>
      <c r="C479" s="63">
        <v>1.0</v>
      </c>
      <c r="D479" s="63" t="str">
        <f>IFERROR(__xludf.DUMMYFUNCTION("if(regexmatch(E479,""Recycled""),""No"",""Yes"")"),"No")</f>
        <v>No</v>
      </c>
      <c r="E479" s="63" t="s">
        <v>857</v>
      </c>
      <c r="F479" s="63" t="s">
        <v>660</v>
      </c>
      <c r="G479" s="1" t="s">
        <v>655</v>
      </c>
      <c r="H479" s="1"/>
      <c r="I479" s="63"/>
      <c r="J479" s="18"/>
      <c r="L479" s="64">
        <f t="shared" ref="L479:L485" si="82">SUM(M479:AW479)</f>
        <v>1</v>
      </c>
      <c r="AO479" s="17">
        <v>1.0</v>
      </c>
    </row>
    <row r="480" hidden="1">
      <c r="A480" s="1" t="s">
        <v>1304</v>
      </c>
      <c r="B480" s="63">
        <v>2021.0</v>
      </c>
      <c r="C480" s="63">
        <v>1.0</v>
      </c>
      <c r="D480" s="63" t="str">
        <f>IFERROR(__xludf.DUMMYFUNCTION("if(regexmatch(E480,""Recycled""),""No"",""Yes"")"),"No")</f>
        <v>No</v>
      </c>
      <c r="E480" s="63" t="s">
        <v>786</v>
      </c>
      <c r="F480" s="63" t="s">
        <v>660</v>
      </c>
      <c r="G480" s="1" t="s">
        <v>655</v>
      </c>
      <c r="H480" s="2"/>
      <c r="I480" s="69"/>
      <c r="J480" s="17" t="s">
        <v>1305</v>
      </c>
      <c r="K480" s="41" t="s">
        <v>1289</v>
      </c>
      <c r="L480" s="64">
        <f t="shared" si="82"/>
        <v>1</v>
      </c>
      <c r="AP480" s="17">
        <v>1.0</v>
      </c>
    </row>
    <row r="481" hidden="1">
      <c r="A481" s="1" t="s">
        <v>1306</v>
      </c>
      <c r="B481" s="63">
        <v>2021.0</v>
      </c>
      <c r="C481" s="63">
        <v>1.0</v>
      </c>
      <c r="D481" s="63" t="str">
        <f>IFERROR(__xludf.DUMMYFUNCTION("if(regexmatch(E481,""Recycled""),""No"",""Yes"")"),"No")</f>
        <v>No</v>
      </c>
      <c r="E481" s="63" t="s">
        <v>786</v>
      </c>
      <c r="F481" s="63" t="s">
        <v>660</v>
      </c>
      <c r="G481" s="1" t="s">
        <v>655</v>
      </c>
      <c r="H481" s="2"/>
      <c r="I481" s="69"/>
      <c r="L481" s="64">
        <f t="shared" si="82"/>
        <v>1</v>
      </c>
      <c r="AP481" s="17">
        <v>1.0</v>
      </c>
    </row>
    <row r="482" hidden="1">
      <c r="A482" s="1" t="s">
        <v>1307</v>
      </c>
      <c r="B482" s="63">
        <v>2021.0</v>
      </c>
      <c r="C482" s="63">
        <v>1.0</v>
      </c>
      <c r="D482" s="63" t="str">
        <f>IFERROR(__xludf.DUMMYFUNCTION("if(regexmatch(E482,""Recycled""),""No"",""Yes"")"),"No")</f>
        <v>No</v>
      </c>
      <c r="E482" s="63" t="s">
        <v>696</v>
      </c>
      <c r="F482" s="63" t="s">
        <v>660</v>
      </c>
      <c r="G482" s="1" t="s">
        <v>655</v>
      </c>
      <c r="H482" s="2"/>
      <c r="I482" s="69"/>
      <c r="L482" s="64">
        <f t="shared" si="82"/>
        <v>1</v>
      </c>
      <c r="O482" s="17">
        <v>1.0</v>
      </c>
    </row>
    <row r="483" hidden="1">
      <c r="A483" s="1" t="s">
        <v>1308</v>
      </c>
      <c r="B483" s="63">
        <v>2021.0</v>
      </c>
      <c r="C483" s="63">
        <v>1.0</v>
      </c>
      <c r="D483" s="63" t="str">
        <f>IFERROR(__xludf.DUMMYFUNCTION("if(regexmatch(E483,""Recycled""),""No"",""Yes"")"),"No")</f>
        <v>No</v>
      </c>
      <c r="E483" s="63" t="s">
        <v>696</v>
      </c>
      <c r="F483" s="63" t="s">
        <v>660</v>
      </c>
      <c r="G483" s="1" t="s">
        <v>655</v>
      </c>
      <c r="H483" s="2"/>
      <c r="I483" s="69"/>
      <c r="L483" s="64">
        <f t="shared" si="82"/>
        <v>1</v>
      </c>
      <c r="AO483" s="17">
        <v>1.0</v>
      </c>
    </row>
    <row r="484" hidden="1">
      <c r="A484" s="1" t="s">
        <v>1309</v>
      </c>
      <c r="B484" s="63">
        <v>2021.0</v>
      </c>
      <c r="C484" s="63">
        <v>1.0</v>
      </c>
      <c r="D484" s="63" t="str">
        <f>IFERROR(__xludf.DUMMYFUNCTION("if(regexmatch(E484,""Recycled""),""No"",""Yes"")"),"No")</f>
        <v>No</v>
      </c>
      <c r="E484" s="63" t="s">
        <v>786</v>
      </c>
      <c r="F484" s="63" t="s">
        <v>660</v>
      </c>
      <c r="G484" s="1" t="s">
        <v>655</v>
      </c>
      <c r="H484" s="2"/>
      <c r="I484" s="69"/>
      <c r="L484" s="64">
        <f t="shared" si="82"/>
        <v>1</v>
      </c>
      <c r="AO484" s="17">
        <v>1.0</v>
      </c>
    </row>
    <row r="485" hidden="1">
      <c r="A485" s="1" t="s">
        <v>1310</v>
      </c>
      <c r="B485" s="63">
        <v>2021.0</v>
      </c>
      <c r="C485" s="63">
        <v>1.0</v>
      </c>
      <c r="D485" s="63" t="str">
        <f>IFERROR(__xludf.DUMMYFUNCTION("if(regexmatch(E485,""Recycled""),""No"",""Yes"")"),"No")</f>
        <v>No</v>
      </c>
      <c r="E485" s="63" t="s">
        <v>786</v>
      </c>
      <c r="F485" s="63" t="s">
        <v>660</v>
      </c>
      <c r="G485" s="1" t="s">
        <v>655</v>
      </c>
      <c r="H485" s="2"/>
      <c r="I485" s="69"/>
      <c r="K485" s="41" t="s">
        <v>1289</v>
      </c>
      <c r="L485" s="64">
        <f t="shared" si="82"/>
        <v>1</v>
      </c>
      <c r="AP485" s="17">
        <v>1.0</v>
      </c>
    </row>
    <row r="486">
      <c r="A486" s="1" t="s">
        <v>1310</v>
      </c>
      <c r="B486" s="63">
        <v>2024.0</v>
      </c>
      <c r="C486" s="63">
        <v>2.0</v>
      </c>
      <c r="D486" s="63" t="str">
        <f>IFERROR(__xludf.DUMMYFUNCTION("if(regexmatch(E486,""Recycled""),""No"",""Yes"")"),"Yes")</f>
        <v>Yes</v>
      </c>
      <c r="E486" s="63"/>
      <c r="F486" s="63" t="s">
        <v>787</v>
      </c>
      <c r="G486" s="1"/>
      <c r="H486" s="2"/>
      <c r="I486" s="69"/>
      <c r="J486" s="17" t="s">
        <v>1311</v>
      </c>
      <c r="L486" s="64"/>
      <c r="AP486" s="17"/>
    </row>
    <row r="487" hidden="1">
      <c r="A487" s="1" t="s">
        <v>1312</v>
      </c>
      <c r="B487" s="63">
        <v>2021.0</v>
      </c>
      <c r="C487" s="63">
        <v>1.0</v>
      </c>
      <c r="D487" s="63" t="str">
        <f>IFERROR(__xludf.DUMMYFUNCTION("if(regexmatch(E487,""Recycled""),""No"",""Yes"")"),"No")</f>
        <v>No</v>
      </c>
      <c r="E487" s="63" t="s">
        <v>899</v>
      </c>
      <c r="F487" s="63" t="s">
        <v>660</v>
      </c>
      <c r="G487" s="1" t="s">
        <v>655</v>
      </c>
      <c r="H487" s="2"/>
      <c r="I487" s="69"/>
      <c r="K487" s="41" t="s">
        <v>1313</v>
      </c>
      <c r="L487" s="64">
        <f>SUM(M487:AW487)</f>
        <v>1</v>
      </c>
      <c r="AP487" s="17">
        <v>1.0</v>
      </c>
    </row>
    <row r="488">
      <c r="A488" s="1" t="s">
        <v>1312</v>
      </c>
      <c r="B488" s="63">
        <v>2025.0</v>
      </c>
      <c r="C488" s="63">
        <v>2.0</v>
      </c>
      <c r="D488" s="63" t="str">
        <f>IFERROR(__xludf.DUMMYFUNCTION("if(regexmatch(E488,""Recycled""),""No"",""Yes"")"),"Yes")</f>
        <v>Yes</v>
      </c>
      <c r="E488" s="63"/>
      <c r="F488" s="63" t="s">
        <v>660</v>
      </c>
      <c r="G488" s="1"/>
      <c r="H488" s="2"/>
      <c r="I488" s="69"/>
      <c r="J488" s="17" t="s">
        <v>1314</v>
      </c>
      <c r="L488" s="64"/>
      <c r="U488" s="17"/>
    </row>
    <row r="489" hidden="1">
      <c r="A489" s="1" t="s">
        <v>1315</v>
      </c>
      <c r="B489" s="63">
        <v>2021.0</v>
      </c>
      <c r="C489" s="63">
        <v>1.0</v>
      </c>
      <c r="D489" s="63" t="str">
        <f>IFERROR(__xludf.DUMMYFUNCTION("if(regexmatch(E489,""Recycled""),""No"",""Yes"")"),"No")</f>
        <v>No</v>
      </c>
      <c r="E489" s="63" t="s">
        <v>786</v>
      </c>
      <c r="F489" s="63" t="s">
        <v>660</v>
      </c>
      <c r="G489" s="1" t="s">
        <v>655</v>
      </c>
      <c r="H489" s="2"/>
      <c r="I489" s="69"/>
      <c r="L489" s="64">
        <f>SUM(M489:AW489)</f>
        <v>1</v>
      </c>
      <c r="U489" s="17">
        <v>1.0</v>
      </c>
    </row>
    <row r="490">
      <c r="A490" s="1" t="s">
        <v>1315</v>
      </c>
      <c r="B490" s="63">
        <v>2024.0</v>
      </c>
      <c r="C490" s="63">
        <v>2.0</v>
      </c>
      <c r="D490" s="63" t="str">
        <f>IFERROR(__xludf.DUMMYFUNCTION("if(regexmatch(E490,""Recycled""),""No"",""Yes"")"),"Yes")</f>
        <v>Yes</v>
      </c>
      <c r="E490" s="63"/>
      <c r="F490" s="63" t="s">
        <v>660</v>
      </c>
      <c r="G490" s="1"/>
      <c r="H490" s="1">
        <v>2.0</v>
      </c>
      <c r="I490" s="69"/>
      <c r="J490" s="17" t="s">
        <v>1219</v>
      </c>
      <c r="L490" s="64"/>
      <c r="N490" s="17"/>
    </row>
    <row r="491" hidden="1">
      <c r="A491" s="1" t="s">
        <v>1316</v>
      </c>
      <c r="B491" s="63">
        <v>2021.0</v>
      </c>
      <c r="C491" s="63">
        <v>1.0</v>
      </c>
      <c r="D491" s="63" t="str">
        <f>IFERROR(__xludf.DUMMYFUNCTION("if(regexmatch(E491,""Recycled""),""No"",""Yes"")"),"No")</f>
        <v>No</v>
      </c>
      <c r="E491" s="63" t="s">
        <v>899</v>
      </c>
      <c r="F491" s="63" t="s">
        <v>660</v>
      </c>
      <c r="G491" s="1" t="s">
        <v>655</v>
      </c>
      <c r="H491" s="2"/>
      <c r="I491" s="69"/>
      <c r="K491" s="44" t="s">
        <v>1317</v>
      </c>
      <c r="L491" s="64">
        <f t="shared" ref="L491:L496" si="83">SUM(M491:AW491)</f>
        <v>1</v>
      </c>
      <c r="N491" s="17">
        <v>1.0</v>
      </c>
    </row>
    <row r="492">
      <c r="A492" s="1" t="s">
        <v>1318</v>
      </c>
      <c r="B492" s="63">
        <v>2022.0</v>
      </c>
      <c r="C492" s="63">
        <v>1.0</v>
      </c>
      <c r="D492" s="63" t="str">
        <f>IFERROR(__xludf.DUMMYFUNCTION("if(regexmatch(E492,""Recycled""),""No"",""Yes"")"),"Yes")</f>
        <v>Yes</v>
      </c>
      <c r="E492" s="63" t="s">
        <v>943</v>
      </c>
      <c r="F492" s="63" t="s">
        <v>787</v>
      </c>
      <c r="G492" s="1" t="s">
        <v>655</v>
      </c>
      <c r="H492" s="2"/>
      <c r="I492" s="69"/>
      <c r="J492" s="17" t="s">
        <v>1319</v>
      </c>
      <c r="K492" s="74" t="s">
        <v>1320</v>
      </c>
      <c r="L492" s="64">
        <f t="shared" si="83"/>
        <v>1</v>
      </c>
      <c r="AJ492" s="17"/>
      <c r="AK492" s="17">
        <v>1.0</v>
      </c>
      <c r="EC492" s="66" t="s">
        <v>1255</v>
      </c>
      <c r="ER492" s="66" t="s">
        <v>664</v>
      </c>
    </row>
    <row r="493">
      <c r="A493" s="1" t="s">
        <v>1321</v>
      </c>
      <c r="B493" s="63">
        <v>2021.0</v>
      </c>
      <c r="C493" s="63">
        <v>1.0</v>
      </c>
      <c r="D493" s="63" t="str">
        <f>IFERROR(__xludf.DUMMYFUNCTION("if(regexmatch(E493,""Recycled""),""No"",""Yes"")"),"Yes")</f>
        <v>Yes</v>
      </c>
      <c r="E493" s="63" t="s">
        <v>22</v>
      </c>
      <c r="F493" s="63" t="s">
        <v>787</v>
      </c>
      <c r="G493" s="1" t="s">
        <v>655</v>
      </c>
      <c r="H493" s="2"/>
      <c r="I493" s="69"/>
      <c r="K493" s="73" t="s">
        <v>970</v>
      </c>
      <c r="L493" s="64">
        <f t="shared" si="83"/>
        <v>1</v>
      </c>
      <c r="R493" s="17">
        <v>1.0</v>
      </c>
    </row>
    <row r="494" hidden="1">
      <c r="A494" s="1" t="s">
        <v>1322</v>
      </c>
      <c r="B494" s="63">
        <v>2019.0</v>
      </c>
      <c r="C494" s="63">
        <v>1.0</v>
      </c>
      <c r="D494" s="63" t="str">
        <f>IFERROR(__xludf.DUMMYFUNCTION("if(regexmatch(E494,""Recycled""),""No"",""Yes"")"),"No")</f>
        <v>No</v>
      </c>
      <c r="E494" s="63" t="s">
        <v>786</v>
      </c>
      <c r="F494" s="63" t="s">
        <v>787</v>
      </c>
      <c r="G494" s="1" t="s">
        <v>655</v>
      </c>
      <c r="H494" s="1"/>
      <c r="I494" s="69"/>
      <c r="K494" s="75" t="s">
        <v>825</v>
      </c>
      <c r="L494" s="64">
        <f t="shared" si="83"/>
        <v>2</v>
      </c>
      <c r="Q494" s="17">
        <v>1.0</v>
      </c>
      <c r="R494" s="17">
        <v>1.0</v>
      </c>
      <c r="T494" s="17"/>
    </row>
    <row r="495" hidden="1">
      <c r="A495" s="1" t="s">
        <v>1323</v>
      </c>
      <c r="B495" s="63">
        <v>2019.0</v>
      </c>
      <c r="C495" s="63">
        <v>1.0</v>
      </c>
      <c r="D495" s="63" t="str">
        <f>IFERROR(__xludf.DUMMYFUNCTION("if(regexmatch(E495,""Recycled""),""No"",""Yes"")"),"No")</f>
        <v>No</v>
      </c>
      <c r="E495" s="63" t="s">
        <v>857</v>
      </c>
      <c r="F495" s="63" t="s">
        <v>787</v>
      </c>
      <c r="G495" s="1" t="s">
        <v>655</v>
      </c>
      <c r="H495" s="1"/>
      <c r="I495" s="69"/>
      <c r="L495" s="64">
        <f t="shared" si="83"/>
        <v>1</v>
      </c>
      <c r="AC495" s="17"/>
      <c r="AD495" s="17"/>
      <c r="AE495" s="17">
        <v>1.0</v>
      </c>
    </row>
    <row r="496" hidden="1">
      <c r="A496" s="18" t="s">
        <v>1323</v>
      </c>
      <c r="B496" s="63">
        <v>2023.0</v>
      </c>
      <c r="C496" s="63">
        <v>2.0</v>
      </c>
      <c r="D496" s="63" t="str">
        <f>IFERROR(__xludf.DUMMYFUNCTION("if(regexmatch(E496,""Recycled""),""No"",""Yes"")"),"No")</f>
        <v>No</v>
      </c>
      <c r="E496" s="63" t="s">
        <v>899</v>
      </c>
      <c r="F496" s="63" t="s">
        <v>660</v>
      </c>
      <c r="G496" s="1" t="s">
        <v>655</v>
      </c>
      <c r="H496" s="2"/>
      <c r="I496" s="69"/>
      <c r="K496" s="44" t="s">
        <v>1324</v>
      </c>
      <c r="L496" s="64">
        <f t="shared" si="83"/>
        <v>1</v>
      </c>
      <c r="AE496" s="17">
        <v>1.0</v>
      </c>
    </row>
    <row r="497">
      <c r="A497" s="18" t="s">
        <v>1323</v>
      </c>
      <c r="B497" s="63">
        <v>2025.0</v>
      </c>
      <c r="C497" s="63">
        <v>3.0</v>
      </c>
      <c r="D497" s="63" t="str">
        <f>IFERROR(__xludf.DUMMYFUNCTION("if(regexmatch(E497,""Recycled""),""No"",""Yes"")"),"Yes")</f>
        <v>Yes</v>
      </c>
      <c r="E497" s="63"/>
      <c r="F497" s="63" t="s">
        <v>660</v>
      </c>
      <c r="G497" s="1"/>
      <c r="H497" s="1"/>
      <c r="I497" s="69"/>
      <c r="J497" s="17" t="s">
        <v>1325</v>
      </c>
      <c r="L497" s="64"/>
      <c r="AD497" s="17"/>
      <c r="AE497" s="17"/>
    </row>
    <row r="498" hidden="1">
      <c r="A498" s="1" t="s">
        <v>1326</v>
      </c>
      <c r="B498" s="63">
        <v>2019.0</v>
      </c>
      <c r="C498" s="63">
        <v>1.0</v>
      </c>
      <c r="D498" s="63" t="str">
        <f>IFERROR(__xludf.DUMMYFUNCTION("if(regexmatch(E498,""Recycled""),""No"",""Yes"")"),"No")</f>
        <v>No</v>
      </c>
      <c r="E498" s="63" t="s">
        <v>786</v>
      </c>
      <c r="F498" s="63" t="s">
        <v>787</v>
      </c>
      <c r="G498" s="1" t="s">
        <v>655</v>
      </c>
      <c r="H498" s="1"/>
      <c r="I498" s="69"/>
      <c r="K498" s="73" t="s">
        <v>1008</v>
      </c>
      <c r="L498" s="64">
        <f t="shared" ref="L498:L499" si="84">SUM(M498:AW498)</f>
        <v>1</v>
      </c>
      <c r="AD498" s="17"/>
      <c r="AE498" s="17">
        <v>1.0</v>
      </c>
    </row>
    <row r="499" hidden="1">
      <c r="A499" s="1" t="s">
        <v>1327</v>
      </c>
      <c r="B499" s="63">
        <v>2019.0</v>
      </c>
      <c r="C499" s="63">
        <v>1.0</v>
      </c>
      <c r="D499" s="63" t="str">
        <f>IFERROR(__xludf.DUMMYFUNCTION("if(regexmatch(E499,""Recycled""),""No"",""Yes"")"),"No")</f>
        <v>No</v>
      </c>
      <c r="E499" s="63" t="s">
        <v>786</v>
      </c>
      <c r="F499" s="63" t="s">
        <v>787</v>
      </c>
      <c r="G499" s="1" t="s">
        <v>655</v>
      </c>
      <c r="H499" s="1"/>
      <c r="I499" s="69"/>
      <c r="K499" s="73" t="s">
        <v>1301</v>
      </c>
      <c r="L499" s="64">
        <f t="shared" si="84"/>
        <v>1</v>
      </c>
      <c r="N499" s="17">
        <v>1.0</v>
      </c>
    </row>
    <row r="500">
      <c r="A500" s="1" t="s">
        <v>1327</v>
      </c>
      <c r="B500" s="63">
        <v>2024.0</v>
      </c>
      <c r="C500" s="63">
        <v>2.0</v>
      </c>
      <c r="D500" s="63" t="str">
        <f>IFERROR(__xludf.DUMMYFUNCTION("if(regexmatch(E500,""Recycled""),""No"",""Yes"")"),"Yes")</f>
        <v>Yes</v>
      </c>
      <c r="E500" s="63"/>
      <c r="F500" s="63" t="s">
        <v>787</v>
      </c>
      <c r="G500" s="1"/>
      <c r="H500" s="2"/>
      <c r="I500" s="69"/>
      <c r="J500" s="17" t="s">
        <v>1328</v>
      </c>
      <c r="L500" s="64"/>
      <c r="M500" s="17"/>
      <c r="O500" s="17"/>
    </row>
    <row r="501" hidden="1">
      <c r="A501" s="1" t="s">
        <v>1329</v>
      </c>
      <c r="B501" s="63">
        <v>2021.0</v>
      </c>
      <c r="C501" s="63">
        <v>1.0</v>
      </c>
      <c r="D501" s="63" t="str">
        <f>IFERROR(__xludf.DUMMYFUNCTION("if(regexmatch(E501,""Recycled""),""No"",""Yes"")"),"No")</f>
        <v>No</v>
      </c>
      <c r="E501" s="63" t="s">
        <v>786</v>
      </c>
      <c r="F501" s="63" t="s">
        <v>787</v>
      </c>
      <c r="G501" s="1" t="s">
        <v>655</v>
      </c>
      <c r="H501" s="2"/>
      <c r="I501" s="69"/>
      <c r="K501" s="75" t="s">
        <v>825</v>
      </c>
      <c r="L501" s="64">
        <f>SUM(M501:AW501)</f>
        <v>2</v>
      </c>
      <c r="M501" s="17">
        <v>1.0</v>
      </c>
      <c r="O501" s="17">
        <v>1.0</v>
      </c>
    </row>
    <row r="502">
      <c r="A502" s="1" t="s">
        <v>1329</v>
      </c>
      <c r="B502" s="63">
        <v>2025.0</v>
      </c>
      <c r="C502" s="63">
        <v>2.0</v>
      </c>
      <c r="D502" s="63" t="str">
        <f>IFERROR(__xludf.DUMMYFUNCTION("if(regexmatch(E502,""Recycled""),""No"",""Yes"")"),"Yes")</f>
        <v>Yes</v>
      </c>
      <c r="E502" s="63"/>
      <c r="F502" s="63" t="s">
        <v>787</v>
      </c>
      <c r="G502" s="1"/>
      <c r="H502" s="1"/>
      <c r="I502" s="69"/>
      <c r="J502" s="17" t="s">
        <v>1330</v>
      </c>
      <c r="L502" s="64"/>
      <c r="M502" s="17"/>
    </row>
    <row r="503" hidden="1">
      <c r="A503" s="1" t="s">
        <v>1331</v>
      </c>
      <c r="B503" s="63">
        <v>2019.0</v>
      </c>
      <c r="C503" s="63">
        <v>1.0</v>
      </c>
      <c r="D503" s="63" t="str">
        <f>IFERROR(__xludf.DUMMYFUNCTION("if(regexmatch(E503,""Recycled""),""No"",""Yes"")"),"No")</f>
        <v>No</v>
      </c>
      <c r="E503" s="63" t="s">
        <v>786</v>
      </c>
      <c r="F503" s="63" t="s">
        <v>787</v>
      </c>
      <c r="G503" s="1" t="s">
        <v>655</v>
      </c>
      <c r="H503" s="1"/>
      <c r="I503" s="69"/>
      <c r="K503" s="41" t="s">
        <v>1332</v>
      </c>
      <c r="L503" s="64">
        <f>SUM(M503:AW503)</f>
        <v>1</v>
      </c>
      <c r="M503" s="17">
        <v>1.0</v>
      </c>
    </row>
    <row r="504">
      <c r="A504" s="1" t="s">
        <v>1331</v>
      </c>
      <c r="B504" s="63">
        <v>2025.0</v>
      </c>
      <c r="C504" s="63">
        <v>2.0</v>
      </c>
      <c r="D504" s="63" t="str">
        <f>IFERROR(__xludf.DUMMYFUNCTION("if(regexmatch(E504,""Recycled""),""No"",""Yes"")"),"Yes")</f>
        <v>Yes</v>
      </c>
      <c r="E504" s="63"/>
      <c r="F504" s="63" t="s">
        <v>787</v>
      </c>
      <c r="G504" s="1"/>
      <c r="H504" s="1"/>
      <c r="I504" s="69"/>
      <c r="J504" s="17" t="s">
        <v>1333</v>
      </c>
      <c r="L504" s="64"/>
      <c r="O504" s="17"/>
      <c r="T504" s="17"/>
      <c r="U504" s="17"/>
      <c r="AC504" s="17"/>
      <c r="AD504" s="17"/>
      <c r="AE504" s="17"/>
    </row>
    <row r="505">
      <c r="A505" s="1" t="s">
        <v>1331</v>
      </c>
      <c r="B505" s="63">
        <v>2025.0</v>
      </c>
      <c r="C505" s="63">
        <v>3.0</v>
      </c>
      <c r="D505" s="63" t="str">
        <f>IFERROR(__xludf.DUMMYFUNCTION("if(regexmatch(E505,""Recycled""),""No"",""Yes"")"),"Yes")</f>
        <v>Yes</v>
      </c>
      <c r="E505" s="63"/>
      <c r="F505" s="63" t="s">
        <v>660</v>
      </c>
      <c r="G505" s="1"/>
      <c r="H505" s="1">
        <v>1.0</v>
      </c>
      <c r="I505" s="69"/>
      <c r="J505" s="97" t="s">
        <v>1334</v>
      </c>
      <c r="K505" s="98"/>
      <c r="L505" s="64"/>
      <c r="O505" s="17"/>
      <c r="T505" s="17"/>
      <c r="U505" s="17"/>
      <c r="AC505" s="17"/>
      <c r="AD505" s="17"/>
      <c r="AE505" s="17"/>
    </row>
    <row r="506" hidden="1">
      <c r="A506" s="1" t="s">
        <v>1335</v>
      </c>
      <c r="B506" s="63">
        <v>2019.0</v>
      </c>
      <c r="C506" s="63">
        <v>1.0</v>
      </c>
      <c r="D506" s="63" t="str">
        <f>IFERROR(__xludf.DUMMYFUNCTION("if(regexmatch(E506,""Recycled""),""No"",""Yes"")"),"No")</f>
        <v>No</v>
      </c>
      <c r="E506" s="63" t="s">
        <v>899</v>
      </c>
      <c r="F506" s="63" t="s">
        <v>787</v>
      </c>
      <c r="G506" s="1" t="s">
        <v>655</v>
      </c>
      <c r="H506" s="1"/>
      <c r="I506" s="69"/>
      <c r="K506" s="73" t="s">
        <v>1336</v>
      </c>
      <c r="L506" s="64">
        <f t="shared" ref="L506:L508" si="85">SUM(M506:AW506)</f>
        <v>3</v>
      </c>
      <c r="O506" s="17">
        <v>1.0</v>
      </c>
      <c r="T506" s="17"/>
      <c r="U506" s="17">
        <v>1.0</v>
      </c>
      <c r="AC506" s="17"/>
      <c r="AD506" s="17"/>
      <c r="AE506" s="17">
        <v>1.0</v>
      </c>
    </row>
    <row r="507">
      <c r="A507" s="1" t="s">
        <v>1337</v>
      </c>
      <c r="B507" s="63">
        <v>2022.0</v>
      </c>
      <c r="C507" s="63">
        <v>1.0</v>
      </c>
      <c r="D507" s="63" t="str">
        <f>IFERROR(__xludf.DUMMYFUNCTION("if(regexmatch(E507,""Recycled""),""No"",""Yes"")"),"Yes")</f>
        <v>Yes</v>
      </c>
      <c r="E507" s="63" t="s">
        <v>943</v>
      </c>
      <c r="F507" s="63" t="s">
        <v>787</v>
      </c>
      <c r="G507" s="1" t="s">
        <v>655</v>
      </c>
      <c r="H507" s="2"/>
      <c r="I507" s="69"/>
      <c r="J507" s="17" t="s">
        <v>1338</v>
      </c>
      <c r="K507" s="74" t="s">
        <v>1339</v>
      </c>
      <c r="L507" s="64">
        <f t="shared" si="85"/>
        <v>1</v>
      </c>
      <c r="AT507" s="17">
        <v>1.0</v>
      </c>
      <c r="EC507" s="66" t="s">
        <v>1255</v>
      </c>
      <c r="ER507" s="66" t="s">
        <v>664</v>
      </c>
    </row>
    <row r="508" hidden="1">
      <c r="A508" s="1" t="s">
        <v>1340</v>
      </c>
      <c r="B508" s="63">
        <v>2022.0</v>
      </c>
      <c r="C508" s="63">
        <v>1.0</v>
      </c>
      <c r="D508" s="63" t="str">
        <f>IFERROR(__xludf.DUMMYFUNCTION("if(regexmatch(E508,""Recycled""),""No"",""Yes"")"),"No")</f>
        <v>No</v>
      </c>
      <c r="E508" s="63" t="s">
        <v>786</v>
      </c>
      <c r="F508" s="63" t="s">
        <v>787</v>
      </c>
      <c r="G508" s="1" t="s">
        <v>655</v>
      </c>
      <c r="H508" s="2"/>
      <c r="I508" s="69"/>
      <c r="J508" s="17" t="s">
        <v>944</v>
      </c>
      <c r="K508" s="75" t="s">
        <v>825</v>
      </c>
      <c r="L508" s="64">
        <f t="shared" si="85"/>
        <v>1</v>
      </c>
      <c r="AP508" s="17">
        <v>1.0</v>
      </c>
    </row>
    <row r="509">
      <c r="A509" s="1" t="s">
        <v>1340</v>
      </c>
      <c r="B509" s="63">
        <v>2024.0</v>
      </c>
      <c r="C509" s="63">
        <v>2.0</v>
      </c>
      <c r="D509" s="63" t="str">
        <f>IFERROR(__xludf.DUMMYFUNCTION("if(regexmatch(E509,""Recycled""),""No"",""Yes"")"),"Yes")</f>
        <v>Yes</v>
      </c>
      <c r="E509" s="63"/>
      <c r="F509" s="63" t="s">
        <v>787</v>
      </c>
      <c r="G509" s="1"/>
      <c r="H509" s="2"/>
      <c r="I509" s="69"/>
      <c r="J509" s="17" t="s">
        <v>1341</v>
      </c>
      <c r="K509" s="69"/>
      <c r="L509" s="64"/>
      <c r="AP509" s="17"/>
    </row>
    <row r="510" hidden="1">
      <c r="A510" s="1" t="s">
        <v>1342</v>
      </c>
      <c r="B510" s="63">
        <v>2022.0</v>
      </c>
      <c r="C510" s="63">
        <v>1.0</v>
      </c>
      <c r="D510" s="63" t="str">
        <f>IFERROR(__xludf.DUMMYFUNCTION("if(regexmatch(E510,""Recycled""),""No"",""Yes"")"),"No")</f>
        <v>No</v>
      </c>
      <c r="E510" s="63" t="s">
        <v>786</v>
      </c>
      <c r="F510" s="63" t="s">
        <v>787</v>
      </c>
      <c r="G510" s="1" t="s">
        <v>655</v>
      </c>
      <c r="H510" s="2"/>
      <c r="I510" s="69"/>
      <c r="J510" s="17" t="s">
        <v>944</v>
      </c>
      <c r="K510" s="41" t="s">
        <v>1289</v>
      </c>
      <c r="L510" s="64">
        <f>SUM(M510:AW510)</f>
        <v>1</v>
      </c>
      <c r="AP510" s="17">
        <v>1.0</v>
      </c>
    </row>
    <row r="511">
      <c r="A511" s="1" t="s">
        <v>1342</v>
      </c>
      <c r="B511" s="63">
        <v>2024.0</v>
      </c>
      <c r="C511" s="63">
        <v>2.0</v>
      </c>
      <c r="D511" s="63" t="str">
        <f>IFERROR(__xludf.DUMMYFUNCTION("if(regexmatch(E511,""Recycled""),""No"",""Yes"")"),"Yes")</f>
        <v>Yes</v>
      </c>
      <c r="E511" s="63"/>
      <c r="F511" s="63" t="s">
        <v>787</v>
      </c>
      <c r="G511" s="1"/>
      <c r="H511" s="2"/>
      <c r="I511" s="69"/>
      <c r="J511" s="17" t="s">
        <v>1343</v>
      </c>
      <c r="K511" s="17"/>
      <c r="L511" s="64"/>
      <c r="AP511" s="17"/>
    </row>
    <row r="512" hidden="1">
      <c r="A512" s="1" t="s">
        <v>1344</v>
      </c>
      <c r="B512" s="63">
        <v>2022.0</v>
      </c>
      <c r="C512" s="63">
        <v>1.0</v>
      </c>
      <c r="D512" s="63" t="str">
        <f>IFERROR(__xludf.DUMMYFUNCTION("if(regexmatch(E512,""Recycled""),""No"",""Yes"")"),"No")</f>
        <v>No</v>
      </c>
      <c r="E512" s="63" t="s">
        <v>786</v>
      </c>
      <c r="F512" s="63" t="s">
        <v>787</v>
      </c>
      <c r="G512" s="1" t="s">
        <v>655</v>
      </c>
      <c r="H512" s="2"/>
      <c r="I512" s="69"/>
      <c r="J512" s="17" t="s">
        <v>944</v>
      </c>
      <c r="K512" s="41" t="s">
        <v>889</v>
      </c>
      <c r="L512" s="64">
        <f>SUM(M512:AW512)</f>
        <v>1</v>
      </c>
      <c r="AP512" s="17">
        <v>1.0</v>
      </c>
    </row>
    <row r="513">
      <c r="A513" s="1" t="s">
        <v>1344</v>
      </c>
      <c r="B513" s="63">
        <v>2024.0</v>
      </c>
      <c r="C513" s="63">
        <v>2.0</v>
      </c>
      <c r="D513" s="63" t="str">
        <f>IFERROR(__xludf.DUMMYFUNCTION("if(regexmatch(E513,""Recycled""),""No"",""Yes"")"),"Yes")</f>
        <v>Yes</v>
      </c>
      <c r="E513" s="63"/>
      <c r="F513" s="63" t="s">
        <v>787</v>
      </c>
      <c r="G513" s="1"/>
      <c r="H513" s="2"/>
      <c r="I513" s="69"/>
      <c r="J513" s="17" t="s">
        <v>1345</v>
      </c>
      <c r="K513" s="69"/>
      <c r="L513" s="64"/>
      <c r="AP513" s="17"/>
    </row>
    <row r="514" hidden="1">
      <c r="A514" s="1" t="s">
        <v>1346</v>
      </c>
      <c r="B514" s="63">
        <v>2022.0</v>
      </c>
      <c r="C514" s="63">
        <v>1.0</v>
      </c>
      <c r="D514" s="63" t="str">
        <f>IFERROR(__xludf.DUMMYFUNCTION("if(regexmatch(E514,""Recycled""),""No"",""Yes"")"),"No")</f>
        <v>No</v>
      </c>
      <c r="E514" s="63" t="s">
        <v>786</v>
      </c>
      <c r="F514" s="63" t="s">
        <v>787</v>
      </c>
      <c r="G514" s="1" t="s">
        <v>655</v>
      </c>
      <c r="H514" s="2"/>
      <c r="I514" s="69"/>
      <c r="J514" s="17" t="s">
        <v>944</v>
      </c>
      <c r="K514" s="75" t="s">
        <v>825</v>
      </c>
      <c r="L514" s="64">
        <f>SUM(M514:AW514)</f>
        <v>1</v>
      </c>
      <c r="AP514" s="17">
        <v>1.0</v>
      </c>
    </row>
    <row r="515">
      <c r="A515" s="1" t="s">
        <v>1346</v>
      </c>
      <c r="B515" s="63">
        <v>2024.0</v>
      </c>
      <c r="C515" s="63">
        <v>2.0</v>
      </c>
      <c r="D515" s="63" t="str">
        <f>IFERROR(__xludf.DUMMYFUNCTION("if(regexmatch(E515,""Recycled""),""No"",""Yes"")"),"Yes")</f>
        <v>Yes</v>
      </c>
      <c r="E515" s="63"/>
      <c r="F515" s="63" t="s">
        <v>787</v>
      </c>
      <c r="G515" s="1"/>
      <c r="H515" s="2"/>
      <c r="I515" s="69"/>
      <c r="J515" s="17" t="s">
        <v>1347</v>
      </c>
      <c r="K515" s="69"/>
      <c r="L515" s="64"/>
      <c r="AC515" s="17"/>
      <c r="EC515" s="66"/>
      <c r="ER515" s="66"/>
    </row>
    <row r="516">
      <c r="A516" s="1" t="s">
        <v>1348</v>
      </c>
      <c r="B516" s="63">
        <v>2022.0</v>
      </c>
      <c r="C516" s="63">
        <v>1.0</v>
      </c>
      <c r="D516" s="63" t="str">
        <f>IFERROR(__xludf.DUMMYFUNCTION("if(regexmatch(E516,""Recycled""),""No"",""Yes"")"),"Yes")</f>
        <v>Yes</v>
      </c>
      <c r="E516" s="63" t="s">
        <v>943</v>
      </c>
      <c r="F516" s="63" t="s">
        <v>787</v>
      </c>
      <c r="G516" s="1" t="s">
        <v>655</v>
      </c>
      <c r="H516" s="2"/>
      <c r="I516" s="69"/>
      <c r="J516" s="17" t="s">
        <v>1349</v>
      </c>
      <c r="K516" s="73" t="s">
        <v>1350</v>
      </c>
      <c r="L516" s="64">
        <f t="shared" ref="L516:L518" si="86">SUM(M516:AW516)</f>
        <v>1</v>
      </c>
      <c r="AC516" s="17">
        <v>1.0</v>
      </c>
      <c r="EC516" s="66" t="s">
        <v>1351</v>
      </c>
      <c r="ER516" s="66" t="s">
        <v>1351</v>
      </c>
    </row>
    <row r="517" hidden="1">
      <c r="A517" s="1" t="s">
        <v>1352</v>
      </c>
      <c r="B517" s="63">
        <v>2022.0</v>
      </c>
      <c r="C517" s="63">
        <v>1.0</v>
      </c>
      <c r="D517" s="63" t="str">
        <f>IFERROR(__xludf.DUMMYFUNCTION("if(regexmatch(E517,""Recycled""),""No"",""Yes"")"),"No")</f>
        <v>No</v>
      </c>
      <c r="E517" s="63" t="s">
        <v>786</v>
      </c>
      <c r="F517" s="63" t="s">
        <v>787</v>
      </c>
      <c r="G517" s="1" t="s">
        <v>655</v>
      </c>
      <c r="H517" s="2"/>
      <c r="I517" s="69"/>
      <c r="J517" s="17" t="s">
        <v>911</v>
      </c>
      <c r="K517" s="73" t="s">
        <v>951</v>
      </c>
      <c r="L517" s="64">
        <f t="shared" si="86"/>
        <v>1</v>
      </c>
      <c r="AR517" s="17">
        <v>1.0</v>
      </c>
      <c r="EC517" s="66" t="s">
        <v>1351</v>
      </c>
      <c r="EQ517" s="66" t="s">
        <v>1351</v>
      </c>
    </row>
    <row r="518" hidden="1">
      <c r="A518" s="1" t="s">
        <v>1353</v>
      </c>
      <c r="B518" s="63">
        <v>2022.0</v>
      </c>
      <c r="C518" s="63">
        <v>1.0</v>
      </c>
      <c r="D518" s="63" t="str">
        <f>IFERROR(__xludf.DUMMYFUNCTION("if(regexmatch(E518,""Recycled""),""No"",""Yes"")"),"No")</f>
        <v>No</v>
      </c>
      <c r="E518" s="63" t="s">
        <v>876</v>
      </c>
      <c r="F518" s="63" t="s">
        <v>787</v>
      </c>
      <c r="G518" s="1" t="s">
        <v>655</v>
      </c>
      <c r="H518" s="2"/>
      <c r="I518" s="69"/>
      <c r="J518" s="17" t="s">
        <v>911</v>
      </c>
      <c r="K518" s="75" t="s">
        <v>825</v>
      </c>
      <c r="L518" s="64">
        <f t="shared" si="86"/>
        <v>1</v>
      </c>
      <c r="Z518" s="17"/>
      <c r="AA518" s="17"/>
      <c r="AB518" s="17">
        <v>1.0</v>
      </c>
      <c r="EC518" s="66" t="s">
        <v>1255</v>
      </c>
      <c r="EQ518" s="66" t="s">
        <v>664</v>
      </c>
    </row>
    <row r="519">
      <c r="A519" s="1" t="s">
        <v>1353</v>
      </c>
      <c r="B519" s="63">
        <v>2024.0</v>
      </c>
      <c r="C519" s="63">
        <v>2.0</v>
      </c>
      <c r="D519" s="63" t="str">
        <f>IFERROR(__xludf.DUMMYFUNCTION("if(regexmatch(E519,""Recycled""),""No"",""Yes"")"),"Yes")</f>
        <v>Yes</v>
      </c>
      <c r="E519" s="63"/>
      <c r="F519" s="63" t="s">
        <v>787</v>
      </c>
      <c r="G519" s="1"/>
      <c r="H519" s="2"/>
      <c r="I519" s="69"/>
      <c r="J519" s="17" t="s">
        <v>1354</v>
      </c>
      <c r="K519" s="69"/>
      <c r="L519" s="64"/>
      <c r="AI519" s="17"/>
      <c r="EC519" s="66"/>
    </row>
    <row r="520">
      <c r="A520" s="1" t="s">
        <v>1355</v>
      </c>
      <c r="B520" s="63">
        <v>2024.0</v>
      </c>
      <c r="C520" s="63">
        <v>1.0</v>
      </c>
      <c r="D520" s="63" t="str">
        <f>IFERROR(__xludf.DUMMYFUNCTION("if(regexmatch(E520,""Recycled""),""No"",""Yes"")"),"Yes")</f>
        <v>Yes</v>
      </c>
      <c r="E520" s="63"/>
      <c r="F520" s="63" t="s">
        <v>787</v>
      </c>
      <c r="G520" s="1"/>
      <c r="H520" s="2"/>
      <c r="I520" s="69"/>
      <c r="J520" s="17" t="s">
        <v>1356</v>
      </c>
      <c r="K520" s="17" t="s">
        <v>1357</v>
      </c>
      <c r="L520" s="64"/>
      <c r="AI520" s="17"/>
      <c r="EC520" s="66"/>
    </row>
    <row r="521" hidden="1">
      <c r="A521" s="1" t="s">
        <v>1358</v>
      </c>
      <c r="B521" s="63">
        <v>2022.0</v>
      </c>
      <c r="C521" s="63">
        <v>1.0</v>
      </c>
      <c r="D521" s="63" t="str">
        <f>IFERROR(__xludf.DUMMYFUNCTION("if(regexmatch(E521,""Recycled""),""No"",""Yes"")"),"No")</f>
        <v>No</v>
      </c>
      <c r="E521" s="63" t="s">
        <v>876</v>
      </c>
      <c r="F521" s="63" t="s">
        <v>787</v>
      </c>
      <c r="G521" s="1" t="s">
        <v>655</v>
      </c>
      <c r="H521" s="2"/>
      <c r="I521" s="69"/>
      <c r="J521" s="17" t="s">
        <v>911</v>
      </c>
      <c r="K521" s="75" t="s">
        <v>825</v>
      </c>
      <c r="L521" s="64">
        <f t="shared" ref="L521:L522" si="87">SUM(M521:AW521)</f>
        <v>1</v>
      </c>
      <c r="AI521" s="17">
        <v>1.0</v>
      </c>
      <c r="EC521" s="66" t="s">
        <v>1359</v>
      </c>
    </row>
    <row r="522" hidden="1">
      <c r="A522" s="1" t="s">
        <v>1360</v>
      </c>
      <c r="B522" s="63">
        <v>2022.0</v>
      </c>
      <c r="C522" s="63">
        <v>1.0</v>
      </c>
      <c r="D522" s="63" t="str">
        <f>IFERROR(__xludf.DUMMYFUNCTION("if(regexmatch(E522,""Recycled""),""No"",""Yes"")"),"No")</f>
        <v>No</v>
      </c>
      <c r="E522" s="63" t="s">
        <v>876</v>
      </c>
      <c r="F522" s="63" t="s">
        <v>787</v>
      </c>
      <c r="G522" s="1" t="s">
        <v>655</v>
      </c>
      <c r="H522" s="2"/>
      <c r="I522" s="69"/>
      <c r="J522" s="17" t="s">
        <v>911</v>
      </c>
      <c r="K522" s="75" t="s">
        <v>825</v>
      </c>
      <c r="L522" s="64">
        <f t="shared" si="87"/>
        <v>1</v>
      </c>
      <c r="AI522" s="17">
        <v>1.0</v>
      </c>
      <c r="EC522" s="66" t="s">
        <v>1255</v>
      </c>
      <c r="ER522" s="66" t="s">
        <v>664</v>
      </c>
    </row>
    <row r="523">
      <c r="A523" s="1" t="s">
        <v>1360</v>
      </c>
      <c r="B523" s="63">
        <v>2024.0</v>
      </c>
      <c r="C523" s="63">
        <v>2.0</v>
      </c>
      <c r="D523" s="63" t="str">
        <f>IFERROR(__xludf.DUMMYFUNCTION("if(regexmatch(E523,""Recycled""),""No"",""Yes"")"),"Yes")</f>
        <v>Yes</v>
      </c>
      <c r="E523" s="63"/>
      <c r="F523" s="63" t="s">
        <v>787</v>
      </c>
      <c r="G523" s="1"/>
      <c r="H523" s="2"/>
      <c r="I523" s="69"/>
      <c r="J523" s="17" t="s">
        <v>1361</v>
      </c>
      <c r="K523" s="17"/>
      <c r="L523" s="64"/>
      <c r="AF523" s="17"/>
      <c r="AG523" s="17"/>
      <c r="EC523" s="66"/>
      <c r="EQ523" s="66"/>
    </row>
    <row r="524">
      <c r="A524" s="1" t="s">
        <v>1362</v>
      </c>
      <c r="B524" s="63">
        <v>2022.0</v>
      </c>
      <c r="C524" s="63">
        <v>1.0</v>
      </c>
      <c r="D524" s="63" t="str">
        <f>IFERROR(__xludf.DUMMYFUNCTION("if(regexmatch(E524,""Recycled""),""No"",""Yes"")"),"Yes")</f>
        <v>Yes</v>
      </c>
      <c r="E524" s="63" t="s">
        <v>943</v>
      </c>
      <c r="F524" s="63" t="s">
        <v>787</v>
      </c>
      <c r="G524" s="1" t="s">
        <v>655</v>
      </c>
      <c r="H524" s="2"/>
      <c r="I524" s="69"/>
      <c r="J524" s="17" t="s">
        <v>1363</v>
      </c>
      <c r="K524" s="74" t="s">
        <v>1364</v>
      </c>
      <c r="L524" s="64">
        <f t="shared" ref="L524:L527" si="88">SUM(M524:AW524)</f>
        <v>1</v>
      </c>
      <c r="AF524" s="17"/>
      <c r="AG524" s="17">
        <v>1.0</v>
      </c>
      <c r="EC524" s="66" t="s">
        <v>1255</v>
      </c>
      <c r="EQ524" s="66" t="s">
        <v>664</v>
      </c>
    </row>
    <row r="525" hidden="1">
      <c r="A525" s="1" t="s">
        <v>1365</v>
      </c>
      <c r="B525" s="63">
        <v>2022.0</v>
      </c>
      <c r="C525" s="63">
        <v>1.0</v>
      </c>
      <c r="D525" s="63" t="str">
        <f>IFERROR(__xludf.DUMMYFUNCTION("if(regexmatch(E525,""Recycled""),""No"",""Yes"")"),"No")</f>
        <v>No</v>
      </c>
      <c r="E525" s="63" t="s">
        <v>786</v>
      </c>
      <c r="F525" s="63" t="s">
        <v>787</v>
      </c>
      <c r="G525" s="1" t="s">
        <v>655</v>
      </c>
      <c r="H525" s="2"/>
      <c r="I525" s="69"/>
      <c r="J525" s="17" t="s">
        <v>911</v>
      </c>
      <c r="K525" s="82" t="s">
        <v>1366</v>
      </c>
      <c r="L525" s="64">
        <f t="shared" si="88"/>
        <v>1</v>
      </c>
      <c r="V525" s="17">
        <v>1.0</v>
      </c>
    </row>
    <row r="526" hidden="1">
      <c r="A526" s="1" t="s">
        <v>1367</v>
      </c>
      <c r="B526" s="63">
        <v>2022.0</v>
      </c>
      <c r="C526" s="63">
        <v>1.0</v>
      </c>
      <c r="D526" s="63" t="str">
        <f>IFERROR(__xludf.DUMMYFUNCTION("if(regexmatch(E526,""Recycled""),""No"",""Yes"")"),"No")</f>
        <v>No</v>
      </c>
      <c r="E526" s="63" t="s">
        <v>876</v>
      </c>
      <c r="F526" s="63" t="s">
        <v>787</v>
      </c>
      <c r="G526" s="1" t="s">
        <v>655</v>
      </c>
      <c r="H526" s="2"/>
      <c r="I526" s="69"/>
      <c r="J526" s="17" t="s">
        <v>944</v>
      </c>
      <c r="K526" s="41" t="s">
        <v>889</v>
      </c>
      <c r="L526" s="64">
        <f t="shared" si="88"/>
        <v>1</v>
      </c>
      <c r="AP526" s="17">
        <v>1.0</v>
      </c>
      <c r="EC526" s="66" t="s">
        <v>1255</v>
      </c>
      <c r="EQ526" s="66" t="s">
        <v>664</v>
      </c>
    </row>
    <row r="527" hidden="1">
      <c r="A527" s="1" t="s">
        <v>1368</v>
      </c>
      <c r="B527" s="63">
        <v>2022.0</v>
      </c>
      <c r="C527" s="63">
        <v>1.0</v>
      </c>
      <c r="D527" s="63" t="str">
        <f>IFERROR(__xludf.DUMMYFUNCTION("if(regexmatch(E527,""Recycled""),""No"",""Yes"")"),"No")</f>
        <v>No</v>
      </c>
      <c r="E527" s="63" t="s">
        <v>876</v>
      </c>
      <c r="F527" s="63" t="s">
        <v>787</v>
      </c>
      <c r="G527" s="1" t="s">
        <v>655</v>
      </c>
      <c r="H527" s="2"/>
      <c r="I527" s="69"/>
      <c r="J527" s="17" t="s">
        <v>911</v>
      </c>
      <c r="K527" s="41" t="s">
        <v>889</v>
      </c>
      <c r="L527" s="64">
        <f t="shared" si="88"/>
        <v>1</v>
      </c>
      <c r="Z527" s="17">
        <v>1.0</v>
      </c>
      <c r="EC527" s="66" t="s">
        <v>1255</v>
      </c>
      <c r="EQ527" s="66" t="s">
        <v>664</v>
      </c>
    </row>
    <row r="528">
      <c r="A528" s="1" t="s">
        <v>1368</v>
      </c>
      <c r="B528" s="63">
        <v>2024.0</v>
      </c>
      <c r="C528" s="63">
        <v>2.0</v>
      </c>
      <c r="D528" s="63" t="str">
        <f>IFERROR(__xludf.DUMMYFUNCTION("if(regexmatch(E528,""Recycled""),""No"",""Yes"")"),"Yes")</f>
        <v>Yes</v>
      </c>
      <c r="E528" s="63"/>
      <c r="F528" s="63" t="s">
        <v>787</v>
      </c>
      <c r="G528" s="1"/>
      <c r="H528" s="2"/>
      <c r="I528" s="69"/>
      <c r="J528" s="17" t="s">
        <v>1369</v>
      </c>
      <c r="K528" s="17"/>
      <c r="L528" s="64"/>
      <c r="Q528" s="17"/>
      <c r="EC528" s="66"/>
      <c r="EQ528" s="66"/>
    </row>
    <row r="529" hidden="1">
      <c r="A529" s="1" t="s">
        <v>1370</v>
      </c>
      <c r="B529" s="63">
        <v>2022.0</v>
      </c>
      <c r="C529" s="63">
        <v>1.0</v>
      </c>
      <c r="D529" s="63" t="str">
        <f>IFERROR(__xludf.DUMMYFUNCTION("if(regexmatch(E529,""Recycled""),""No"",""Yes"")"),"No")</f>
        <v>No</v>
      </c>
      <c r="E529" s="63" t="s">
        <v>876</v>
      </c>
      <c r="F529" s="63" t="s">
        <v>787</v>
      </c>
      <c r="G529" s="1" t="s">
        <v>1371</v>
      </c>
      <c r="H529" s="2"/>
      <c r="I529" s="69"/>
      <c r="J529" s="17" t="s">
        <v>911</v>
      </c>
      <c r="K529" s="44" t="s">
        <v>1372</v>
      </c>
      <c r="L529" s="64">
        <f t="shared" ref="L529:L531" si="89">SUM(M529:AW529)</f>
        <v>1</v>
      </c>
      <c r="Q529" s="17">
        <v>1.0</v>
      </c>
      <c r="EC529" s="66" t="s">
        <v>1255</v>
      </c>
      <c r="EQ529" s="66" t="s">
        <v>664</v>
      </c>
    </row>
    <row r="530">
      <c r="A530" s="1" t="s">
        <v>1373</v>
      </c>
      <c r="B530" s="63">
        <v>2022.0</v>
      </c>
      <c r="C530" s="63">
        <v>1.0</v>
      </c>
      <c r="D530" s="63" t="str">
        <f>IFERROR(__xludf.DUMMYFUNCTION("if(regexmatch(E530,""Recycled""),""No"",""Yes"")"),"Yes")</f>
        <v>Yes</v>
      </c>
      <c r="E530" s="63" t="s">
        <v>943</v>
      </c>
      <c r="F530" s="63" t="s">
        <v>787</v>
      </c>
      <c r="G530" s="1" t="s">
        <v>655</v>
      </c>
      <c r="H530" s="2"/>
      <c r="I530" s="69"/>
      <c r="J530" s="17" t="s">
        <v>911</v>
      </c>
      <c r="K530" s="75" t="s">
        <v>1374</v>
      </c>
      <c r="L530" s="64">
        <f t="shared" si="89"/>
        <v>1</v>
      </c>
      <c r="AR530" s="17">
        <v>1.0</v>
      </c>
      <c r="EC530" s="66" t="s">
        <v>1255</v>
      </c>
      <c r="EQ530" s="66" t="s">
        <v>664</v>
      </c>
    </row>
    <row r="531" hidden="1">
      <c r="A531" s="1" t="s">
        <v>1375</v>
      </c>
      <c r="B531" s="63">
        <v>2022.0</v>
      </c>
      <c r="C531" s="63">
        <v>1.0</v>
      </c>
      <c r="D531" s="63" t="str">
        <f>IFERROR(__xludf.DUMMYFUNCTION("if(regexmatch(E531,""Recycled""),""No"",""Yes"")"),"No")</f>
        <v>No</v>
      </c>
      <c r="E531" s="63" t="s">
        <v>1079</v>
      </c>
      <c r="F531" s="63" t="s">
        <v>787</v>
      </c>
      <c r="G531" s="1" t="s">
        <v>655</v>
      </c>
      <c r="H531" s="2"/>
      <c r="I531" s="69"/>
      <c r="J531" s="17" t="s">
        <v>1376</v>
      </c>
      <c r="K531" s="75" t="s">
        <v>825</v>
      </c>
      <c r="L531" s="64">
        <f t="shared" si="89"/>
        <v>1</v>
      </c>
      <c r="AH531" s="17">
        <v>1.0</v>
      </c>
      <c r="EC531" s="66" t="s">
        <v>1255</v>
      </c>
      <c r="EQ531" s="66" t="s">
        <v>664</v>
      </c>
    </row>
    <row r="532">
      <c r="A532" s="1" t="s">
        <v>1375</v>
      </c>
      <c r="B532" s="63">
        <v>2025.0</v>
      </c>
      <c r="C532" s="63">
        <v>2.0</v>
      </c>
      <c r="D532" s="63" t="str">
        <f>IFERROR(__xludf.DUMMYFUNCTION("if(regexmatch(E532,""Recycled""),""No"",""Yes"")"),"Yes")</f>
        <v>Yes</v>
      </c>
      <c r="E532" s="63"/>
      <c r="F532" s="63" t="s">
        <v>660</v>
      </c>
      <c r="G532" s="1"/>
      <c r="H532" s="2"/>
      <c r="I532" s="69"/>
      <c r="J532" s="17" t="s">
        <v>1377</v>
      </c>
      <c r="K532" s="69"/>
      <c r="L532" s="64"/>
      <c r="AR532" s="17"/>
      <c r="ED532" s="66"/>
      <c r="ER532" s="66"/>
    </row>
    <row r="533">
      <c r="A533" s="1" t="s">
        <v>1378</v>
      </c>
      <c r="B533" s="63">
        <v>2022.0</v>
      </c>
      <c r="C533" s="63">
        <v>1.0</v>
      </c>
      <c r="D533" s="63" t="str">
        <f>IFERROR(__xludf.DUMMYFUNCTION("if(regexmatch(E533,""Recycled""),""No"",""Yes"")"),"Yes")</f>
        <v>Yes</v>
      </c>
      <c r="E533" s="63" t="s">
        <v>943</v>
      </c>
      <c r="F533" s="63" t="s">
        <v>787</v>
      </c>
      <c r="G533" s="1" t="s">
        <v>655</v>
      </c>
      <c r="H533" s="2"/>
      <c r="I533" s="69"/>
      <c r="J533" s="17" t="s">
        <v>1319</v>
      </c>
      <c r="K533" s="44" t="s">
        <v>1379</v>
      </c>
      <c r="L533" s="64">
        <f t="shared" ref="L533:L535" si="90">SUM(M533:AW533)</f>
        <v>1</v>
      </c>
      <c r="AR533" s="17">
        <v>1.0</v>
      </c>
      <c r="ED533" s="66" t="s">
        <v>1255</v>
      </c>
      <c r="ER533" s="66" t="s">
        <v>664</v>
      </c>
    </row>
    <row r="534" hidden="1">
      <c r="A534" s="1" t="s">
        <v>1380</v>
      </c>
      <c r="B534" s="63">
        <v>2022.0</v>
      </c>
      <c r="C534" s="63">
        <v>1.0</v>
      </c>
      <c r="D534" s="63" t="str">
        <f>IFERROR(__xludf.DUMMYFUNCTION("if(regexmatch(E534,""Recycled""),""No"",""Yes"")"),"No")</f>
        <v>No</v>
      </c>
      <c r="E534" s="63" t="s">
        <v>876</v>
      </c>
      <c r="F534" s="63" t="s">
        <v>660</v>
      </c>
      <c r="G534" s="1" t="s">
        <v>655</v>
      </c>
      <c r="H534" s="2"/>
      <c r="I534" s="69"/>
      <c r="J534" s="17" t="s">
        <v>1381</v>
      </c>
      <c r="K534" s="44" t="s">
        <v>1382</v>
      </c>
      <c r="L534" s="64">
        <f t="shared" si="90"/>
        <v>1</v>
      </c>
      <c r="U534" s="17">
        <v>1.0</v>
      </c>
      <c r="ED534" s="66" t="s">
        <v>1255</v>
      </c>
      <c r="EQ534" s="66" t="s">
        <v>664</v>
      </c>
    </row>
    <row r="535" hidden="1">
      <c r="A535" s="1" t="s">
        <v>1383</v>
      </c>
      <c r="B535" s="63">
        <v>2022.0</v>
      </c>
      <c r="C535" s="63">
        <v>1.0</v>
      </c>
      <c r="D535" s="63" t="str">
        <f>IFERROR(__xludf.DUMMYFUNCTION("if(regexmatch(E535,""Recycled""),""No"",""Yes"")"),"No")</f>
        <v>No</v>
      </c>
      <c r="E535" s="63" t="s">
        <v>876</v>
      </c>
      <c r="F535" s="63" t="s">
        <v>660</v>
      </c>
      <c r="G535" s="1" t="s">
        <v>655</v>
      </c>
      <c r="H535" s="2"/>
      <c r="I535" s="69"/>
      <c r="J535" s="17" t="s">
        <v>1381</v>
      </c>
      <c r="L535" s="64">
        <f t="shared" si="90"/>
        <v>1</v>
      </c>
      <c r="R535" s="17">
        <v>1.0</v>
      </c>
      <c r="ED535" s="66" t="s">
        <v>1255</v>
      </c>
      <c r="EQ535" s="66" t="s">
        <v>664</v>
      </c>
    </row>
    <row r="536">
      <c r="A536" s="1" t="s">
        <v>1383</v>
      </c>
      <c r="B536" s="63">
        <v>2024.0</v>
      </c>
      <c r="C536" s="63">
        <v>2.0</v>
      </c>
      <c r="D536" s="63" t="str">
        <f>IFERROR(__xludf.DUMMYFUNCTION("if(regexmatch(E536,""Recycled""),""No"",""Yes"")"),"Yes")</f>
        <v>Yes</v>
      </c>
      <c r="E536" s="63"/>
      <c r="F536" s="63" t="s">
        <v>660</v>
      </c>
      <c r="G536" s="1"/>
      <c r="H536" s="1">
        <v>2.0</v>
      </c>
      <c r="I536" s="69"/>
      <c r="J536" s="17" t="s">
        <v>1117</v>
      </c>
      <c r="L536" s="64"/>
      <c r="N536" s="17"/>
      <c r="ED536" s="66"/>
      <c r="EQ536" s="66"/>
    </row>
    <row r="537">
      <c r="A537" s="1" t="s">
        <v>1384</v>
      </c>
      <c r="B537" s="63">
        <v>2022.0</v>
      </c>
      <c r="C537" s="63">
        <v>1.0</v>
      </c>
      <c r="D537" s="63" t="str">
        <f>IFERROR(__xludf.DUMMYFUNCTION("if(regexmatch(E537,""Recycled""),""No"",""Yes"")"),"Yes")</f>
        <v>Yes</v>
      </c>
      <c r="E537" s="63" t="s">
        <v>943</v>
      </c>
      <c r="F537" s="63" t="s">
        <v>660</v>
      </c>
      <c r="G537" s="1" t="s">
        <v>1385</v>
      </c>
      <c r="H537" s="2"/>
      <c r="I537" s="69"/>
      <c r="J537" s="17" t="s">
        <v>1381</v>
      </c>
      <c r="K537" s="73" t="s">
        <v>1386</v>
      </c>
      <c r="L537" s="64">
        <f t="shared" ref="L537:L538" si="91">SUM(M537:AW537)</f>
        <v>1</v>
      </c>
      <c r="N537" s="17">
        <v>1.0</v>
      </c>
      <c r="ED537" s="66" t="s">
        <v>1255</v>
      </c>
      <c r="EQ537" s="66" t="s">
        <v>664</v>
      </c>
    </row>
    <row r="538" hidden="1">
      <c r="A538" s="1" t="s">
        <v>1387</v>
      </c>
      <c r="B538" s="63">
        <v>2022.0</v>
      </c>
      <c r="C538" s="63">
        <v>1.0</v>
      </c>
      <c r="D538" s="63" t="str">
        <f>IFERROR(__xludf.DUMMYFUNCTION("if(regexmatch(E538,""Recycled""),""No"",""Yes"")"),"No")</f>
        <v>No</v>
      </c>
      <c r="E538" s="63" t="s">
        <v>876</v>
      </c>
      <c r="F538" s="63" t="s">
        <v>660</v>
      </c>
      <c r="G538" s="1" t="s">
        <v>1388</v>
      </c>
      <c r="H538" s="2"/>
      <c r="I538" s="69"/>
      <c r="J538" s="17" t="s">
        <v>1381</v>
      </c>
      <c r="K538" s="73" t="s">
        <v>839</v>
      </c>
      <c r="L538" s="64">
        <f t="shared" si="91"/>
        <v>1</v>
      </c>
      <c r="U538" s="17">
        <v>1.0</v>
      </c>
      <c r="ED538" s="66" t="s">
        <v>1255</v>
      </c>
      <c r="EP538" s="66" t="s">
        <v>664</v>
      </c>
    </row>
    <row r="539">
      <c r="A539" s="1" t="s">
        <v>1387</v>
      </c>
      <c r="B539" s="63">
        <v>2024.0</v>
      </c>
      <c r="C539" s="63">
        <v>2.0</v>
      </c>
      <c r="D539" s="63" t="str">
        <f>IFERROR(__xludf.DUMMYFUNCTION("if(regexmatch(E539,""Recycled""),""No"",""Yes"")"),"Yes")</f>
        <v>Yes</v>
      </c>
      <c r="E539" s="63"/>
      <c r="F539" s="63" t="s">
        <v>1126</v>
      </c>
      <c r="G539" s="1"/>
      <c r="H539" s="2"/>
      <c r="I539" s="69"/>
      <c r="J539" s="17" t="s">
        <v>1389</v>
      </c>
      <c r="K539" s="17"/>
      <c r="L539" s="64"/>
      <c r="AC539" s="17"/>
    </row>
    <row r="540" hidden="1">
      <c r="A540" s="1" t="s">
        <v>1390</v>
      </c>
      <c r="B540" s="63">
        <v>2022.0</v>
      </c>
      <c r="C540" s="63">
        <v>1.0</v>
      </c>
      <c r="D540" s="63" t="str">
        <f>IFERROR(__xludf.DUMMYFUNCTION("if(regexmatch(E540,""Recycled""),""No"",""Yes"")"),"No")</f>
        <v>No</v>
      </c>
      <c r="E540" s="63" t="s">
        <v>786</v>
      </c>
      <c r="F540" s="63" t="s">
        <v>660</v>
      </c>
      <c r="G540" s="1" t="s">
        <v>655</v>
      </c>
      <c r="H540" s="2"/>
      <c r="I540" s="69"/>
      <c r="J540" s="17" t="s">
        <v>1391</v>
      </c>
      <c r="K540" s="41" t="s">
        <v>1289</v>
      </c>
      <c r="L540" s="64">
        <f>SUM(M540:AW540)</f>
        <v>1</v>
      </c>
      <c r="AC540" s="17">
        <v>1.0</v>
      </c>
    </row>
    <row r="541">
      <c r="A541" s="1" t="s">
        <v>1390</v>
      </c>
      <c r="B541" s="63">
        <v>2025.0</v>
      </c>
      <c r="C541" s="63">
        <v>2.0</v>
      </c>
      <c r="D541" s="63" t="str">
        <f>IFERROR(__xludf.DUMMYFUNCTION("if(regexmatch(E541,""Recycled""),""No"",""Yes"")"),"Yes")</f>
        <v>Yes</v>
      </c>
      <c r="E541" s="63"/>
      <c r="F541" s="63" t="s">
        <v>660</v>
      </c>
      <c r="G541" s="1"/>
      <c r="H541" s="2"/>
      <c r="I541" s="69"/>
      <c r="J541" s="17" t="s">
        <v>1392</v>
      </c>
      <c r="L541" s="64"/>
      <c r="AI541" s="17"/>
    </row>
    <row r="542" hidden="1">
      <c r="A542" s="1" t="s">
        <v>1393</v>
      </c>
      <c r="B542" s="63">
        <v>2022.0</v>
      </c>
      <c r="C542" s="63">
        <v>1.0</v>
      </c>
      <c r="D542" s="63" t="str">
        <f>IFERROR(__xludf.DUMMYFUNCTION("if(regexmatch(E542,""Recycled""),""No"",""Yes"")"),"No")</f>
        <v>No</v>
      </c>
      <c r="E542" s="63" t="s">
        <v>786</v>
      </c>
      <c r="F542" s="63" t="s">
        <v>660</v>
      </c>
      <c r="G542" s="1" t="s">
        <v>655</v>
      </c>
      <c r="H542" s="2"/>
      <c r="I542" s="69"/>
      <c r="J542" s="17" t="s">
        <v>1381</v>
      </c>
      <c r="L542" s="64">
        <f>SUM(M542:AW542)</f>
        <v>1</v>
      </c>
      <c r="AI542" s="17">
        <v>1.0</v>
      </c>
    </row>
    <row r="543">
      <c r="A543" s="1" t="s">
        <v>1393</v>
      </c>
      <c r="B543" s="63">
        <v>2024.0</v>
      </c>
      <c r="C543" s="63">
        <v>2.0</v>
      </c>
      <c r="D543" s="63" t="str">
        <f>IFERROR(__xludf.DUMMYFUNCTION("if(regexmatch(E543,""Recycled""),""No"",""Yes"")"),"Yes")</f>
        <v>Yes</v>
      </c>
      <c r="E543" s="63"/>
      <c r="F543" s="63" t="s">
        <v>660</v>
      </c>
      <c r="G543" s="1"/>
      <c r="H543" s="1">
        <v>2.0</v>
      </c>
      <c r="I543" s="69"/>
      <c r="J543" s="17" t="s">
        <v>1013</v>
      </c>
      <c r="L543" s="64"/>
      <c r="AP543" s="17"/>
    </row>
    <row r="544" hidden="1">
      <c r="A544" s="1" t="s">
        <v>1394</v>
      </c>
      <c r="B544" s="63">
        <v>2022.0</v>
      </c>
      <c r="C544" s="63">
        <v>1.0</v>
      </c>
      <c r="D544" s="63" t="str">
        <f>IFERROR(__xludf.DUMMYFUNCTION("if(regexmatch(E544,""Recycled""),""No"",""Yes"")"),"No")</f>
        <v>No</v>
      </c>
      <c r="E544" s="63" t="s">
        <v>786</v>
      </c>
      <c r="F544" s="63" t="s">
        <v>660</v>
      </c>
      <c r="G544" s="1" t="s">
        <v>655</v>
      </c>
      <c r="H544" s="2"/>
      <c r="I544" s="69"/>
      <c r="J544" s="17" t="s">
        <v>1381</v>
      </c>
      <c r="K544" s="41" t="s">
        <v>1289</v>
      </c>
      <c r="L544" s="64">
        <f>SUM(M544:AW544)</f>
        <v>1</v>
      </c>
      <c r="AP544" s="17">
        <v>1.0</v>
      </c>
    </row>
    <row r="545">
      <c r="A545" s="1" t="s">
        <v>1394</v>
      </c>
      <c r="B545" s="63">
        <v>2025.0</v>
      </c>
      <c r="C545" s="63">
        <v>2.0</v>
      </c>
      <c r="D545" s="63" t="str">
        <f>IFERROR(__xludf.DUMMYFUNCTION("if(regexmatch(E545,""Recycled""),""No"",""Yes"")"),"Yes")</f>
        <v>Yes</v>
      </c>
      <c r="E545" s="63"/>
      <c r="F545" s="63" t="s">
        <v>660</v>
      </c>
      <c r="G545" s="1"/>
      <c r="H545" s="1">
        <v>1.0</v>
      </c>
      <c r="I545" s="69"/>
      <c r="J545" s="17" t="s">
        <v>1198</v>
      </c>
      <c r="K545" s="93"/>
      <c r="L545" s="64"/>
      <c r="R545" s="17"/>
      <c r="ED545" s="66"/>
      <c r="EP545" s="66"/>
    </row>
    <row r="546">
      <c r="A546" s="1" t="s">
        <v>1395</v>
      </c>
      <c r="B546" s="63">
        <v>2022.0</v>
      </c>
      <c r="C546" s="63">
        <v>1.0</v>
      </c>
      <c r="D546" s="63" t="str">
        <f>IFERROR(__xludf.DUMMYFUNCTION("if(regexmatch(E546,""Recycled""),""No"",""Yes"")"),"Yes")</f>
        <v>Yes</v>
      </c>
      <c r="E546" s="63" t="s">
        <v>943</v>
      </c>
      <c r="F546" s="63" t="s">
        <v>660</v>
      </c>
      <c r="G546" s="1" t="s">
        <v>655</v>
      </c>
      <c r="H546" s="2"/>
      <c r="I546" s="69"/>
      <c r="J546" s="17" t="s">
        <v>1381</v>
      </c>
      <c r="K546" s="41" t="s">
        <v>1122</v>
      </c>
      <c r="L546" s="64">
        <f t="shared" ref="L546:L547" si="92">SUM(M546:AW546)</f>
        <v>1</v>
      </c>
      <c r="R546" s="17">
        <v>1.0</v>
      </c>
      <c r="ED546" s="66" t="s">
        <v>1255</v>
      </c>
      <c r="EP546" s="66" t="s">
        <v>664</v>
      </c>
    </row>
    <row r="547" hidden="1">
      <c r="A547" s="1" t="s">
        <v>1396</v>
      </c>
      <c r="B547" s="63">
        <v>2022.0</v>
      </c>
      <c r="C547" s="63">
        <v>1.0</v>
      </c>
      <c r="D547" s="63" t="str">
        <f>IFERROR(__xludf.DUMMYFUNCTION("if(regexmatch(E547,""Recycled""),""No"",""Yes"")"),"No")</f>
        <v>No</v>
      </c>
      <c r="E547" s="63" t="s">
        <v>786</v>
      </c>
      <c r="F547" s="63" t="s">
        <v>660</v>
      </c>
      <c r="G547" s="1" t="s">
        <v>655</v>
      </c>
      <c r="H547" s="2"/>
      <c r="I547" s="69"/>
      <c r="J547" s="17" t="s">
        <v>1381</v>
      </c>
      <c r="L547" s="64">
        <f t="shared" si="92"/>
        <v>1</v>
      </c>
      <c r="AO547" s="17">
        <v>1.0</v>
      </c>
    </row>
    <row r="548">
      <c r="A548" s="1" t="s">
        <v>1396</v>
      </c>
      <c r="B548" s="63">
        <v>2024.0</v>
      </c>
      <c r="C548" s="63">
        <v>2.0</v>
      </c>
      <c r="D548" s="63" t="str">
        <f>IFERROR(__xludf.DUMMYFUNCTION("if(regexmatch(E548,""Recycled""),""No"",""Yes"")"),"Yes")</f>
        <v>Yes</v>
      </c>
      <c r="E548" s="63"/>
      <c r="F548" s="63" t="s">
        <v>660</v>
      </c>
      <c r="G548" s="1"/>
      <c r="H548" s="1">
        <v>2.0</v>
      </c>
      <c r="I548" s="69"/>
      <c r="J548" s="17" t="s">
        <v>1117</v>
      </c>
      <c r="K548" s="17" t="s">
        <v>1397</v>
      </c>
      <c r="L548" s="64"/>
      <c r="AP548" s="17"/>
      <c r="ED548" s="66"/>
      <c r="EP548" s="66"/>
    </row>
    <row r="549" hidden="1">
      <c r="A549" s="1" t="s">
        <v>1398</v>
      </c>
      <c r="B549" s="63">
        <v>2022.0</v>
      </c>
      <c r="C549" s="63">
        <v>1.0</v>
      </c>
      <c r="D549" s="63" t="str">
        <f>IFERROR(__xludf.DUMMYFUNCTION("if(regexmatch(E549,""Recycled""),""No"",""Yes"")"),"No")</f>
        <v>No</v>
      </c>
      <c r="E549" s="63" t="s">
        <v>876</v>
      </c>
      <c r="F549" s="63" t="s">
        <v>660</v>
      </c>
      <c r="G549" s="1" t="s">
        <v>655</v>
      </c>
      <c r="H549" s="2"/>
      <c r="I549" s="69"/>
      <c r="J549" s="17" t="s">
        <v>1381</v>
      </c>
      <c r="L549" s="64">
        <f>SUM(M549:AW549)</f>
        <v>1</v>
      </c>
      <c r="AP549" s="17">
        <v>1.0</v>
      </c>
      <c r="ED549" s="66" t="s">
        <v>1255</v>
      </c>
      <c r="EP549" s="66" t="s">
        <v>664</v>
      </c>
    </row>
    <row r="550">
      <c r="A550" s="1" t="s">
        <v>1398</v>
      </c>
      <c r="B550" s="63">
        <v>2024.0</v>
      </c>
      <c r="C550" s="63">
        <v>2.0</v>
      </c>
      <c r="D550" s="63" t="str">
        <f>IFERROR(__xludf.DUMMYFUNCTION("if(regexmatch(E550,""Recycled""),""No"",""Yes"")"),"Yes")</f>
        <v>Yes</v>
      </c>
      <c r="E550" s="63"/>
      <c r="F550" s="63" t="s">
        <v>654</v>
      </c>
      <c r="G550" s="1"/>
      <c r="H550" s="1">
        <v>3.0</v>
      </c>
      <c r="I550" s="69"/>
      <c r="J550" s="17" t="s">
        <v>1399</v>
      </c>
      <c r="K550" s="69"/>
      <c r="L550" s="64"/>
      <c r="AC550" s="17"/>
      <c r="ED550" s="66"/>
      <c r="EP550" s="66"/>
    </row>
    <row r="551" hidden="1">
      <c r="A551" s="1" t="s">
        <v>1400</v>
      </c>
      <c r="B551" s="63">
        <v>2022.0</v>
      </c>
      <c r="C551" s="63">
        <v>1.0</v>
      </c>
      <c r="D551" s="63" t="str">
        <f>IFERROR(__xludf.DUMMYFUNCTION("if(regexmatch(E551,""Recycled""),""No"",""Yes"")"),"No")</f>
        <v>No</v>
      </c>
      <c r="E551" s="63" t="s">
        <v>876</v>
      </c>
      <c r="F551" s="63" t="s">
        <v>660</v>
      </c>
      <c r="G551" s="1" t="s">
        <v>655</v>
      </c>
      <c r="H551" s="2"/>
      <c r="I551" s="69"/>
      <c r="J551" s="17" t="s">
        <v>1401</v>
      </c>
      <c r="K551" s="73" t="s">
        <v>1402</v>
      </c>
      <c r="L551" s="64">
        <f>SUM(M551:AW551)</f>
        <v>1</v>
      </c>
      <c r="AC551" s="17">
        <v>1.0</v>
      </c>
      <c r="ED551" s="66" t="s">
        <v>1255</v>
      </c>
      <c r="EP551" s="66" t="s">
        <v>664</v>
      </c>
    </row>
    <row r="552">
      <c r="A552" s="1" t="s">
        <v>1400</v>
      </c>
      <c r="B552" s="63">
        <v>2024.0</v>
      </c>
      <c r="C552" s="63">
        <v>2.0</v>
      </c>
      <c r="D552" s="63" t="str">
        <f>IFERROR(__xludf.DUMMYFUNCTION("if(regexmatch(E552,""Recycled""),""No"",""Yes"")"),"Yes")</f>
        <v>Yes</v>
      </c>
      <c r="E552" s="63"/>
      <c r="F552" s="63" t="s">
        <v>787</v>
      </c>
      <c r="G552" s="1"/>
      <c r="H552" s="2"/>
      <c r="I552" s="69"/>
      <c r="J552" s="17" t="s">
        <v>1403</v>
      </c>
      <c r="K552" s="17"/>
      <c r="L552" s="64"/>
      <c r="R552" s="17"/>
      <c r="ED552" s="66"/>
      <c r="EP552" s="66"/>
    </row>
    <row r="553">
      <c r="A553" s="1" t="s">
        <v>1404</v>
      </c>
      <c r="B553" s="63">
        <v>2022.0</v>
      </c>
      <c r="C553" s="63">
        <v>1.0</v>
      </c>
      <c r="D553" s="63" t="str">
        <f>IFERROR(__xludf.DUMMYFUNCTION("if(regexmatch(E553,""Recycled""),""No"",""Yes"")"),"Yes")</f>
        <v>Yes</v>
      </c>
      <c r="E553" s="63" t="s">
        <v>943</v>
      </c>
      <c r="F553" s="63" t="s">
        <v>660</v>
      </c>
      <c r="G553" s="1" t="s">
        <v>655</v>
      </c>
      <c r="H553" s="2"/>
      <c r="I553" s="69"/>
      <c r="J553" s="17" t="s">
        <v>1405</v>
      </c>
      <c r="K553" s="73" t="s">
        <v>1406</v>
      </c>
      <c r="L553" s="64">
        <f t="shared" ref="L553:L554" si="93">SUM(M553:AW553)</f>
        <v>1</v>
      </c>
      <c r="R553" s="17">
        <v>1.0</v>
      </c>
      <c r="ED553" s="66" t="s">
        <v>1255</v>
      </c>
      <c r="EP553" s="66" t="s">
        <v>664</v>
      </c>
    </row>
    <row r="554" hidden="1">
      <c r="A554" s="1" t="s">
        <v>1407</v>
      </c>
      <c r="B554" s="99">
        <v>2022.0</v>
      </c>
      <c r="C554" s="99">
        <v>1.0</v>
      </c>
      <c r="D554" s="63" t="str">
        <f>IFERROR(__xludf.DUMMYFUNCTION("if(regexmatch(E554,""Recycled""),""No"",""Yes"")"),"No")</f>
        <v>No</v>
      </c>
      <c r="E554" s="63" t="s">
        <v>876</v>
      </c>
      <c r="F554" s="100" t="s">
        <v>660</v>
      </c>
      <c r="G554" s="101" t="s">
        <v>655</v>
      </c>
      <c r="H554" s="2"/>
      <c r="I554" s="69"/>
      <c r="J554" s="17" t="s">
        <v>1155</v>
      </c>
      <c r="K554" s="73" t="s">
        <v>1408</v>
      </c>
      <c r="L554" s="64">
        <f t="shared" si="93"/>
        <v>1</v>
      </c>
      <c r="AF554" s="17"/>
      <c r="AG554" s="17">
        <v>1.0</v>
      </c>
      <c r="ED554" s="66" t="s">
        <v>1255</v>
      </c>
      <c r="EP554" s="66" t="s">
        <v>664</v>
      </c>
    </row>
    <row r="555">
      <c r="A555" s="1" t="s">
        <v>1407</v>
      </c>
      <c r="B555" s="63">
        <v>2024.0</v>
      </c>
      <c r="C555" s="63">
        <v>2.0</v>
      </c>
      <c r="D555" s="63" t="str">
        <f>IFERROR(__xludf.DUMMYFUNCTION("if(regexmatch(E555,""Recycled""),""No"",""Yes"")"),"Yes")</f>
        <v>Yes</v>
      </c>
      <c r="E555" s="63"/>
      <c r="F555" s="63" t="s">
        <v>787</v>
      </c>
      <c r="G555" s="1"/>
      <c r="H555" s="2"/>
      <c r="I555" s="69"/>
      <c r="J555" s="17" t="s">
        <v>1409</v>
      </c>
      <c r="K555" s="17"/>
      <c r="L555" s="64"/>
      <c r="R555" s="17"/>
    </row>
    <row r="556" hidden="1">
      <c r="A556" s="1" t="s">
        <v>1410</v>
      </c>
      <c r="B556" s="63">
        <v>2022.0</v>
      </c>
      <c r="C556" s="63">
        <v>1.0</v>
      </c>
      <c r="D556" s="63" t="str">
        <f>IFERROR(__xludf.DUMMYFUNCTION("if(regexmatch(E556,""Recycled""),""No"",""Yes"")"),"No")</f>
        <v>No</v>
      </c>
      <c r="E556" s="63" t="s">
        <v>786</v>
      </c>
      <c r="F556" s="63" t="s">
        <v>660</v>
      </c>
      <c r="G556" s="1" t="s">
        <v>655</v>
      </c>
      <c r="H556" s="2"/>
      <c r="I556" s="69"/>
      <c r="J556" s="17" t="s">
        <v>1405</v>
      </c>
      <c r="K556" s="73" t="s">
        <v>1411</v>
      </c>
      <c r="L556" s="64">
        <f>SUM(M556:AW556)</f>
        <v>1</v>
      </c>
      <c r="R556" s="17">
        <v>1.0</v>
      </c>
    </row>
    <row r="557">
      <c r="A557" s="1" t="s">
        <v>1410</v>
      </c>
      <c r="B557" s="63">
        <v>2024.0</v>
      </c>
      <c r="C557" s="63">
        <v>2.0</v>
      </c>
      <c r="D557" s="63" t="str">
        <f>IFERROR(__xludf.DUMMYFUNCTION("if(regexmatch(E557,""Recycled""),""No"",""Yes"")"),"Yes")</f>
        <v>Yes</v>
      </c>
      <c r="E557" s="63"/>
      <c r="F557" s="63" t="s">
        <v>660</v>
      </c>
      <c r="G557" s="1"/>
      <c r="H557" s="1">
        <v>1.0</v>
      </c>
      <c r="I557" s="63" t="s">
        <v>995</v>
      </c>
      <c r="J557" s="17" t="s">
        <v>996</v>
      </c>
      <c r="K557" s="102" t="s">
        <v>997</v>
      </c>
      <c r="L557" s="64"/>
      <c r="AI557" s="17"/>
    </row>
    <row r="558" hidden="1">
      <c r="A558" s="1" t="s">
        <v>1412</v>
      </c>
      <c r="B558" s="63">
        <v>2022.0</v>
      </c>
      <c r="C558" s="63">
        <v>1.0</v>
      </c>
      <c r="D558" s="63" t="str">
        <f>IFERROR(__xludf.DUMMYFUNCTION("if(regexmatch(E558,""Recycled""),""No"",""Yes"")"),"No")</f>
        <v>No</v>
      </c>
      <c r="E558" s="63" t="s">
        <v>786</v>
      </c>
      <c r="F558" s="63" t="s">
        <v>660</v>
      </c>
      <c r="G558" s="1" t="s">
        <v>655</v>
      </c>
      <c r="H558" s="2"/>
      <c r="I558" s="69"/>
      <c r="J558" s="17" t="s">
        <v>1155</v>
      </c>
      <c r="L558" s="64">
        <f>SUM(M558:AW558)</f>
        <v>1</v>
      </c>
      <c r="AI558" s="17">
        <v>1.0</v>
      </c>
    </row>
    <row r="559">
      <c r="A559" s="1" t="s">
        <v>1412</v>
      </c>
      <c r="B559" s="63">
        <v>2024.0</v>
      </c>
      <c r="C559" s="63">
        <v>2.0</v>
      </c>
      <c r="D559" s="63" t="str">
        <f>IFERROR(__xludf.DUMMYFUNCTION("if(regexmatch(E559,""Recycled""),""No"",""Yes"")"),"Yes")</f>
        <v>Yes</v>
      </c>
      <c r="E559" s="63"/>
      <c r="F559" s="63" t="s">
        <v>654</v>
      </c>
      <c r="G559" s="1"/>
      <c r="H559" s="1">
        <v>2.0</v>
      </c>
      <c r="I559" s="69"/>
      <c r="J559" s="17" t="s">
        <v>877</v>
      </c>
      <c r="K559" s="69"/>
      <c r="L559" s="64"/>
      <c r="R559" s="17"/>
      <c r="ED559" s="66"/>
      <c r="EP559" s="66"/>
    </row>
    <row r="560" hidden="1">
      <c r="A560" s="1" t="s">
        <v>1413</v>
      </c>
      <c r="B560" s="63">
        <v>2022.0</v>
      </c>
      <c r="C560" s="63">
        <v>1.0</v>
      </c>
      <c r="D560" s="63" t="str">
        <f>IFERROR(__xludf.DUMMYFUNCTION("if(regexmatch(E560,""Recycled""),""No"",""Yes"")"),"No")</f>
        <v>No</v>
      </c>
      <c r="E560" s="63" t="s">
        <v>786</v>
      </c>
      <c r="F560" s="63" t="s">
        <v>660</v>
      </c>
      <c r="G560" s="1" t="s">
        <v>655</v>
      </c>
      <c r="H560" s="2"/>
      <c r="I560" s="69"/>
      <c r="J560" s="17" t="s">
        <v>1155</v>
      </c>
      <c r="K560" s="41" t="s">
        <v>1289</v>
      </c>
      <c r="L560" s="64">
        <f t="shared" ref="L560:L561" si="94">SUM(M560:AW560)</f>
        <v>1</v>
      </c>
      <c r="R560" s="17">
        <v>1.0</v>
      </c>
      <c r="ED560" s="66" t="s">
        <v>1255</v>
      </c>
      <c r="EP560" s="66" t="s">
        <v>664</v>
      </c>
    </row>
    <row r="561" hidden="1">
      <c r="A561" s="1" t="s">
        <v>1414</v>
      </c>
      <c r="B561" s="63">
        <v>2022.0</v>
      </c>
      <c r="C561" s="63">
        <v>1.0</v>
      </c>
      <c r="D561" s="63" t="str">
        <f>IFERROR(__xludf.DUMMYFUNCTION("if(regexmatch(E561,""Recycled""),""No"",""Yes"")"),"No")</f>
        <v>No</v>
      </c>
      <c r="E561" s="63" t="s">
        <v>786</v>
      </c>
      <c r="F561" s="63" t="s">
        <v>660</v>
      </c>
      <c r="G561" s="1" t="s">
        <v>655</v>
      </c>
      <c r="H561" s="2"/>
      <c r="I561" s="69"/>
      <c r="J561" s="17" t="s">
        <v>1155</v>
      </c>
      <c r="K561" s="73" t="s">
        <v>1415</v>
      </c>
      <c r="L561" s="64">
        <f t="shared" si="94"/>
        <v>1</v>
      </c>
      <c r="AP561" s="17">
        <v>1.0</v>
      </c>
    </row>
    <row r="562">
      <c r="A562" s="1" t="s">
        <v>1414</v>
      </c>
      <c r="B562" s="63">
        <v>2024.0</v>
      </c>
      <c r="C562" s="63">
        <v>2.0</v>
      </c>
      <c r="D562" s="63" t="str">
        <f>IFERROR(__xludf.DUMMYFUNCTION("if(regexmatch(E562,""Recycled""),""No"",""Yes"")"),"Yes")</f>
        <v>Yes</v>
      </c>
      <c r="E562" s="63"/>
      <c r="F562" s="63" t="s">
        <v>787</v>
      </c>
      <c r="G562" s="1"/>
      <c r="H562" s="2"/>
      <c r="I562" s="69"/>
      <c r="J562" s="17" t="s">
        <v>1416</v>
      </c>
      <c r="L562" s="64"/>
      <c r="R562" s="17"/>
      <c r="ED562" s="66"/>
      <c r="EP562" s="66"/>
    </row>
    <row r="563" hidden="1">
      <c r="A563" s="1" t="s">
        <v>1417</v>
      </c>
      <c r="B563" s="63">
        <v>2022.0</v>
      </c>
      <c r="C563" s="63">
        <v>1.0</v>
      </c>
      <c r="D563" s="63" t="str">
        <f>IFERROR(__xludf.DUMMYFUNCTION("if(regexmatch(E563,""Recycled""),""No"",""Yes"")"),"No")</f>
        <v>No</v>
      </c>
      <c r="E563" s="63" t="s">
        <v>876</v>
      </c>
      <c r="F563" s="63" t="s">
        <v>660</v>
      </c>
      <c r="G563" s="1" t="s">
        <v>655</v>
      </c>
      <c r="H563" s="2"/>
      <c r="I563" s="69"/>
      <c r="J563" s="17" t="s">
        <v>1155</v>
      </c>
      <c r="L563" s="64">
        <f>SUM(M563:AW563)</f>
        <v>1</v>
      </c>
      <c r="R563" s="17">
        <v>1.0</v>
      </c>
      <c r="ED563" s="66" t="s">
        <v>1255</v>
      </c>
      <c r="EP563" s="66" t="s">
        <v>664</v>
      </c>
    </row>
    <row r="564">
      <c r="A564" s="1" t="s">
        <v>1417</v>
      </c>
      <c r="B564" s="63">
        <v>2024.0</v>
      </c>
      <c r="C564" s="63">
        <v>2.0</v>
      </c>
      <c r="D564" s="63" t="str">
        <f>IFERROR(__xludf.DUMMYFUNCTION("if(regexmatch(E564,""Recycled""),""No"",""Yes"")"),"Yes")</f>
        <v>Yes</v>
      </c>
      <c r="E564" s="63"/>
      <c r="F564" s="63" t="s">
        <v>660</v>
      </c>
      <c r="G564" s="1"/>
      <c r="H564" s="1">
        <v>3.0</v>
      </c>
      <c r="I564" s="69"/>
      <c r="J564" s="17" t="s">
        <v>1013</v>
      </c>
      <c r="L564" s="64"/>
      <c r="T564" s="17"/>
    </row>
    <row r="565" hidden="1">
      <c r="A565" s="1" t="s">
        <v>1418</v>
      </c>
      <c r="B565" s="63">
        <v>2022.0</v>
      </c>
      <c r="C565" s="63">
        <v>1.0</v>
      </c>
      <c r="D565" s="63" t="str">
        <f>IFERROR(__xludf.DUMMYFUNCTION("if(regexmatch(E565,""Recycled""),""No"",""Yes"")"),"No")</f>
        <v>No</v>
      </c>
      <c r="E565" s="63" t="s">
        <v>786</v>
      </c>
      <c r="F565" s="63" t="s">
        <v>660</v>
      </c>
      <c r="G565" s="1" t="s">
        <v>655</v>
      </c>
      <c r="H565" s="2"/>
      <c r="I565" s="69"/>
      <c r="J565" s="17" t="s">
        <v>1405</v>
      </c>
      <c r="K565" s="73" t="s">
        <v>1402</v>
      </c>
      <c r="L565" s="64">
        <f>SUM(M565:AW565)</f>
        <v>1</v>
      </c>
      <c r="T565" s="17">
        <v>1.0</v>
      </c>
    </row>
    <row r="566">
      <c r="A566" s="1" t="s">
        <v>1418</v>
      </c>
      <c r="B566" s="63">
        <v>2024.0</v>
      </c>
      <c r="C566" s="63">
        <v>2.0</v>
      </c>
      <c r="D566" s="63" t="str">
        <f>IFERROR(__xludf.DUMMYFUNCTION("if(regexmatch(E566,""Recycled""),""No"",""Yes"")"),"Yes")</f>
        <v>Yes</v>
      </c>
      <c r="E566" s="63"/>
      <c r="F566" s="63" t="s">
        <v>787</v>
      </c>
      <c r="G566" s="1"/>
      <c r="H566" s="2"/>
      <c r="I566" s="69"/>
      <c r="J566" s="17" t="s">
        <v>1419</v>
      </c>
      <c r="K566" s="17"/>
      <c r="L566" s="64"/>
      <c r="U566" s="17"/>
      <c r="ED566" s="66"/>
      <c r="EP566" s="66"/>
    </row>
    <row r="567">
      <c r="A567" s="1" t="s">
        <v>1420</v>
      </c>
      <c r="B567" s="63">
        <v>2022.0</v>
      </c>
      <c r="C567" s="63">
        <v>1.0</v>
      </c>
      <c r="D567" s="63" t="str">
        <f>IFERROR(__xludf.DUMMYFUNCTION("if(regexmatch(E567,""Recycled""),""No"",""Yes"")"),"Yes")</f>
        <v>Yes</v>
      </c>
      <c r="E567" s="63" t="s">
        <v>943</v>
      </c>
      <c r="F567" s="63" t="s">
        <v>660</v>
      </c>
      <c r="G567" s="1" t="s">
        <v>655</v>
      </c>
      <c r="H567" s="2"/>
      <c r="I567" s="69"/>
      <c r="J567" s="17" t="s">
        <v>1155</v>
      </c>
      <c r="K567" s="73" t="s">
        <v>1421</v>
      </c>
      <c r="L567" s="64">
        <f t="shared" ref="L567:L569" si="95">SUM(M567:AW567)</f>
        <v>1</v>
      </c>
      <c r="U567" s="17">
        <v>1.0</v>
      </c>
      <c r="ED567" s="66" t="s">
        <v>1255</v>
      </c>
      <c r="EP567" s="66" t="s">
        <v>664</v>
      </c>
    </row>
    <row r="568">
      <c r="A568" s="1" t="s">
        <v>1422</v>
      </c>
      <c r="B568" s="63">
        <v>2022.0</v>
      </c>
      <c r="C568" s="63">
        <v>1.0</v>
      </c>
      <c r="D568" s="63" t="str">
        <f>IFERROR(__xludf.DUMMYFUNCTION("if(regexmatch(E568,""Recycled""),""No"",""Yes"")"),"Yes")</f>
        <v>Yes</v>
      </c>
      <c r="E568" s="63" t="s">
        <v>943</v>
      </c>
      <c r="F568" s="63" t="s">
        <v>660</v>
      </c>
      <c r="G568" s="1" t="s">
        <v>655</v>
      </c>
      <c r="H568" s="1">
        <v>2.0</v>
      </c>
      <c r="I568" s="69"/>
      <c r="J568" s="17" t="s">
        <v>1155</v>
      </c>
      <c r="K568" s="74" t="s">
        <v>1423</v>
      </c>
      <c r="L568" s="64">
        <f t="shared" si="95"/>
        <v>1</v>
      </c>
      <c r="AJ568" s="17"/>
      <c r="AK568" s="17">
        <v>1.0</v>
      </c>
      <c r="ED568" s="66" t="s">
        <v>1255</v>
      </c>
      <c r="EP568" s="66" t="s">
        <v>664</v>
      </c>
    </row>
    <row r="569" hidden="1">
      <c r="A569" s="1" t="s">
        <v>1424</v>
      </c>
      <c r="B569" s="63">
        <v>2022.0</v>
      </c>
      <c r="C569" s="63">
        <v>1.0</v>
      </c>
      <c r="D569" s="63" t="str">
        <f>IFERROR(__xludf.DUMMYFUNCTION("if(regexmatch(E569,""Recycled""),""No"",""Yes"")"),"No")</f>
        <v>No</v>
      </c>
      <c r="E569" s="63" t="s">
        <v>876</v>
      </c>
      <c r="F569" s="63" t="s">
        <v>660</v>
      </c>
      <c r="G569" s="1" t="s">
        <v>655</v>
      </c>
      <c r="H569" s="2"/>
      <c r="I569" s="69"/>
      <c r="J569" s="17" t="s">
        <v>1425</v>
      </c>
      <c r="L569" s="64">
        <f t="shared" si="95"/>
        <v>1</v>
      </c>
      <c r="AJ569" s="17">
        <v>1.0</v>
      </c>
      <c r="ED569" s="66" t="s">
        <v>1255</v>
      </c>
      <c r="EP569" s="66" t="s">
        <v>664</v>
      </c>
    </row>
    <row r="570">
      <c r="A570" s="1" t="s">
        <v>1424</v>
      </c>
      <c r="B570" s="63">
        <v>2024.0</v>
      </c>
      <c r="C570" s="63">
        <v>2.0</v>
      </c>
      <c r="D570" s="63" t="str">
        <f>IFERROR(__xludf.DUMMYFUNCTION("if(regexmatch(E570,""Recycled""),""No"",""Yes"")"),"Yes")</f>
        <v>Yes</v>
      </c>
      <c r="E570" s="63"/>
      <c r="F570" s="63" t="s">
        <v>660</v>
      </c>
      <c r="G570" s="1"/>
      <c r="H570" s="1">
        <v>2.0</v>
      </c>
      <c r="I570" s="69"/>
      <c r="J570" s="17" t="s">
        <v>1013</v>
      </c>
      <c r="L570" s="64"/>
      <c r="T570" s="17"/>
      <c r="ED570" s="66"/>
      <c r="EP570" s="66"/>
    </row>
    <row r="571">
      <c r="A571" s="1" t="s">
        <v>1426</v>
      </c>
      <c r="B571" s="63">
        <v>2022.0</v>
      </c>
      <c r="C571" s="63">
        <v>1.0</v>
      </c>
      <c r="D571" s="63" t="str">
        <f>IFERROR(__xludf.DUMMYFUNCTION("if(regexmatch(E571,""Recycled""),""No"",""Yes"")"),"Yes")</f>
        <v>Yes</v>
      </c>
      <c r="E571" s="63" t="s">
        <v>943</v>
      </c>
      <c r="F571" s="63" t="s">
        <v>660</v>
      </c>
      <c r="G571" s="1" t="s">
        <v>655</v>
      </c>
      <c r="H571" s="2"/>
      <c r="I571" s="69"/>
      <c r="J571" s="17" t="s">
        <v>1401</v>
      </c>
      <c r="K571" s="73" t="s">
        <v>1402</v>
      </c>
      <c r="L571" s="64">
        <f t="shared" ref="L571:L572" si="96">SUM(M571:AW571)</f>
        <v>1</v>
      </c>
      <c r="T571" s="17">
        <v>1.0</v>
      </c>
      <c r="ED571" s="66" t="s">
        <v>1255</v>
      </c>
      <c r="EP571" s="66" t="s">
        <v>664</v>
      </c>
    </row>
    <row r="572" hidden="1">
      <c r="A572" s="1" t="s">
        <v>1427</v>
      </c>
      <c r="B572" s="63">
        <v>2022.0</v>
      </c>
      <c r="C572" s="63">
        <v>1.0</v>
      </c>
      <c r="D572" s="63" t="str">
        <f>IFERROR(__xludf.DUMMYFUNCTION("if(regexmatch(E572,""Recycled""),""No"",""Yes"")"),"No")</f>
        <v>No</v>
      </c>
      <c r="E572" s="63" t="s">
        <v>786</v>
      </c>
      <c r="F572" s="63" t="s">
        <v>660</v>
      </c>
      <c r="G572" s="1" t="s">
        <v>655</v>
      </c>
      <c r="H572" s="2"/>
      <c r="I572" s="69"/>
      <c r="J572" s="17" t="s">
        <v>1405</v>
      </c>
      <c r="L572" s="64">
        <f t="shared" si="96"/>
        <v>1</v>
      </c>
      <c r="AC572" s="17">
        <v>1.0</v>
      </c>
    </row>
    <row r="573">
      <c r="A573" s="1" t="s">
        <v>1427</v>
      </c>
      <c r="B573" s="63">
        <v>2024.0</v>
      </c>
      <c r="C573" s="63">
        <v>2.0</v>
      </c>
      <c r="D573" s="63" t="str">
        <f>IFERROR(__xludf.DUMMYFUNCTION("if(regexmatch(E573,""Recycled""),""No"",""Yes"")"),"Yes")</f>
        <v>Yes</v>
      </c>
      <c r="E573" s="63"/>
      <c r="F573" s="63" t="s">
        <v>660</v>
      </c>
      <c r="G573" s="1"/>
      <c r="H573" s="1">
        <v>2.0</v>
      </c>
      <c r="I573" s="69"/>
      <c r="J573" s="17" t="s">
        <v>1117</v>
      </c>
      <c r="L573" s="64"/>
      <c r="AD573" s="17"/>
      <c r="AE573" s="17"/>
      <c r="ED573" s="66"/>
      <c r="EP573" s="66"/>
    </row>
    <row r="574" hidden="1">
      <c r="A574" s="1" t="s">
        <v>1428</v>
      </c>
      <c r="B574" s="63">
        <v>2022.0</v>
      </c>
      <c r="C574" s="63">
        <v>1.0</v>
      </c>
      <c r="D574" s="63" t="str">
        <f>IFERROR(__xludf.DUMMYFUNCTION("if(regexmatch(E574,""Recycled""),""No"",""Yes"")"),"No")</f>
        <v>No</v>
      </c>
      <c r="E574" s="63" t="s">
        <v>876</v>
      </c>
      <c r="F574" s="63" t="s">
        <v>660</v>
      </c>
      <c r="G574" s="1" t="s">
        <v>655</v>
      </c>
      <c r="H574" s="2"/>
      <c r="I574" s="69"/>
      <c r="J574" s="17" t="s">
        <v>1425</v>
      </c>
      <c r="K574" s="73" t="s">
        <v>1429</v>
      </c>
      <c r="L574" s="64">
        <f>SUM(M574:AW574)</f>
        <v>1</v>
      </c>
      <c r="AD574" s="17"/>
      <c r="AE574" s="17">
        <v>1.0</v>
      </c>
      <c r="ED574" s="66" t="s">
        <v>1255</v>
      </c>
      <c r="EP574" s="66" t="s">
        <v>664</v>
      </c>
    </row>
    <row r="575">
      <c r="A575" s="1" t="s">
        <v>1428</v>
      </c>
      <c r="B575" s="63">
        <v>2025.0</v>
      </c>
      <c r="C575" s="63">
        <v>2.0</v>
      </c>
      <c r="D575" s="63" t="str">
        <f>IFERROR(__xludf.DUMMYFUNCTION("if(regexmatch(E575,""Recycled""),""No"",""Yes"")"),"Yes")</f>
        <v>Yes</v>
      </c>
      <c r="E575" s="63"/>
      <c r="F575" s="63" t="s">
        <v>660</v>
      </c>
      <c r="G575" s="1"/>
      <c r="H575" s="1">
        <v>1.0</v>
      </c>
      <c r="I575" s="69"/>
      <c r="J575" s="17" t="s">
        <v>1198</v>
      </c>
      <c r="K575" s="93"/>
      <c r="L575" s="64"/>
      <c r="AD575" s="17"/>
      <c r="ED575" s="66"/>
      <c r="EO575" s="6"/>
      <c r="EP575" s="66"/>
    </row>
    <row r="576">
      <c r="A576" s="1" t="s">
        <v>1430</v>
      </c>
      <c r="B576" s="63">
        <v>2022.0</v>
      </c>
      <c r="C576" s="63">
        <v>1.0</v>
      </c>
      <c r="D576" s="63" t="str">
        <f>IFERROR(__xludf.DUMMYFUNCTION("if(regexmatch(E576,""Recycled""),""No"",""Yes"")"),"Yes")</f>
        <v>Yes</v>
      </c>
      <c r="E576" s="63" t="s">
        <v>943</v>
      </c>
      <c r="F576" s="63" t="s">
        <v>654</v>
      </c>
      <c r="G576" s="1" t="s">
        <v>655</v>
      </c>
      <c r="H576" s="2"/>
      <c r="I576" s="69"/>
      <c r="K576" s="41" t="s">
        <v>889</v>
      </c>
      <c r="L576" s="64">
        <f t="shared" ref="L576:L577" si="97">SUM(M576:AW576)</f>
        <v>1</v>
      </c>
      <c r="AD576" s="17">
        <v>1.0</v>
      </c>
      <c r="ED576" s="66" t="s">
        <v>1255</v>
      </c>
      <c r="EO576" s="6"/>
      <c r="EP576" s="66" t="s">
        <v>664</v>
      </c>
    </row>
    <row r="577" hidden="1">
      <c r="A577" s="1" t="s">
        <v>1431</v>
      </c>
      <c r="B577" s="63">
        <v>2022.0</v>
      </c>
      <c r="C577" s="63">
        <v>1.0</v>
      </c>
      <c r="D577" s="63" t="str">
        <f>IFERROR(__xludf.DUMMYFUNCTION("if(regexmatch(E577,""Recycled""),""No"",""Yes"")"),"No")</f>
        <v>No</v>
      </c>
      <c r="E577" s="63" t="s">
        <v>786</v>
      </c>
      <c r="F577" s="63" t="s">
        <v>654</v>
      </c>
      <c r="G577" s="1" t="s">
        <v>655</v>
      </c>
      <c r="H577" s="2"/>
      <c r="I577" s="69"/>
      <c r="L577" s="64">
        <f t="shared" si="97"/>
        <v>1</v>
      </c>
      <c r="R577" s="17">
        <v>1.0</v>
      </c>
    </row>
    <row r="578">
      <c r="A578" s="1" t="s">
        <v>1431</v>
      </c>
      <c r="B578" s="63">
        <v>2024.0</v>
      </c>
      <c r="C578" s="63">
        <v>2.0</v>
      </c>
      <c r="D578" s="63" t="str">
        <f>IFERROR(__xludf.DUMMYFUNCTION("if(regexmatch(E578,""Recycled""),""No"",""Yes"")"),"Yes")</f>
        <v>Yes</v>
      </c>
      <c r="E578" s="63"/>
      <c r="F578" s="63" t="s">
        <v>660</v>
      </c>
      <c r="G578" s="1"/>
      <c r="H578" s="1">
        <v>2.0</v>
      </c>
      <c r="I578" s="69"/>
      <c r="J578" s="17" t="s">
        <v>1117</v>
      </c>
      <c r="L578" s="64"/>
      <c r="AP578" s="17"/>
    </row>
    <row r="579" hidden="1">
      <c r="A579" s="1" t="s">
        <v>1432</v>
      </c>
      <c r="B579" s="63">
        <v>2022.0</v>
      </c>
      <c r="C579" s="63">
        <v>1.0</v>
      </c>
      <c r="D579" s="63" t="str">
        <f>IFERROR(__xludf.DUMMYFUNCTION("if(regexmatch(E579,""Recycled""),""No"",""Yes"")"),"No")</f>
        <v>No</v>
      </c>
      <c r="E579" s="63" t="s">
        <v>786</v>
      </c>
      <c r="F579" s="63" t="s">
        <v>654</v>
      </c>
      <c r="G579" s="1" t="s">
        <v>655</v>
      </c>
      <c r="H579" s="2"/>
      <c r="I579" s="69"/>
      <c r="J579" s="17" t="s">
        <v>1433</v>
      </c>
      <c r="K579" s="75" t="s">
        <v>825</v>
      </c>
      <c r="L579" s="64">
        <f>SUM(M579:AW579)</f>
        <v>1</v>
      </c>
      <c r="AP579" s="17">
        <v>1.0</v>
      </c>
    </row>
    <row r="580">
      <c r="A580" s="1" t="s">
        <v>1432</v>
      </c>
      <c r="B580" s="63">
        <v>2024.0</v>
      </c>
      <c r="C580" s="63">
        <v>2.0</v>
      </c>
      <c r="D580" s="63" t="str">
        <f>IFERROR(__xludf.DUMMYFUNCTION("if(regexmatch(E580,""Recycled""),""No"",""Yes"")"),"Yes")</f>
        <v>Yes</v>
      </c>
      <c r="E580" s="63"/>
      <c r="F580" s="63" t="s">
        <v>654</v>
      </c>
      <c r="G580" s="1"/>
      <c r="H580" s="1">
        <v>2.0</v>
      </c>
      <c r="I580" s="69"/>
      <c r="J580" s="17" t="s">
        <v>1434</v>
      </c>
      <c r="K580" s="69"/>
      <c r="L580" s="64"/>
      <c r="AU580" s="17"/>
      <c r="ED580" s="66"/>
      <c r="EO580" s="6"/>
      <c r="EP580" s="66"/>
    </row>
    <row r="581">
      <c r="A581" s="1" t="s">
        <v>1435</v>
      </c>
      <c r="B581" s="63">
        <v>2022.0</v>
      </c>
      <c r="C581" s="63">
        <v>1.0</v>
      </c>
      <c r="D581" s="63" t="str">
        <f>IFERROR(__xludf.DUMMYFUNCTION("if(regexmatch(E581,""Recycled""),""No"",""Yes"")"),"Yes")</f>
        <v>Yes</v>
      </c>
      <c r="E581" s="63" t="s">
        <v>943</v>
      </c>
      <c r="F581" s="63" t="s">
        <v>654</v>
      </c>
      <c r="G581" s="1" t="s">
        <v>655</v>
      </c>
      <c r="H581" s="2"/>
      <c r="I581" s="69"/>
      <c r="J581" s="17" t="s">
        <v>1436</v>
      </c>
      <c r="K581" s="44" t="s">
        <v>1437</v>
      </c>
      <c r="L581" s="64">
        <f t="shared" ref="L581:L583" si="98">SUM(M581:AW581)</f>
        <v>1</v>
      </c>
      <c r="AU581" s="17">
        <v>1.0</v>
      </c>
      <c r="ED581" s="66" t="s">
        <v>1255</v>
      </c>
      <c r="EO581" s="6"/>
      <c r="EP581" s="66" t="s">
        <v>664</v>
      </c>
    </row>
    <row r="582" hidden="1">
      <c r="A582" s="1" t="s">
        <v>1438</v>
      </c>
      <c r="B582" s="63">
        <v>2020.0</v>
      </c>
      <c r="C582" s="63">
        <v>1.0</v>
      </c>
      <c r="D582" s="63" t="str">
        <f>IFERROR(__xludf.DUMMYFUNCTION("if(regexmatch(E582,""Recycled""),""No"",""Yes"")"),"No")</f>
        <v>No</v>
      </c>
      <c r="E582" s="63" t="s">
        <v>696</v>
      </c>
      <c r="F582" s="63" t="s">
        <v>654</v>
      </c>
      <c r="G582" s="1" t="s">
        <v>655</v>
      </c>
      <c r="H582" s="1"/>
      <c r="I582" s="63"/>
      <c r="L582" s="64">
        <f t="shared" si="98"/>
        <v>2</v>
      </c>
      <c r="M582" s="17">
        <v>1.0</v>
      </c>
      <c r="AC582" s="17"/>
      <c r="AD582" s="17"/>
      <c r="AE582" s="17">
        <v>1.0</v>
      </c>
      <c r="AN582" s="17"/>
      <c r="AO582" s="17"/>
      <c r="AP582" s="17"/>
    </row>
    <row r="583" hidden="1">
      <c r="A583" s="1" t="s">
        <v>1438</v>
      </c>
      <c r="B583" s="63">
        <v>2022.0</v>
      </c>
      <c r="C583" s="63">
        <v>2.0</v>
      </c>
      <c r="D583" s="63" t="str">
        <f>IFERROR(__xludf.DUMMYFUNCTION("if(regexmatch(E583,""Recycled""),""No"",""Yes"")"),"No")</f>
        <v>No</v>
      </c>
      <c r="E583" s="63" t="s">
        <v>786</v>
      </c>
      <c r="F583" s="63" t="s">
        <v>654</v>
      </c>
      <c r="G583" s="1" t="s">
        <v>655</v>
      </c>
      <c r="H583" s="1"/>
      <c r="I583" s="63"/>
      <c r="K583" s="41" t="s">
        <v>817</v>
      </c>
      <c r="L583" s="64">
        <f t="shared" si="98"/>
        <v>1</v>
      </c>
      <c r="M583" s="17"/>
      <c r="R583" s="17">
        <v>1.0</v>
      </c>
      <c r="AC583" s="17"/>
      <c r="AD583" s="17"/>
      <c r="AE583" s="17"/>
      <c r="AN583" s="17"/>
      <c r="AO583" s="17"/>
      <c r="AP583" s="17"/>
      <c r="CF583" s="3"/>
      <c r="CG583" s="3"/>
      <c r="CH583" s="3"/>
      <c r="CI583" s="3"/>
      <c r="CJ583" s="3"/>
      <c r="CK583" s="3"/>
      <c r="CL583" s="3"/>
      <c r="CM583" s="3"/>
      <c r="CN583" s="3"/>
      <c r="CO583" s="3"/>
    </row>
    <row r="584">
      <c r="A584" s="1" t="s">
        <v>1438</v>
      </c>
      <c r="B584" s="63">
        <v>2025.0</v>
      </c>
      <c r="C584" s="63">
        <v>3.0</v>
      </c>
      <c r="D584" s="63" t="str">
        <f>IFERROR(__xludf.DUMMYFUNCTION("if(regexmatch(E584,""Recycled""),""No"",""Yes"")"),"Yes")</f>
        <v>Yes</v>
      </c>
      <c r="E584" s="63"/>
      <c r="F584" s="63" t="s">
        <v>660</v>
      </c>
      <c r="G584" s="1"/>
      <c r="H584" s="1"/>
      <c r="I584" s="63"/>
      <c r="J584" s="17" t="s">
        <v>1439</v>
      </c>
      <c r="L584" s="64"/>
      <c r="M584" s="17"/>
      <c r="AC584" s="17"/>
      <c r="AD584" s="17"/>
      <c r="AE584" s="17"/>
      <c r="AN584" s="17"/>
      <c r="AO584" s="17"/>
      <c r="AP584" s="17"/>
      <c r="CF584" s="3"/>
      <c r="CG584" s="3"/>
      <c r="CH584" s="3"/>
      <c r="CI584" s="3"/>
      <c r="CJ584" s="3"/>
      <c r="CK584" s="3"/>
      <c r="CL584" s="3"/>
      <c r="CM584" s="3"/>
      <c r="CN584" s="3"/>
      <c r="CO584" s="3"/>
    </row>
    <row r="585" hidden="1">
      <c r="A585" s="1" t="s">
        <v>1440</v>
      </c>
      <c r="B585" s="63">
        <v>2020.0</v>
      </c>
      <c r="C585" s="63">
        <v>1.0</v>
      </c>
      <c r="D585" s="63" t="str">
        <f>IFERROR(__xludf.DUMMYFUNCTION("if(regexmatch(E585,""Recycled""),""No"",""Yes"")"),"No")</f>
        <v>No</v>
      </c>
      <c r="E585" s="63" t="s">
        <v>696</v>
      </c>
      <c r="F585" s="63" t="s">
        <v>654</v>
      </c>
      <c r="G585" s="1" t="s">
        <v>655</v>
      </c>
      <c r="H585" s="1"/>
      <c r="I585" s="63"/>
      <c r="L585" s="64">
        <f t="shared" ref="L585:L586" si="99">SUM(M585:AW585)</f>
        <v>2</v>
      </c>
      <c r="M585" s="17">
        <v>1.0</v>
      </c>
      <c r="AC585" s="17"/>
      <c r="AD585" s="17"/>
      <c r="AE585" s="17">
        <v>1.0</v>
      </c>
      <c r="AN585" s="17"/>
      <c r="AO585" s="17"/>
      <c r="AP585" s="17"/>
      <c r="CF585" s="3"/>
      <c r="CG585" s="3"/>
      <c r="CH585" s="3"/>
      <c r="CI585" s="3"/>
      <c r="CJ585" s="3"/>
      <c r="CK585" s="3"/>
      <c r="CL585" s="3"/>
      <c r="CM585" s="3"/>
      <c r="CN585" s="3"/>
      <c r="CO585" s="3"/>
    </row>
    <row r="586" hidden="1">
      <c r="A586" s="1" t="s">
        <v>1440</v>
      </c>
      <c r="B586" s="63">
        <v>2022.0</v>
      </c>
      <c r="C586" s="63">
        <v>2.0</v>
      </c>
      <c r="D586" s="63" t="str">
        <f>IFERROR(__xludf.DUMMYFUNCTION("if(regexmatch(E586,""Recycled""),""No"",""Yes"")"),"No")</f>
        <v>No</v>
      </c>
      <c r="E586" s="63" t="s">
        <v>786</v>
      </c>
      <c r="F586" s="63" t="s">
        <v>654</v>
      </c>
      <c r="G586" s="1" t="s">
        <v>655</v>
      </c>
      <c r="H586" s="2"/>
      <c r="I586" s="69"/>
      <c r="J586" s="17"/>
      <c r="K586" s="75" t="s">
        <v>825</v>
      </c>
      <c r="L586" s="64">
        <f t="shared" si="99"/>
        <v>1</v>
      </c>
      <c r="AE586" s="17">
        <v>1.0</v>
      </c>
    </row>
    <row r="587">
      <c r="A587" s="1" t="s">
        <v>1440</v>
      </c>
      <c r="B587" s="63">
        <v>2024.0</v>
      </c>
      <c r="C587" s="63">
        <v>3.0</v>
      </c>
      <c r="D587" s="63" t="str">
        <f>IFERROR(__xludf.DUMMYFUNCTION("if(regexmatch(E587,""Recycled""),""No"",""Yes"")"),"Yes")</f>
        <v>Yes</v>
      </c>
      <c r="E587" s="63"/>
      <c r="F587" s="63" t="s">
        <v>654</v>
      </c>
      <c r="G587" s="2"/>
      <c r="H587" s="1">
        <v>1.0</v>
      </c>
      <c r="I587" s="69"/>
      <c r="J587" s="17" t="s">
        <v>1441</v>
      </c>
      <c r="K587" s="17" t="s">
        <v>1442</v>
      </c>
      <c r="L587" s="64"/>
    </row>
    <row r="588">
      <c r="A588" s="1" t="s">
        <v>1443</v>
      </c>
      <c r="B588" s="63">
        <v>2021.0</v>
      </c>
      <c r="C588" s="63">
        <v>1.0</v>
      </c>
      <c r="D588" s="63" t="str">
        <f>IFERROR(__xludf.DUMMYFUNCTION("if(regexmatch(E588,""Recycled""),""No"",""Yes"")"),"Yes")</f>
        <v>Yes</v>
      </c>
      <c r="E588" s="63" t="s">
        <v>22</v>
      </c>
      <c r="F588" s="63" t="s">
        <v>654</v>
      </c>
      <c r="G588" s="2"/>
      <c r="H588" s="2"/>
      <c r="I588" s="69"/>
      <c r="J588" s="17" t="s">
        <v>1444</v>
      </c>
      <c r="K588" s="73" t="s">
        <v>1445</v>
      </c>
      <c r="L588" s="64">
        <f t="shared" ref="L588:L589" si="100">SUM(M588:AW588)</f>
        <v>0</v>
      </c>
    </row>
    <row r="589" hidden="1">
      <c r="A589" s="1" t="s">
        <v>1446</v>
      </c>
      <c r="B589" s="63">
        <v>2022.0</v>
      </c>
      <c r="C589" s="63">
        <v>1.0</v>
      </c>
      <c r="D589" s="63" t="str">
        <f>IFERROR(__xludf.DUMMYFUNCTION("if(regexmatch(E589,""Recycled""),""No"",""Yes"")"),"No")</f>
        <v>No</v>
      </c>
      <c r="E589" s="63" t="s">
        <v>786</v>
      </c>
      <c r="F589" s="63" t="s">
        <v>654</v>
      </c>
      <c r="G589" s="1" t="s">
        <v>655</v>
      </c>
      <c r="H589" s="2"/>
      <c r="I589" s="69"/>
      <c r="J589" s="17" t="s">
        <v>1447</v>
      </c>
      <c r="L589" s="64">
        <f t="shared" si="100"/>
        <v>1</v>
      </c>
      <c r="AD589" s="17"/>
      <c r="AE589" s="17">
        <v>1.0</v>
      </c>
    </row>
    <row r="590">
      <c r="A590" s="1" t="s">
        <v>1446</v>
      </c>
      <c r="B590" s="63">
        <v>2024.0</v>
      </c>
      <c r="C590" s="63">
        <v>2.0</v>
      </c>
      <c r="D590" s="63" t="str">
        <f>IFERROR(__xludf.DUMMYFUNCTION("if(regexmatch(E590,""Recycled""),""No"",""Yes"")"),"Yes")</f>
        <v>Yes</v>
      </c>
      <c r="E590" s="63"/>
      <c r="F590" s="63" t="s">
        <v>660</v>
      </c>
      <c r="G590" s="1"/>
      <c r="H590" s="1">
        <v>2.0</v>
      </c>
      <c r="I590" s="69"/>
      <c r="J590" s="17" t="s">
        <v>1013</v>
      </c>
      <c r="L590" s="64"/>
      <c r="AD590" s="17"/>
      <c r="AE590" s="17"/>
    </row>
    <row r="591" hidden="1">
      <c r="A591" s="1" t="s">
        <v>1448</v>
      </c>
      <c r="B591" s="63">
        <v>2022.0</v>
      </c>
      <c r="C591" s="63">
        <v>1.0</v>
      </c>
      <c r="D591" s="63" t="str">
        <f>IFERROR(__xludf.DUMMYFUNCTION("if(regexmatch(E591,""Recycled""),""No"",""Yes"")"),"No")</f>
        <v>No</v>
      </c>
      <c r="E591" s="63" t="s">
        <v>786</v>
      </c>
      <c r="F591" s="63" t="s">
        <v>654</v>
      </c>
      <c r="G591" s="1" t="s">
        <v>655</v>
      </c>
      <c r="H591" s="2"/>
      <c r="I591" s="69"/>
      <c r="J591" s="17" t="s">
        <v>1447</v>
      </c>
      <c r="K591" s="75" t="s">
        <v>825</v>
      </c>
      <c r="L591" s="64">
        <f t="shared" ref="L591:L593" si="101">SUM(M591:AW591)</f>
        <v>1</v>
      </c>
      <c r="AD591" s="17"/>
      <c r="AE591" s="17">
        <v>1.0</v>
      </c>
    </row>
    <row r="592">
      <c r="A592" s="1" t="s">
        <v>1449</v>
      </c>
      <c r="B592" s="63">
        <v>2022.0</v>
      </c>
      <c r="C592" s="63">
        <v>1.0</v>
      </c>
      <c r="D592" s="63" t="str">
        <f>IFERROR(__xludf.DUMMYFUNCTION("if(regexmatch(E592,""Recycled""),""No"",""Yes"")"),"Yes")</f>
        <v>Yes</v>
      </c>
      <c r="E592" s="63" t="s">
        <v>943</v>
      </c>
      <c r="F592" s="63" t="s">
        <v>654</v>
      </c>
      <c r="G592" s="1" t="s">
        <v>655</v>
      </c>
      <c r="H592" s="2"/>
      <c r="I592" s="69"/>
      <c r="J592" s="17" t="s">
        <v>1450</v>
      </c>
      <c r="K592" s="41" t="s">
        <v>817</v>
      </c>
      <c r="L592" s="64">
        <f t="shared" si="101"/>
        <v>1</v>
      </c>
      <c r="R592" s="17">
        <v>1.0</v>
      </c>
      <c r="EC592" s="66" t="s">
        <v>1255</v>
      </c>
      <c r="EO592" s="6"/>
      <c r="EP592" s="66" t="s">
        <v>664</v>
      </c>
    </row>
    <row r="593" hidden="1">
      <c r="A593" s="1" t="s">
        <v>1451</v>
      </c>
      <c r="B593" s="63">
        <v>2022.0</v>
      </c>
      <c r="C593" s="63">
        <v>1.0</v>
      </c>
      <c r="D593" s="63" t="str">
        <f>IFERROR(__xludf.DUMMYFUNCTION("if(regexmatch(E593,""Recycled""),""No"",""Yes"")"),"No")</f>
        <v>No</v>
      </c>
      <c r="E593" s="63" t="s">
        <v>876</v>
      </c>
      <c r="F593" s="63" t="s">
        <v>654</v>
      </c>
      <c r="G593" s="1" t="s">
        <v>36</v>
      </c>
      <c r="H593" s="2"/>
      <c r="I593" s="69"/>
      <c r="J593" s="17" t="s">
        <v>1450</v>
      </c>
      <c r="K593" s="44" t="s">
        <v>1452</v>
      </c>
      <c r="L593" s="64">
        <f t="shared" si="101"/>
        <v>1</v>
      </c>
      <c r="V593" s="17">
        <v>1.0</v>
      </c>
      <c r="EC593" s="66" t="s">
        <v>1255</v>
      </c>
      <c r="EO593" s="6"/>
      <c r="EP593" s="66" t="s">
        <v>664</v>
      </c>
    </row>
    <row r="594">
      <c r="A594" s="1" t="s">
        <v>1451</v>
      </c>
      <c r="B594" s="63">
        <v>2025.0</v>
      </c>
      <c r="C594" s="63">
        <v>2.0</v>
      </c>
      <c r="D594" s="63" t="str">
        <f>IFERROR(__xludf.DUMMYFUNCTION("if(regexmatch(E594,""Recycled""),""No"",""Yes"")"),"Yes")</f>
        <v>Yes</v>
      </c>
      <c r="E594" s="63"/>
      <c r="F594" s="63" t="s">
        <v>660</v>
      </c>
      <c r="G594" s="1"/>
      <c r="H594" s="1"/>
      <c r="I594" s="63"/>
      <c r="J594" s="17" t="s">
        <v>1453</v>
      </c>
      <c r="K594" s="18"/>
      <c r="L594" s="64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</row>
    <row r="595" hidden="1">
      <c r="A595" s="1" t="s">
        <v>1454</v>
      </c>
      <c r="B595" s="63">
        <v>2021.0</v>
      </c>
      <c r="C595" s="63">
        <v>1.0</v>
      </c>
      <c r="D595" s="63" t="str">
        <f>IFERROR(__xludf.DUMMYFUNCTION("if(regexmatch(E595,""Recycled""),""No"",""Yes"")"),"No")</f>
        <v>No</v>
      </c>
      <c r="E595" s="63" t="s">
        <v>696</v>
      </c>
      <c r="F595" s="63" t="s">
        <v>654</v>
      </c>
      <c r="G595" s="1"/>
      <c r="H595" s="1"/>
      <c r="I595" s="63"/>
      <c r="K595" s="18"/>
      <c r="L595" s="64">
        <f t="shared" ref="L595:L597" si="102">SUM(M595:AW595)</f>
        <v>0</v>
      </c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</row>
    <row r="596" hidden="1">
      <c r="A596" s="1" t="s">
        <v>1454</v>
      </c>
      <c r="B596" s="63">
        <v>2022.0</v>
      </c>
      <c r="C596" s="63">
        <v>2.0</v>
      </c>
      <c r="D596" s="63" t="str">
        <f>IFERROR(__xludf.DUMMYFUNCTION("if(regexmatch(E596,""Recycled""),""No"",""Yes"")"),"No")</f>
        <v>No</v>
      </c>
      <c r="E596" s="63" t="s">
        <v>857</v>
      </c>
      <c r="F596" s="63" t="s">
        <v>654</v>
      </c>
      <c r="G596" s="1" t="s">
        <v>655</v>
      </c>
      <c r="H596" s="2"/>
      <c r="I596" s="69"/>
      <c r="J596" s="17"/>
      <c r="L596" s="64">
        <f t="shared" si="102"/>
        <v>1</v>
      </c>
      <c r="AC596" s="17"/>
      <c r="AQ596" s="17">
        <v>1.0</v>
      </c>
    </row>
    <row r="597" hidden="1">
      <c r="A597" s="18" t="s">
        <v>1454</v>
      </c>
      <c r="B597" s="63">
        <v>2023.0</v>
      </c>
      <c r="C597" s="63">
        <v>3.0</v>
      </c>
      <c r="D597" s="63" t="str">
        <f>IFERROR(__xludf.DUMMYFUNCTION("if(regexmatch(E597,""Recycled""),""No"",""Yes"")"),"No")</f>
        <v>No</v>
      </c>
      <c r="E597" s="63" t="s">
        <v>786</v>
      </c>
      <c r="F597" s="63" t="s">
        <v>787</v>
      </c>
      <c r="G597" s="1" t="s">
        <v>655</v>
      </c>
      <c r="H597" s="2"/>
      <c r="I597" s="69"/>
      <c r="K597" s="73" t="s">
        <v>1455</v>
      </c>
      <c r="L597" s="64">
        <f t="shared" si="102"/>
        <v>1</v>
      </c>
      <c r="AV597" s="17">
        <v>1.0</v>
      </c>
    </row>
    <row r="598">
      <c r="A598" s="18" t="s">
        <v>1454</v>
      </c>
      <c r="B598" s="63">
        <v>2024.0</v>
      </c>
      <c r="C598" s="63">
        <v>4.0</v>
      </c>
      <c r="D598" s="63" t="str">
        <f>IFERROR(__xludf.DUMMYFUNCTION("if(regexmatch(E598,""Recycled""),""No"",""Yes"")"),"Yes")</f>
        <v>Yes</v>
      </c>
      <c r="E598" s="63"/>
      <c r="F598" s="63" t="s">
        <v>654</v>
      </c>
      <c r="G598" s="1"/>
      <c r="H598" s="1">
        <v>1.0</v>
      </c>
      <c r="I598" s="69"/>
      <c r="J598" s="17" t="s">
        <v>1456</v>
      </c>
      <c r="K598" s="18"/>
      <c r="L598" s="64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18"/>
      <c r="AO598" s="18"/>
      <c r="AP598" s="18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7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5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</row>
    <row r="599" hidden="1">
      <c r="A599" s="1" t="s">
        <v>1457</v>
      </c>
      <c r="B599" s="63">
        <v>2022.0</v>
      </c>
      <c r="C599" s="63">
        <v>1.0</v>
      </c>
      <c r="D599" s="63" t="str">
        <f>IFERROR(__xludf.DUMMYFUNCTION("if(regexmatch(E599,""Recycled""),""No"",""Yes"")"),"No")</f>
        <v>No</v>
      </c>
      <c r="E599" s="63" t="s">
        <v>786</v>
      </c>
      <c r="F599" s="63" t="s">
        <v>654</v>
      </c>
      <c r="G599" s="1" t="s">
        <v>655</v>
      </c>
      <c r="H599" s="2"/>
      <c r="I599" s="69"/>
      <c r="J599" s="17" t="s">
        <v>1458</v>
      </c>
      <c r="L599" s="64">
        <f t="shared" ref="L599:L604" si="103">SUM(M599:AW599)</f>
        <v>1</v>
      </c>
      <c r="AC599" s="17">
        <v>1.0</v>
      </c>
    </row>
    <row r="600" hidden="1">
      <c r="A600" s="1" t="s">
        <v>1459</v>
      </c>
      <c r="B600" s="63">
        <v>2022.0</v>
      </c>
      <c r="C600" s="63">
        <v>1.0</v>
      </c>
      <c r="D600" s="63" t="str">
        <f>IFERROR(__xludf.DUMMYFUNCTION("if(regexmatch(E600,""Recycled""),""No"",""Yes"")"),"No")</f>
        <v>No</v>
      </c>
      <c r="E600" s="63" t="s">
        <v>857</v>
      </c>
      <c r="F600" s="63" t="s">
        <v>654</v>
      </c>
      <c r="G600" s="2"/>
      <c r="H600" s="2"/>
      <c r="I600" s="69"/>
      <c r="L600" s="64">
        <f t="shared" si="103"/>
        <v>1</v>
      </c>
      <c r="AD600" s="17"/>
      <c r="AE600" s="17">
        <v>1.0</v>
      </c>
    </row>
    <row r="601">
      <c r="A601" s="18" t="s">
        <v>1459</v>
      </c>
      <c r="B601" s="63">
        <v>2023.0</v>
      </c>
      <c r="C601" s="63">
        <v>2.0</v>
      </c>
      <c r="D601" s="63" t="str">
        <f>IFERROR(__xludf.DUMMYFUNCTION("if(regexmatch(E601,""Recycled""),""No"",""Yes"")"),"Yes")</f>
        <v>Yes</v>
      </c>
      <c r="E601" s="63" t="s">
        <v>22</v>
      </c>
      <c r="F601" s="63" t="s">
        <v>787</v>
      </c>
      <c r="G601" s="1" t="s">
        <v>655</v>
      </c>
      <c r="H601" s="2"/>
      <c r="I601" s="69"/>
      <c r="K601" s="44" t="s">
        <v>1460</v>
      </c>
      <c r="L601" s="64">
        <f t="shared" si="103"/>
        <v>1</v>
      </c>
      <c r="V601" s="17">
        <v>1.0</v>
      </c>
    </row>
    <row r="602" hidden="1">
      <c r="A602" s="1" t="s">
        <v>1461</v>
      </c>
      <c r="B602" s="63">
        <v>2022.0</v>
      </c>
      <c r="C602" s="63">
        <v>1.0</v>
      </c>
      <c r="D602" s="63" t="str">
        <f>IFERROR(__xludf.DUMMYFUNCTION("if(regexmatch(E602,""Recycled""),""No"",""Yes"")"),"No")</f>
        <v>No</v>
      </c>
      <c r="E602" s="63" t="s">
        <v>786</v>
      </c>
      <c r="F602" s="63" t="s">
        <v>654</v>
      </c>
      <c r="G602" s="2"/>
      <c r="H602" s="2"/>
      <c r="I602" s="69"/>
      <c r="K602" s="73" t="s">
        <v>916</v>
      </c>
      <c r="L602" s="64">
        <f t="shared" si="103"/>
        <v>0</v>
      </c>
    </row>
    <row r="603">
      <c r="A603" s="1" t="s">
        <v>1462</v>
      </c>
      <c r="B603" s="63">
        <v>2022.0</v>
      </c>
      <c r="C603" s="63">
        <v>1.0</v>
      </c>
      <c r="D603" s="63" t="str">
        <f>IFERROR(__xludf.DUMMYFUNCTION("if(regexmatch(E603,""Recycled""),""No"",""Yes"")"),"Yes")</f>
        <v>Yes</v>
      </c>
      <c r="E603" s="63" t="s">
        <v>943</v>
      </c>
      <c r="F603" s="63" t="s">
        <v>654</v>
      </c>
      <c r="G603" s="1" t="s">
        <v>655</v>
      </c>
      <c r="H603" s="1">
        <v>3.0</v>
      </c>
      <c r="I603" s="69"/>
      <c r="J603" s="17" t="s">
        <v>1463</v>
      </c>
      <c r="K603" s="74" t="s">
        <v>1464</v>
      </c>
      <c r="L603" s="64">
        <f t="shared" si="103"/>
        <v>1</v>
      </c>
      <c r="AK603" s="17">
        <v>1.0</v>
      </c>
      <c r="EC603" s="66" t="s">
        <v>1255</v>
      </c>
      <c r="EO603" s="6"/>
      <c r="EP603" s="66" t="s">
        <v>664</v>
      </c>
    </row>
    <row r="604" hidden="1">
      <c r="A604" s="1" t="s">
        <v>1465</v>
      </c>
      <c r="B604" s="63">
        <v>2022.0</v>
      </c>
      <c r="C604" s="63">
        <v>1.0</v>
      </c>
      <c r="D604" s="63" t="str">
        <f>IFERROR(__xludf.DUMMYFUNCTION("if(regexmatch(E604,""Recycled""),""No"",""Yes"")"),"No")</f>
        <v>No</v>
      </c>
      <c r="E604" s="63" t="s">
        <v>876</v>
      </c>
      <c r="F604" s="63" t="s">
        <v>654</v>
      </c>
      <c r="G604" s="1" t="s">
        <v>655</v>
      </c>
      <c r="H604" s="2"/>
      <c r="I604" s="69"/>
      <c r="J604" s="17" t="s">
        <v>1466</v>
      </c>
      <c r="K604" s="41" t="s">
        <v>861</v>
      </c>
      <c r="L604" s="64">
        <f t="shared" si="103"/>
        <v>1</v>
      </c>
      <c r="O604" s="17">
        <v>1.0</v>
      </c>
      <c r="EC604" s="66" t="s">
        <v>1255</v>
      </c>
      <c r="EO604" s="6"/>
      <c r="EQ604" s="66" t="s">
        <v>664</v>
      </c>
    </row>
    <row r="605">
      <c r="A605" s="1" t="s">
        <v>1465</v>
      </c>
      <c r="B605" s="63">
        <v>2025.0</v>
      </c>
      <c r="C605" s="63">
        <v>2.0</v>
      </c>
      <c r="D605" s="63" t="str">
        <f>IFERROR(__xludf.DUMMYFUNCTION("if(regexmatch(E605,""Recycled""),""No"",""Yes"")"),"Yes")</f>
        <v>Yes</v>
      </c>
      <c r="E605" s="63"/>
      <c r="F605" s="63" t="s">
        <v>660</v>
      </c>
      <c r="G605" s="1"/>
      <c r="H605" s="2"/>
      <c r="I605" s="69"/>
      <c r="J605" s="17" t="s">
        <v>1467</v>
      </c>
      <c r="K605" s="17"/>
      <c r="L605" s="64"/>
      <c r="U605" s="17"/>
      <c r="EC605" s="66"/>
      <c r="EO605" s="6"/>
      <c r="EQ605" s="66"/>
    </row>
    <row r="606">
      <c r="A606" s="1" t="s">
        <v>1468</v>
      </c>
      <c r="B606" s="63">
        <v>2022.0</v>
      </c>
      <c r="C606" s="63">
        <v>1.0</v>
      </c>
      <c r="D606" s="63" t="str">
        <f>IFERROR(__xludf.DUMMYFUNCTION("if(regexmatch(E606,""Recycled""),""No"",""Yes"")"),"Yes")</f>
        <v>Yes</v>
      </c>
      <c r="E606" s="63" t="s">
        <v>943</v>
      </c>
      <c r="F606" s="63" t="s">
        <v>654</v>
      </c>
      <c r="G606" s="1" t="s">
        <v>655</v>
      </c>
      <c r="H606" s="2"/>
      <c r="I606" s="69"/>
      <c r="J606" s="17" t="s">
        <v>1469</v>
      </c>
      <c r="K606" s="73" t="s">
        <v>1470</v>
      </c>
      <c r="L606" s="64">
        <f t="shared" ref="L606:L608" si="104">SUM(M606:AW606)</f>
        <v>1</v>
      </c>
      <c r="U606" s="17">
        <v>1.0</v>
      </c>
      <c r="EC606" s="66" t="s">
        <v>1255</v>
      </c>
      <c r="EO606" s="6"/>
      <c r="EQ606" s="66" t="s">
        <v>664</v>
      </c>
    </row>
    <row r="607">
      <c r="A607" s="1" t="s">
        <v>1471</v>
      </c>
      <c r="B607" s="63">
        <v>2022.0</v>
      </c>
      <c r="C607" s="63">
        <v>1.0</v>
      </c>
      <c r="D607" s="63" t="str">
        <f>IFERROR(__xludf.DUMMYFUNCTION("if(regexmatch(E607,""Recycled""),""No"",""Yes"")"),"Yes")</f>
        <v>Yes</v>
      </c>
      <c r="E607" s="63" t="s">
        <v>943</v>
      </c>
      <c r="F607" s="63" t="s">
        <v>654</v>
      </c>
      <c r="G607" s="1" t="s">
        <v>655</v>
      </c>
      <c r="H607" s="2"/>
      <c r="I607" s="69"/>
      <c r="J607" s="17" t="s">
        <v>1472</v>
      </c>
      <c r="K607" s="73" t="s">
        <v>1350</v>
      </c>
      <c r="L607" s="64">
        <f t="shared" si="104"/>
        <v>1</v>
      </c>
      <c r="AB607" s="17">
        <v>1.0</v>
      </c>
      <c r="EC607" s="66" t="s">
        <v>1255</v>
      </c>
      <c r="EO607" s="6"/>
      <c r="EQ607" s="66" t="s">
        <v>664</v>
      </c>
    </row>
    <row r="608" hidden="1">
      <c r="A608" s="1" t="s">
        <v>1473</v>
      </c>
      <c r="B608" s="63">
        <v>2023.0</v>
      </c>
      <c r="C608" s="63">
        <v>1.0</v>
      </c>
      <c r="D608" s="63" t="str">
        <f>IFERROR(__xludf.DUMMYFUNCTION("if(regexmatch(E608,""Recycled""),""No"",""Yes"")"),"No")</f>
        <v>No</v>
      </c>
      <c r="E608" s="63" t="s">
        <v>705</v>
      </c>
      <c r="F608" s="63" t="s">
        <v>654</v>
      </c>
      <c r="G608" s="1" t="s">
        <v>655</v>
      </c>
      <c r="H608" s="2"/>
      <c r="I608" s="63" t="s">
        <v>706</v>
      </c>
      <c r="J608" s="17" t="s">
        <v>1474</v>
      </c>
      <c r="L608" s="64">
        <f t="shared" si="104"/>
        <v>4</v>
      </c>
      <c r="M608" s="17">
        <v>1.0</v>
      </c>
      <c r="AE608" s="17">
        <v>1.0</v>
      </c>
      <c r="AO608" s="17">
        <v>1.0</v>
      </c>
      <c r="AP608" s="17">
        <v>1.0</v>
      </c>
      <c r="EO608" s="65" t="s">
        <v>708</v>
      </c>
      <c r="EQ608" s="65" t="s">
        <v>708</v>
      </c>
      <c r="ET608" s="66" t="s">
        <v>708</v>
      </c>
      <c r="EV608" s="66" t="s">
        <v>709</v>
      </c>
      <c r="EX608" s="66" t="s">
        <v>708</v>
      </c>
    </row>
    <row r="609">
      <c r="A609" s="1" t="s">
        <v>1473</v>
      </c>
      <c r="B609" s="63">
        <v>2024.0</v>
      </c>
      <c r="C609" s="63">
        <v>2.0</v>
      </c>
      <c r="D609" s="63" t="str">
        <f>IFERROR(__xludf.DUMMYFUNCTION("if(regexmatch(E609,""Recycled""),""No"",""Yes"")"),"Yes")</f>
        <v>Yes</v>
      </c>
      <c r="E609" s="63"/>
      <c r="F609" s="63" t="s">
        <v>654</v>
      </c>
      <c r="G609" s="1"/>
      <c r="H609" s="1">
        <v>2.0</v>
      </c>
      <c r="I609" s="63"/>
      <c r="J609" s="17" t="s">
        <v>1475</v>
      </c>
      <c r="L609" s="64"/>
      <c r="M609" s="17"/>
      <c r="AE609" s="17"/>
      <c r="AO609" s="17"/>
      <c r="AP609" s="17"/>
    </row>
    <row r="610" hidden="1">
      <c r="A610" s="1" t="s">
        <v>1476</v>
      </c>
      <c r="B610" s="63">
        <v>2023.0</v>
      </c>
      <c r="C610" s="63">
        <v>1.0</v>
      </c>
      <c r="D610" s="63" t="str">
        <f>IFERROR(__xludf.DUMMYFUNCTION("if(regexmatch(E610,""Recycled""),""No"",""Yes"")"),"No")</f>
        <v>No</v>
      </c>
      <c r="E610" s="63" t="s">
        <v>705</v>
      </c>
      <c r="F610" s="63" t="s">
        <v>654</v>
      </c>
      <c r="G610" s="1" t="s">
        <v>655</v>
      </c>
      <c r="H610" s="2"/>
      <c r="I610" s="63" t="s">
        <v>706</v>
      </c>
      <c r="J610" s="17" t="s">
        <v>1474</v>
      </c>
      <c r="L610" s="64">
        <f t="shared" ref="L610:L611" si="105">SUM(M610:AW610)</f>
        <v>4</v>
      </c>
      <c r="M610" s="17">
        <v>1.0</v>
      </c>
      <c r="AE610" s="17">
        <v>1.0</v>
      </c>
      <c r="AO610" s="17">
        <v>1.0</v>
      </c>
      <c r="AP610" s="17">
        <v>1.0</v>
      </c>
      <c r="EO610" s="65" t="s">
        <v>708</v>
      </c>
      <c r="EQ610" s="65" t="s">
        <v>708</v>
      </c>
      <c r="ET610" s="66" t="s">
        <v>708</v>
      </c>
      <c r="EV610" s="66" t="s">
        <v>709</v>
      </c>
      <c r="EX610" s="66" t="s">
        <v>708</v>
      </c>
    </row>
    <row r="611" hidden="1">
      <c r="A611" s="1" t="s">
        <v>1477</v>
      </c>
      <c r="B611" s="63">
        <v>2023.0</v>
      </c>
      <c r="C611" s="63">
        <v>1.0</v>
      </c>
      <c r="D611" s="63" t="str">
        <f>IFERROR(__xludf.DUMMYFUNCTION("if(regexmatch(E611,""Recycled""),""No"",""Yes"")"),"No")</f>
        <v>No</v>
      </c>
      <c r="E611" s="63" t="s">
        <v>705</v>
      </c>
      <c r="F611" s="63" t="s">
        <v>654</v>
      </c>
      <c r="G611" s="1" t="s">
        <v>655</v>
      </c>
      <c r="H611" s="2"/>
      <c r="I611" s="63" t="s">
        <v>706</v>
      </c>
      <c r="J611" s="17" t="s">
        <v>1474</v>
      </c>
      <c r="L611" s="64">
        <f t="shared" si="105"/>
        <v>4</v>
      </c>
      <c r="M611" s="17">
        <v>1.0</v>
      </c>
      <c r="AE611" s="17">
        <v>1.0</v>
      </c>
      <c r="AO611" s="17">
        <v>1.0</v>
      </c>
      <c r="AP611" s="17">
        <v>1.0</v>
      </c>
      <c r="EO611" s="65" t="s">
        <v>708</v>
      </c>
      <c r="EQ611" s="65" t="s">
        <v>708</v>
      </c>
      <c r="ET611" s="66" t="s">
        <v>708</v>
      </c>
      <c r="EV611" s="66" t="s">
        <v>709</v>
      </c>
      <c r="EX611" s="66" t="s">
        <v>708</v>
      </c>
    </row>
    <row r="612">
      <c r="A612" s="1" t="s">
        <v>1477</v>
      </c>
      <c r="B612" s="63">
        <v>2024.0</v>
      </c>
      <c r="C612" s="63">
        <v>2.0</v>
      </c>
      <c r="D612" s="63" t="str">
        <f>IFERROR(__xludf.DUMMYFUNCTION("if(regexmatch(E612,""Recycled""),""No"",""Yes"")"),"Yes")</f>
        <v>Yes</v>
      </c>
      <c r="E612" s="63"/>
      <c r="F612" s="63" t="s">
        <v>654</v>
      </c>
      <c r="G612" s="1"/>
      <c r="H612" s="1">
        <v>1.0</v>
      </c>
      <c r="I612" s="63"/>
      <c r="J612" s="17" t="s">
        <v>1478</v>
      </c>
      <c r="L612" s="64"/>
      <c r="M612" s="17"/>
      <c r="AE612" s="17"/>
      <c r="AO612" s="17"/>
      <c r="AP612" s="17"/>
    </row>
    <row r="613" hidden="1">
      <c r="A613" s="1" t="s">
        <v>1479</v>
      </c>
      <c r="B613" s="63">
        <v>2023.0</v>
      </c>
      <c r="C613" s="63">
        <v>1.0</v>
      </c>
      <c r="D613" s="63" t="str">
        <f>IFERROR(__xludf.DUMMYFUNCTION("if(regexmatch(E613,""Recycled""),""No"",""Yes"")"),"No")</f>
        <v>No</v>
      </c>
      <c r="E613" s="63" t="s">
        <v>705</v>
      </c>
      <c r="F613" s="63" t="s">
        <v>654</v>
      </c>
      <c r="G613" s="1" t="s">
        <v>655</v>
      </c>
      <c r="H613" s="2"/>
      <c r="I613" s="63" t="s">
        <v>706</v>
      </c>
      <c r="J613" s="17" t="s">
        <v>1480</v>
      </c>
      <c r="L613" s="64">
        <f>SUM(M613:AW613)</f>
        <v>4</v>
      </c>
      <c r="M613" s="17">
        <v>1.0</v>
      </c>
      <c r="AE613" s="17">
        <v>1.0</v>
      </c>
      <c r="AO613" s="17">
        <v>1.0</v>
      </c>
      <c r="AP613" s="17">
        <v>1.0</v>
      </c>
      <c r="EO613" s="65" t="s">
        <v>708</v>
      </c>
      <c r="EQ613" s="65" t="s">
        <v>708</v>
      </c>
      <c r="ET613" s="66" t="s">
        <v>708</v>
      </c>
      <c r="EV613" s="66" t="s">
        <v>709</v>
      </c>
      <c r="EX613" s="66" t="s">
        <v>708</v>
      </c>
    </row>
    <row r="614">
      <c r="A614" s="1" t="s">
        <v>1479</v>
      </c>
      <c r="B614" s="63">
        <v>2024.0</v>
      </c>
      <c r="C614" s="63">
        <v>2.0</v>
      </c>
      <c r="D614" s="63" t="str">
        <f>IFERROR(__xludf.DUMMYFUNCTION("if(regexmatch(E614,""Recycled""),""No"",""Yes"")"),"Yes")</f>
        <v>Yes</v>
      </c>
      <c r="E614" s="63"/>
      <c r="F614" s="63" t="s">
        <v>660</v>
      </c>
      <c r="G614" s="1"/>
      <c r="H614" s="1">
        <v>2.0</v>
      </c>
      <c r="I614" s="63"/>
      <c r="J614" s="17" t="s">
        <v>1481</v>
      </c>
      <c r="L614" s="64"/>
      <c r="M614" s="17"/>
      <c r="AE614" s="17"/>
      <c r="AO614" s="17"/>
      <c r="AP614" s="17"/>
    </row>
    <row r="615" hidden="1">
      <c r="A615" s="1" t="s">
        <v>1482</v>
      </c>
      <c r="B615" s="63">
        <v>2023.0</v>
      </c>
      <c r="C615" s="63">
        <v>1.0</v>
      </c>
      <c r="D615" s="63" t="str">
        <f>IFERROR(__xludf.DUMMYFUNCTION("if(regexmatch(E615,""Recycled""),""No"",""Yes"")"),"No")</f>
        <v>No</v>
      </c>
      <c r="E615" s="63" t="s">
        <v>705</v>
      </c>
      <c r="F615" s="63" t="s">
        <v>654</v>
      </c>
      <c r="G615" s="1" t="s">
        <v>655</v>
      </c>
      <c r="H615" s="2"/>
      <c r="I615" s="63" t="s">
        <v>706</v>
      </c>
      <c r="J615" s="17" t="s">
        <v>1474</v>
      </c>
      <c r="L615" s="64">
        <f>SUM(M615:AW615)</f>
        <v>4</v>
      </c>
      <c r="M615" s="17">
        <v>1.0</v>
      </c>
      <c r="AE615" s="17">
        <v>1.0</v>
      </c>
      <c r="AO615" s="17">
        <v>1.0</v>
      </c>
      <c r="AP615" s="17">
        <v>1.0</v>
      </c>
      <c r="EO615" s="65" t="s">
        <v>708</v>
      </c>
      <c r="EQ615" s="65" t="s">
        <v>708</v>
      </c>
      <c r="ET615" s="66" t="s">
        <v>708</v>
      </c>
      <c r="EV615" s="66" t="s">
        <v>709</v>
      </c>
      <c r="EX615" s="66" t="s">
        <v>708</v>
      </c>
    </row>
    <row r="616">
      <c r="A616" s="1" t="s">
        <v>1482</v>
      </c>
      <c r="B616" s="63">
        <v>2024.0</v>
      </c>
      <c r="C616" s="63">
        <v>1.0</v>
      </c>
      <c r="D616" s="63" t="str">
        <f>IFERROR(__xludf.DUMMYFUNCTION("if(regexmatch(E616,""Recycled""),""No"",""Yes"")"),"Yes")</f>
        <v>Yes</v>
      </c>
      <c r="E616" s="63"/>
      <c r="F616" s="63" t="s">
        <v>660</v>
      </c>
      <c r="G616" s="1"/>
      <c r="H616" s="1">
        <v>2.0</v>
      </c>
      <c r="I616" s="63"/>
      <c r="J616" s="17" t="s">
        <v>1117</v>
      </c>
      <c r="L616" s="64"/>
      <c r="M616" s="17"/>
      <c r="AE616" s="17"/>
      <c r="AO616" s="17"/>
      <c r="AP616" s="17"/>
    </row>
    <row r="617" hidden="1">
      <c r="A617" s="1" t="s">
        <v>1483</v>
      </c>
      <c r="B617" s="63">
        <v>2023.0</v>
      </c>
      <c r="C617" s="63">
        <v>1.0</v>
      </c>
      <c r="D617" s="63" t="str">
        <f>IFERROR(__xludf.DUMMYFUNCTION("if(regexmatch(E617,""Recycled""),""No"",""Yes"")"),"No")</f>
        <v>No</v>
      </c>
      <c r="E617" s="63" t="s">
        <v>705</v>
      </c>
      <c r="F617" s="63" t="s">
        <v>654</v>
      </c>
      <c r="G617" s="1" t="s">
        <v>655</v>
      </c>
      <c r="H617" s="2"/>
      <c r="I617" s="63" t="s">
        <v>706</v>
      </c>
      <c r="J617" s="17" t="s">
        <v>1480</v>
      </c>
      <c r="L617" s="64">
        <f>SUM(M617:AW617)</f>
        <v>4</v>
      </c>
      <c r="M617" s="17">
        <v>1.0</v>
      </c>
      <c r="AE617" s="17">
        <v>1.0</v>
      </c>
      <c r="AO617" s="17">
        <v>1.0</v>
      </c>
      <c r="AP617" s="17">
        <v>1.0</v>
      </c>
      <c r="EO617" s="65" t="s">
        <v>708</v>
      </c>
      <c r="EQ617" s="65" t="s">
        <v>708</v>
      </c>
      <c r="ET617" s="66" t="s">
        <v>708</v>
      </c>
      <c r="EV617" s="66" t="s">
        <v>709</v>
      </c>
      <c r="EX617" s="66" t="s">
        <v>708</v>
      </c>
    </row>
    <row r="618">
      <c r="A618" s="1" t="s">
        <v>1483</v>
      </c>
      <c r="B618" s="63">
        <v>2024.0</v>
      </c>
      <c r="C618" s="63">
        <v>2.0</v>
      </c>
      <c r="D618" s="63" t="str">
        <f>IFERROR(__xludf.DUMMYFUNCTION("if(regexmatch(E618,""Recycled""),""No"",""Yes"")"),"Yes")</f>
        <v>Yes</v>
      </c>
      <c r="E618" s="63"/>
      <c r="F618" s="63" t="s">
        <v>654</v>
      </c>
      <c r="G618" s="1"/>
      <c r="H618" s="1">
        <v>1.0</v>
      </c>
      <c r="I618" s="63"/>
      <c r="J618" s="17" t="s">
        <v>1484</v>
      </c>
      <c r="L618" s="64"/>
      <c r="M618" s="17"/>
      <c r="AE618" s="17"/>
      <c r="AO618" s="17"/>
      <c r="AP618" s="17"/>
    </row>
    <row r="619" hidden="1">
      <c r="A619" s="1" t="s">
        <v>1485</v>
      </c>
      <c r="B619" s="63">
        <v>2023.0</v>
      </c>
      <c r="C619" s="63">
        <v>1.0</v>
      </c>
      <c r="D619" s="63" t="str">
        <f>IFERROR(__xludf.DUMMYFUNCTION("if(regexmatch(E619,""Recycled""),""No"",""Yes"")"),"No")</f>
        <v>No</v>
      </c>
      <c r="E619" s="63" t="s">
        <v>705</v>
      </c>
      <c r="F619" s="63" t="s">
        <v>654</v>
      </c>
      <c r="G619" s="1" t="s">
        <v>655</v>
      </c>
      <c r="H619" s="2"/>
      <c r="I619" s="63" t="s">
        <v>706</v>
      </c>
      <c r="J619" s="17" t="s">
        <v>1480</v>
      </c>
      <c r="L619" s="64">
        <f>SUM(M619:AW619)</f>
        <v>4</v>
      </c>
      <c r="M619" s="17">
        <v>1.0</v>
      </c>
      <c r="AE619" s="17">
        <v>1.0</v>
      </c>
      <c r="AO619" s="17">
        <v>1.0</v>
      </c>
      <c r="AP619" s="17">
        <v>1.0</v>
      </c>
      <c r="EO619" s="65" t="s">
        <v>708</v>
      </c>
      <c r="EQ619" s="65" t="s">
        <v>708</v>
      </c>
      <c r="ET619" s="66" t="s">
        <v>708</v>
      </c>
      <c r="EV619" s="66" t="s">
        <v>709</v>
      </c>
      <c r="EX619" s="66" t="s">
        <v>708</v>
      </c>
    </row>
    <row r="620">
      <c r="A620" s="1" t="s">
        <v>1485</v>
      </c>
      <c r="B620" s="63">
        <v>2024.0</v>
      </c>
      <c r="C620" s="63">
        <v>2.0</v>
      </c>
      <c r="D620" s="63" t="str">
        <f>IFERROR(__xludf.DUMMYFUNCTION("if(regexmatch(E620,""Recycled""),""No"",""Yes"")"),"Yes")</f>
        <v>Yes</v>
      </c>
      <c r="E620" s="63"/>
      <c r="F620" s="63" t="s">
        <v>660</v>
      </c>
      <c r="G620" s="1"/>
      <c r="H620" s="1">
        <v>2.0</v>
      </c>
      <c r="I620" s="63"/>
      <c r="J620" s="17" t="s">
        <v>1013</v>
      </c>
      <c r="L620" s="64"/>
      <c r="M620" s="17"/>
      <c r="AE620" s="17"/>
      <c r="AO620" s="17"/>
      <c r="AP620" s="17"/>
    </row>
    <row r="621" hidden="1">
      <c r="A621" s="1" t="s">
        <v>1486</v>
      </c>
      <c r="B621" s="63">
        <v>2023.0</v>
      </c>
      <c r="C621" s="63">
        <v>1.0</v>
      </c>
      <c r="D621" s="63" t="str">
        <f>IFERROR(__xludf.DUMMYFUNCTION("if(regexmatch(E621,""Recycled""),""No"",""Yes"")"),"No")</f>
        <v>No</v>
      </c>
      <c r="E621" s="63" t="s">
        <v>705</v>
      </c>
      <c r="F621" s="63" t="s">
        <v>654</v>
      </c>
      <c r="G621" s="1" t="s">
        <v>655</v>
      </c>
      <c r="H621" s="2"/>
      <c r="I621" s="63" t="s">
        <v>706</v>
      </c>
      <c r="J621" s="17" t="s">
        <v>1480</v>
      </c>
      <c r="L621" s="64">
        <f>SUM(M621:AW621)</f>
        <v>4</v>
      </c>
      <c r="M621" s="17">
        <v>1.0</v>
      </c>
      <c r="AE621" s="17">
        <v>1.0</v>
      </c>
      <c r="AO621" s="17">
        <v>1.0</v>
      </c>
      <c r="AP621" s="17">
        <v>1.0</v>
      </c>
      <c r="EO621" s="65" t="s">
        <v>708</v>
      </c>
      <c r="EQ621" s="65" t="s">
        <v>708</v>
      </c>
      <c r="ET621" s="66" t="s">
        <v>708</v>
      </c>
      <c r="EV621" s="66" t="s">
        <v>709</v>
      </c>
      <c r="EX621" s="66" t="s">
        <v>708</v>
      </c>
    </row>
    <row r="622">
      <c r="A622" s="1" t="s">
        <v>1486</v>
      </c>
      <c r="B622" s="63">
        <v>2024.0</v>
      </c>
      <c r="C622" s="63">
        <v>2.0</v>
      </c>
      <c r="D622" s="63" t="str">
        <f>IFERROR(__xludf.DUMMYFUNCTION("if(regexmatch(E622,""Recycled""),""No"",""Yes"")"),"Yes")</f>
        <v>Yes</v>
      </c>
      <c r="E622" s="63"/>
      <c r="F622" s="63" t="s">
        <v>660</v>
      </c>
      <c r="G622" s="1"/>
      <c r="H622" s="1">
        <v>2.0</v>
      </c>
      <c r="I622" s="69"/>
      <c r="J622" s="17" t="s">
        <v>1487</v>
      </c>
      <c r="L622" s="64"/>
      <c r="AO622" s="17"/>
    </row>
    <row r="623" hidden="1">
      <c r="A623" s="18" t="s">
        <v>1488</v>
      </c>
      <c r="B623" s="63">
        <v>2023.0</v>
      </c>
      <c r="C623" s="63">
        <v>1.0</v>
      </c>
      <c r="D623" s="63" t="str">
        <f>IFERROR(__xludf.DUMMYFUNCTION("if(regexmatch(E623,""Recycled""),""No"",""Yes"")"),"No")</f>
        <v>No</v>
      </c>
      <c r="E623" s="63" t="s">
        <v>786</v>
      </c>
      <c r="F623" s="63" t="s">
        <v>660</v>
      </c>
      <c r="G623" s="1" t="s">
        <v>655</v>
      </c>
      <c r="H623" s="2"/>
      <c r="I623" s="69"/>
      <c r="K623" s="41" t="s">
        <v>817</v>
      </c>
      <c r="L623" s="64">
        <f t="shared" ref="L623:L630" si="106">SUM(M623:AW623)</f>
        <v>1</v>
      </c>
      <c r="AO623" s="17">
        <v>1.0</v>
      </c>
    </row>
    <row r="624" hidden="1">
      <c r="A624" s="1" t="s">
        <v>1489</v>
      </c>
      <c r="B624" s="63">
        <v>2019.0</v>
      </c>
      <c r="C624" s="63">
        <v>2.0</v>
      </c>
      <c r="D624" s="63" t="str">
        <f>IFERROR(__xludf.DUMMYFUNCTION("if(regexmatch(E624,""Recycled""),""No"",""Yes"")"),"No")</f>
        <v>No</v>
      </c>
      <c r="E624" s="63" t="s">
        <v>786</v>
      </c>
      <c r="F624" s="63" t="s">
        <v>660</v>
      </c>
      <c r="G624" s="1" t="s">
        <v>655</v>
      </c>
      <c r="H624" s="1"/>
      <c r="I624" s="69"/>
      <c r="J624" s="6"/>
      <c r="K624" s="41" t="s">
        <v>817</v>
      </c>
      <c r="L624" s="64">
        <f t="shared" si="106"/>
        <v>1</v>
      </c>
      <c r="M624" s="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>
        <v>1.0</v>
      </c>
      <c r="AF624" s="18"/>
      <c r="AG624" s="18"/>
      <c r="AH624" s="18"/>
      <c r="AI624" s="18"/>
      <c r="AJ624" s="6"/>
      <c r="AK624" s="6"/>
      <c r="AL624" s="6"/>
      <c r="AM624" s="6"/>
      <c r="AN624" s="6"/>
      <c r="AO624" s="6"/>
      <c r="AP624" s="18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</row>
    <row r="625">
      <c r="A625" s="1" t="s">
        <v>1490</v>
      </c>
      <c r="B625" s="63">
        <v>2018.0</v>
      </c>
      <c r="C625" s="63">
        <v>1.0</v>
      </c>
      <c r="D625" s="63" t="str">
        <f>IFERROR(__xludf.DUMMYFUNCTION("if(regexmatch(E625,""Recycled""),""No"",""Yes"")"),"Yes")</f>
        <v>Yes</v>
      </c>
      <c r="E625" s="63" t="s">
        <v>22</v>
      </c>
      <c r="F625" s="63" t="s">
        <v>660</v>
      </c>
      <c r="G625" s="1" t="s">
        <v>655</v>
      </c>
      <c r="H625" s="1"/>
      <c r="I625" s="69"/>
      <c r="J625" s="17" t="s">
        <v>1491</v>
      </c>
      <c r="K625" s="44" t="s">
        <v>1492</v>
      </c>
      <c r="L625" s="64">
        <f t="shared" si="106"/>
        <v>1</v>
      </c>
      <c r="M625" s="17">
        <v>1.0</v>
      </c>
      <c r="CI625" s="68" t="s">
        <v>11</v>
      </c>
    </row>
    <row r="626">
      <c r="A626" s="18" t="s">
        <v>1493</v>
      </c>
      <c r="B626" s="63">
        <v>2023.0</v>
      </c>
      <c r="C626" s="63">
        <v>1.0</v>
      </c>
      <c r="D626" s="63" t="str">
        <f>IFERROR(__xludf.DUMMYFUNCTION("if(regexmatch(E626,""Recycled""),""No"",""Yes"")"),"Yes")</f>
        <v>Yes</v>
      </c>
      <c r="E626" s="63" t="s">
        <v>22</v>
      </c>
      <c r="F626" s="63" t="s">
        <v>660</v>
      </c>
      <c r="G626" s="1" t="s">
        <v>655</v>
      </c>
      <c r="H626" s="2"/>
      <c r="I626" s="69"/>
      <c r="K626" s="73" t="s">
        <v>1494</v>
      </c>
      <c r="L626" s="64">
        <f t="shared" si="106"/>
        <v>1</v>
      </c>
      <c r="R626" s="17">
        <v>1.0</v>
      </c>
    </row>
    <row r="627" hidden="1">
      <c r="A627" s="1" t="s">
        <v>1495</v>
      </c>
      <c r="B627" s="63">
        <v>2023.0</v>
      </c>
      <c r="C627" s="63">
        <v>1.0</v>
      </c>
      <c r="D627" s="63" t="str">
        <f>IFERROR(__xludf.DUMMYFUNCTION("if(regexmatch(E627,""Recycled""),""No"",""Yes"")"),"No")</f>
        <v>No</v>
      </c>
      <c r="E627" s="63" t="s">
        <v>786</v>
      </c>
      <c r="F627" s="63" t="s">
        <v>660</v>
      </c>
      <c r="G627" s="1" t="s">
        <v>655</v>
      </c>
      <c r="H627" s="2"/>
      <c r="I627" s="69"/>
      <c r="L627" s="64">
        <f t="shared" si="106"/>
        <v>1</v>
      </c>
      <c r="AO627" s="17">
        <v>1.0</v>
      </c>
    </row>
    <row r="628" hidden="1">
      <c r="A628" s="1" t="s">
        <v>1496</v>
      </c>
      <c r="B628" s="63">
        <v>2023.0</v>
      </c>
      <c r="C628" s="63">
        <v>1.0</v>
      </c>
      <c r="D628" s="63" t="str">
        <f>IFERROR(__xludf.DUMMYFUNCTION("if(regexmatch(E628,""Recycled""),""No"",""Yes"")"),"No")</f>
        <v>No</v>
      </c>
      <c r="E628" s="63" t="s">
        <v>786</v>
      </c>
      <c r="F628" s="63" t="s">
        <v>660</v>
      </c>
      <c r="G628" s="1" t="s">
        <v>655</v>
      </c>
      <c r="H628" s="2"/>
      <c r="I628" s="69"/>
      <c r="K628" s="75" t="s">
        <v>825</v>
      </c>
      <c r="L628" s="64">
        <f t="shared" si="106"/>
        <v>1</v>
      </c>
      <c r="AO628" s="17">
        <v>1.0</v>
      </c>
    </row>
    <row r="629" hidden="1">
      <c r="A629" s="1" t="s">
        <v>1497</v>
      </c>
      <c r="B629" s="63">
        <v>2022.0</v>
      </c>
      <c r="C629" s="63">
        <v>2.0</v>
      </c>
      <c r="D629" s="63" t="str">
        <f>IFERROR(__xludf.DUMMYFUNCTION("if(regexmatch(E629,""Recycled""),""No"",""Yes"")"),"No")</f>
        <v>No</v>
      </c>
      <c r="E629" s="63" t="s">
        <v>786</v>
      </c>
      <c r="F629" s="63" t="s">
        <v>660</v>
      </c>
      <c r="G629" s="1" t="s">
        <v>655</v>
      </c>
      <c r="H629" s="1"/>
      <c r="I629" s="63"/>
      <c r="K629" s="41" t="s">
        <v>1289</v>
      </c>
      <c r="L629" s="64">
        <f t="shared" si="106"/>
        <v>1</v>
      </c>
      <c r="M629" s="17"/>
      <c r="AC629" s="17"/>
      <c r="AD629" s="17"/>
      <c r="AE629" s="17">
        <v>1.0</v>
      </c>
      <c r="AN629" s="17"/>
      <c r="AO629" s="17"/>
      <c r="AP629" s="17"/>
      <c r="CF629" s="3"/>
      <c r="CG629" s="3"/>
      <c r="CH629" s="3"/>
      <c r="CI629" s="3"/>
      <c r="CJ629" s="3"/>
      <c r="CK629" s="3"/>
      <c r="CL629" s="3"/>
      <c r="CM629" s="3"/>
      <c r="CN629" s="3"/>
      <c r="CO629" s="3"/>
    </row>
    <row r="630" hidden="1">
      <c r="A630" s="1" t="s">
        <v>1498</v>
      </c>
      <c r="B630" s="63">
        <v>2023.0</v>
      </c>
      <c r="C630" s="63">
        <v>1.0</v>
      </c>
      <c r="D630" s="63" t="str">
        <f>IFERROR(__xludf.DUMMYFUNCTION("if(regexmatch(E630,""Recycled""),""No"",""Yes"")"),"No")</f>
        <v>No</v>
      </c>
      <c r="E630" s="63" t="s">
        <v>786</v>
      </c>
      <c r="F630" s="63" t="s">
        <v>660</v>
      </c>
      <c r="G630" s="1" t="s">
        <v>655</v>
      </c>
      <c r="H630" s="2"/>
      <c r="I630" s="69"/>
      <c r="K630" s="41" t="s">
        <v>1289</v>
      </c>
      <c r="L630" s="64">
        <f t="shared" si="106"/>
        <v>1</v>
      </c>
      <c r="AE630" s="17">
        <v>1.0</v>
      </c>
    </row>
    <row r="631">
      <c r="A631" s="1" t="s">
        <v>1498</v>
      </c>
      <c r="B631" s="63">
        <v>2025.0</v>
      </c>
      <c r="C631" s="63">
        <v>2.0</v>
      </c>
      <c r="D631" s="63" t="str">
        <f>IFERROR(__xludf.DUMMYFUNCTION("if(regexmatch(E631,""Recycled""),""No"",""Yes"")"),"Yes")</f>
        <v>Yes</v>
      </c>
      <c r="E631" s="63"/>
      <c r="F631" s="63" t="s">
        <v>660</v>
      </c>
      <c r="G631" s="1"/>
      <c r="H631" s="2"/>
      <c r="I631" s="69"/>
      <c r="J631" s="17" t="s">
        <v>1499</v>
      </c>
      <c r="L631" s="64"/>
      <c r="AE631" s="17"/>
    </row>
    <row r="632" hidden="1">
      <c r="A632" s="1" t="s">
        <v>1500</v>
      </c>
      <c r="B632" s="63">
        <v>2023.0</v>
      </c>
      <c r="C632" s="63">
        <v>1.0</v>
      </c>
      <c r="D632" s="63" t="str">
        <f>IFERROR(__xludf.DUMMYFUNCTION("if(regexmatch(E632,""Recycled""),""No"",""Yes"")"),"No")</f>
        <v>No</v>
      </c>
      <c r="E632" s="63" t="s">
        <v>786</v>
      </c>
      <c r="F632" s="63" t="s">
        <v>660</v>
      </c>
      <c r="G632" s="1" t="s">
        <v>655</v>
      </c>
      <c r="H632" s="2"/>
      <c r="I632" s="69"/>
      <c r="K632" s="41" t="s">
        <v>1289</v>
      </c>
      <c r="L632" s="64">
        <f>SUM(M632:AW632)</f>
        <v>1</v>
      </c>
      <c r="AE632" s="17">
        <v>1.0</v>
      </c>
    </row>
    <row r="633">
      <c r="A633" s="1" t="s">
        <v>1500</v>
      </c>
      <c r="B633" s="63">
        <v>2025.0</v>
      </c>
      <c r="C633" s="63">
        <v>2.0</v>
      </c>
      <c r="D633" s="63" t="str">
        <f>IFERROR(__xludf.DUMMYFUNCTION("if(regexmatch(E633,""Recycled""),""No"",""Yes"")"),"Yes")</f>
        <v>Yes</v>
      </c>
      <c r="E633" s="63"/>
      <c r="F633" s="63" t="s">
        <v>787</v>
      </c>
      <c r="G633" s="1"/>
      <c r="H633" s="2"/>
      <c r="I633" s="69"/>
      <c r="J633" s="17" t="s">
        <v>1501</v>
      </c>
      <c r="L633" s="64"/>
      <c r="M633" s="17"/>
    </row>
    <row r="634" hidden="1">
      <c r="A634" s="1" t="s">
        <v>1502</v>
      </c>
      <c r="B634" s="63">
        <v>2023.0</v>
      </c>
      <c r="C634" s="63">
        <v>1.0</v>
      </c>
      <c r="D634" s="63" t="str">
        <f>IFERROR(__xludf.DUMMYFUNCTION("if(regexmatch(E634,""Recycled""),""No"",""Yes"")"),"No")</f>
        <v>No</v>
      </c>
      <c r="E634" s="63" t="s">
        <v>899</v>
      </c>
      <c r="F634" s="63" t="s">
        <v>660</v>
      </c>
      <c r="G634" s="1" t="s">
        <v>655</v>
      </c>
      <c r="H634" s="2"/>
      <c r="I634" s="69"/>
      <c r="K634" s="41" t="s">
        <v>1503</v>
      </c>
      <c r="L634" s="64">
        <f>SUM(M634:AW634)</f>
        <v>1</v>
      </c>
      <c r="M634" s="17">
        <v>1.0</v>
      </c>
    </row>
    <row r="635">
      <c r="A635" s="1" t="s">
        <v>1502</v>
      </c>
      <c r="B635" s="63">
        <v>2024.0</v>
      </c>
      <c r="C635" s="63">
        <v>2.0</v>
      </c>
      <c r="D635" s="63" t="str">
        <f>IFERROR(__xludf.DUMMYFUNCTION("if(regexmatch(E635,""Recycled""),""No"",""Yes"")"),"Yes")</f>
        <v>Yes</v>
      </c>
      <c r="E635" s="63"/>
      <c r="F635" s="63" t="s">
        <v>654</v>
      </c>
      <c r="G635" s="1"/>
      <c r="H635" s="1">
        <v>2.0</v>
      </c>
      <c r="I635" s="69"/>
      <c r="J635" s="17" t="s">
        <v>1504</v>
      </c>
      <c r="K635" s="69"/>
      <c r="L635" s="64"/>
      <c r="U635" s="17"/>
      <c r="ED635" s="66"/>
    </row>
    <row r="636">
      <c r="A636" s="1" t="s">
        <v>1505</v>
      </c>
      <c r="B636" s="63">
        <v>2022.0</v>
      </c>
      <c r="C636" s="63">
        <v>1.0</v>
      </c>
      <c r="D636" s="63" t="str">
        <f>IFERROR(__xludf.DUMMYFUNCTION("if(regexmatch(E636,""Recycled""),""No"",""Yes"")"),"Yes")</f>
        <v>Yes</v>
      </c>
      <c r="E636" s="63" t="s">
        <v>943</v>
      </c>
      <c r="F636" s="63" t="s">
        <v>660</v>
      </c>
      <c r="G636" s="1" t="s">
        <v>655</v>
      </c>
      <c r="H636" s="2"/>
      <c r="I636" s="69"/>
      <c r="J636" s="17" t="s">
        <v>1506</v>
      </c>
      <c r="K636" s="73" t="s">
        <v>1507</v>
      </c>
      <c r="L636" s="64">
        <f t="shared" ref="L636:L641" si="107">SUM(M636:AW636)</f>
        <v>1</v>
      </c>
      <c r="U636" s="17">
        <v>1.0</v>
      </c>
      <c r="ED636" s="66" t="s">
        <v>1508</v>
      </c>
    </row>
    <row r="637">
      <c r="A637" s="1" t="s">
        <v>1509</v>
      </c>
      <c r="B637" s="63">
        <v>2024.0</v>
      </c>
      <c r="C637" s="63">
        <v>1.0</v>
      </c>
      <c r="D637" s="63" t="str">
        <f>IFERROR(__xludf.DUMMYFUNCTION("if(regexmatch(E637,""Recycled""),""No"",""Yes"")"),"Yes")</f>
        <v>Yes</v>
      </c>
      <c r="E637" s="69"/>
      <c r="F637" s="63" t="s">
        <v>787</v>
      </c>
      <c r="G637" s="2"/>
      <c r="H637" s="2"/>
      <c r="I637" s="69"/>
      <c r="J637" s="17" t="s">
        <v>1510</v>
      </c>
      <c r="L637" s="64">
        <f t="shared" si="107"/>
        <v>0</v>
      </c>
    </row>
    <row r="638">
      <c r="A638" s="1" t="s">
        <v>1511</v>
      </c>
      <c r="B638" s="63">
        <v>2024.0</v>
      </c>
      <c r="C638" s="63">
        <v>1.0</v>
      </c>
      <c r="D638" s="63" t="str">
        <f>IFERROR(__xludf.DUMMYFUNCTION("if(regexmatch(E638,""Recycled""),""No"",""Yes"")"),"Yes")</f>
        <v>Yes</v>
      </c>
      <c r="E638" s="69"/>
      <c r="F638" s="63" t="s">
        <v>787</v>
      </c>
      <c r="G638" s="2"/>
      <c r="H638" s="2"/>
      <c r="I638" s="69"/>
      <c r="J638" s="17" t="s">
        <v>1510</v>
      </c>
      <c r="L638" s="64">
        <f t="shared" si="107"/>
        <v>0</v>
      </c>
    </row>
    <row r="639">
      <c r="A639" s="1" t="s">
        <v>1512</v>
      </c>
      <c r="B639" s="63">
        <v>2024.0</v>
      </c>
      <c r="C639" s="63">
        <v>1.0</v>
      </c>
      <c r="D639" s="63" t="str">
        <f>IFERROR(__xludf.DUMMYFUNCTION("if(regexmatch(E639,""Recycled""),""No"",""Yes"")"),"Yes")</f>
        <v>Yes</v>
      </c>
      <c r="E639" s="69"/>
      <c r="F639" s="63" t="s">
        <v>787</v>
      </c>
      <c r="G639" s="2"/>
      <c r="H639" s="2"/>
      <c r="I639" s="69"/>
      <c r="J639" s="17" t="s">
        <v>1510</v>
      </c>
      <c r="L639" s="64">
        <f t="shared" si="107"/>
        <v>0</v>
      </c>
    </row>
    <row r="640">
      <c r="A640" s="1" t="s">
        <v>1513</v>
      </c>
      <c r="B640" s="63">
        <v>2024.0</v>
      </c>
      <c r="C640" s="63">
        <v>1.0</v>
      </c>
      <c r="D640" s="63" t="str">
        <f>IFERROR(__xludf.DUMMYFUNCTION("if(regexmatch(E640,""Recycled""),""No"",""Yes"")"),"Yes")</f>
        <v>Yes</v>
      </c>
      <c r="E640" s="69"/>
      <c r="F640" s="63" t="s">
        <v>787</v>
      </c>
      <c r="G640" s="2"/>
      <c r="H640" s="2"/>
      <c r="I640" s="69"/>
      <c r="J640" s="17" t="s">
        <v>1510</v>
      </c>
      <c r="L640" s="64">
        <f t="shared" si="107"/>
        <v>0</v>
      </c>
    </row>
    <row r="641">
      <c r="A641" s="1" t="s">
        <v>1514</v>
      </c>
      <c r="B641" s="63">
        <v>2024.0</v>
      </c>
      <c r="C641" s="63">
        <v>1.0</v>
      </c>
      <c r="D641" s="63" t="str">
        <f>IFERROR(__xludf.DUMMYFUNCTION("if(regexmatch(E641,""Recycled""),""No"",""Yes"")"),"Yes")</f>
        <v>Yes</v>
      </c>
      <c r="E641" s="69"/>
      <c r="F641" s="63" t="s">
        <v>787</v>
      </c>
      <c r="G641" s="2"/>
      <c r="H641" s="2"/>
      <c r="I641" s="69"/>
      <c r="J641" s="17" t="s">
        <v>1510</v>
      </c>
      <c r="L641" s="64">
        <f t="shared" si="107"/>
        <v>0</v>
      </c>
    </row>
    <row r="642">
      <c r="A642" s="1" t="s">
        <v>1515</v>
      </c>
      <c r="B642" s="63">
        <v>2024.0</v>
      </c>
      <c r="C642" s="63">
        <v>1.0</v>
      </c>
      <c r="D642" s="63" t="str">
        <f>IFERROR(__xludf.DUMMYFUNCTION("if(regexmatch(E642,""Recycled""),""No"",""Yes"")"),"Yes")</f>
        <v>Yes</v>
      </c>
      <c r="E642" s="69"/>
      <c r="F642" s="63" t="s">
        <v>660</v>
      </c>
      <c r="G642" s="2"/>
      <c r="H642" s="1">
        <v>2.0</v>
      </c>
      <c r="I642" s="69"/>
      <c r="J642" s="17" t="s">
        <v>1510</v>
      </c>
      <c r="K642" s="17" t="s">
        <v>1516</v>
      </c>
      <c r="L642" s="64"/>
    </row>
    <row r="643">
      <c r="A643" s="1" t="s">
        <v>1517</v>
      </c>
      <c r="B643" s="63">
        <v>2024.0</v>
      </c>
      <c r="C643" s="63">
        <v>1.0</v>
      </c>
      <c r="D643" s="63" t="str">
        <f>IFERROR(__xludf.DUMMYFUNCTION("if(regexmatch(E643,""Recycled""),""No"",""Yes"")"),"Yes")</f>
        <v>Yes</v>
      </c>
      <c r="E643" s="69"/>
      <c r="F643" s="63" t="s">
        <v>660</v>
      </c>
      <c r="G643" s="2"/>
      <c r="H643" s="1">
        <v>2.0</v>
      </c>
      <c r="I643" s="69"/>
      <c r="J643" s="17" t="s">
        <v>1510</v>
      </c>
      <c r="L643" s="64"/>
    </row>
    <row r="644">
      <c r="A644" s="1" t="s">
        <v>1518</v>
      </c>
      <c r="B644" s="63">
        <v>2024.0</v>
      </c>
      <c r="C644" s="63">
        <v>1.0</v>
      </c>
      <c r="D644" s="63" t="str">
        <f>IFERROR(__xludf.DUMMYFUNCTION("if(regexmatch(E644,""Recycled""),""No"",""Yes"")"),"Yes")</f>
        <v>Yes</v>
      </c>
      <c r="E644" s="69"/>
      <c r="F644" s="63" t="s">
        <v>660</v>
      </c>
      <c r="G644" s="2"/>
      <c r="H644" s="1">
        <v>2.0</v>
      </c>
      <c r="I644" s="69"/>
      <c r="J644" s="17" t="s">
        <v>1510</v>
      </c>
      <c r="L644" s="64"/>
    </row>
    <row r="645">
      <c r="A645" s="1" t="s">
        <v>1519</v>
      </c>
      <c r="B645" s="63">
        <v>2024.0</v>
      </c>
      <c r="C645" s="63">
        <v>1.0</v>
      </c>
      <c r="D645" s="63" t="str">
        <f>IFERROR(__xludf.DUMMYFUNCTION("if(regexmatch(E645,""Recycled""),""No"",""Yes"")"),"Yes")</f>
        <v>Yes</v>
      </c>
      <c r="E645" s="69"/>
      <c r="F645" s="63" t="s">
        <v>660</v>
      </c>
      <c r="G645" s="2"/>
      <c r="H645" s="1">
        <v>2.0</v>
      </c>
      <c r="I645" s="69"/>
      <c r="J645" s="17" t="s">
        <v>1510</v>
      </c>
      <c r="L645" s="64"/>
    </row>
    <row r="646">
      <c r="A646" s="1" t="s">
        <v>1520</v>
      </c>
      <c r="B646" s="63">
        <v>2024.0</v>
      </c>
      <c r="C646" s="63">
        <v>1.0</v>
      </c>
      <c r="D646" s="63" t="str">
        <f>IFERROR(__xludf.DUMMYFUNCTION("if(regexmatch(E646,""Recycled""),""No"",""Yes"")"),"Yes")</f>
        <v>Yes</v>
      </c>
      <c r="E646" s="69"/>
      <c r="F646" s="63" t="s">
        <v>660</v>
      </c>
      <c r="G646" s="2"/>
      <c r="H646" s="1">
        <v>3.0</v>
      </c>
      <c r="I646" s="69"/>
      <c r="J646" s="17" t="s">
        <v>1510</v>
      </c>
      <c r="L646" s="64"/>
    </row>
    <row r="647">
      <c r="A647" s="1" t="s">
        <v>1521</v>
      </c>
      <c r="B647" s="63">
        <v>2024.0</v>
      </c>
      <c r="C647" s="63">
        <v>1.0</v>
      </c>
      <c r="D647" s="63" t="str">
        <f>IFERROR(__xludf.DUMMYFUNCTION("if(regexmatch(E647,""Recycled""),""No"",""Yes"")"),"Yes")</f>
        <v>Yes</v>
      </c>
      <c r="E647" s="69"/>
      <c r="F647" s="63" t="s">
        <v>654</v>
      </c>
      <c r="G647" s="2"/>
      <c r="H647" s="1">
        <v>2.0</v>
      </c>
      <c r="I647" s="69"/>
      <c r="J647" s="17" t="s">
        <v>1522</v>
      </c>
      <c r="K647" s="17" t="s">
        <v>1523</v>
      </c>
      <c r="L647" s="64"/>
    </row>
    <row r="648">
      <c r="A648" s="1" t="s">
        <v>1524</v>
      </c>
      <c r="B648" s="63">
        <v>2024.0</v>
      </c>
      <c r="C648" s="63">
        <v>1.0</v>
      </c>
      <c r="D648" s="63" t="str">
        <f>IFERROR(__xludf.DUMMYFUNCTION("if(regexmatch(E648,""Recycled""),""No"",""Yes"")"),"Yes")</f>
        <v>Yes</v>
      </c>
      <c r="E648" s="69"/>
      <c r="F648" s="63" t="s">
        <v>654</v>
      </c>
      <c r="G648" s="2"/>
      <c r="H648" s="1">
        <v>2.0</v>
      </c>
      <c r="I648" s="69"/>
      <c r="J648" s="17" t="s">
        <v>1522</v>
      </c>
      <c r="L648" s="64"/>
    </row>
    <row r="649">
      <c r="A649" s="1" t="s">
        <v>1525</v>
      </c>
      <c r="B649" s="63">
        <v>2024.0</v>
      </c>
      <c r="C649" s="63">
        <v>1.0</v>
      </c>
      <c r="D649" s="63" t="str">
        <f>IFERROR(__xludf.DUMMYFUNCTION("if(regexmatch(E649,""Recycled""),""No"",""Yes"")"),"Yes")</f>
        <v>Yes</v>
      </c>
      <c r="E649" s="69"/>
      <c r="F649" s="63" t="s">
        <v>654</v>
      </c>
      <c r="G649" s="2"/>
      <c r="H649" s="1">
        <v>3.0</v>
      </c>
      <c r="I649" s="69"/>
      <c r="J649" s="17" t="s">
        <v>1522</v>
      </c>
      <c r="L649" s="64"/>
    </row>
    <row r="650">
      <c r="A650" s="1" t="s">
        <v>1526</v>
      </c>
      <c r="B650" s="63">
        <v>2024.0</v>
      </c>
      <c r="C650" s="63">
        <v>1.0</v>
      </c>
      <c r="D650" s="63" t="str">
        <f>IFERROR(__xludf.DUMMYFUNCTION("if(regexmatch(E650,""Recycled""),""No"",""Yes"")"),"Yes")</f>
        <v>Yes</v>
      </c>
      <c r="E650" s="69"/>
      <c r="F650" s="63" t="s">
        <v>654</v>
      </c>
      <c r="G650" s="2"/>
      <c r="H650" s="1">
        <v>3.0</v>
      </c>
      <c r="I650" s="69"/>
      <c r="J650" s="17" t="s">
        <v>1522</v>
      </c>
      <c r="L650" s="64"/>
    </row>
    <row r="651">
      <c r="A651" s="1" t="s">
        <v>1527</v>
      </c>
      <c r="B651" s="63">
        <v>2024.0</v>
      </c>
      <c r="C651" s="63">
        <v>1.0</v>
      </c>
      <c r="D651" s="63" t="str">
        <f>IFERROR(__xludf.DUMMYFUNCTION("if(regexmatch(E651,""Recycled""),""No"",""Yes"")"),"Yes")</f>
        <v>Yes</v>
      </c>
      <c r="E651" s="69"/>
      <c r="F651" s="63" t="s">
        <v>654</v>
      </c>
      <c r="G651" s="2"/>
      <c r="H651" s="1">
        <v>2.0</v>
      </c>
      <c r="I651" s="69"/>
      <c r="J651" s="17" t="s">
        <v>1522</v>
      </c>
      <c r="K651" s="17" t="s">
        <v>1528</v>
      </c>
      <c r="L651" s="64"/>
    </row>
    <row r="652">
      <c r="A652" s="1" t="s">
        <v>1529</v>
      </c>
      <c r="B652" s="63">
        <v>2024.0</v>
      </c>
      <c r="C652" s="63">
        <v>1.0</v>
      </c>
      <c r="D652" s="63" t="str">
        <f>IFERROR(__xludf.DUMMYFUNCTION("if(regexmatch(E652,""Recycled""),""No"",""Yes"")"),"Yes")</f>
        <v>Yes</v>
      </c>
      <c r="E652" s="69"/>
      <c r="F652" s="63" t="s">
        <v>787</v>
      </c>
      <c r="G652" s="2"/>
      <c r="H652" s="2"/>
      <c r="I652" s="69"/>
      <c r="J652" s="17" t="s">
        <v>1510</v>
      </c>
      <c r="L652" s="64">
        <f t="shared" ref="L652:L664" si="108">SUM(M652:AW652)</f>
        <v>0</v>
      </c>
    </row>
    <row r="653">
      <c r="A653" s="1" t="s">
        <v>1530</v>
      </c>
      <c r="B653" s="63">
        <v>2024.0</v>
      </c>
      <c r="C653" s="63">
        <v>1.0</v>
      </c>
      <c r="D653" s="63" t="str">
        <f>IFERROR(__xludf.DUMMYFUNCTION("if(regexmatch(E653,""Recycled""),""No"",""Yes"")"),"Yes")</f>
        <v>Yes</v>
      </c>
      <c r="E653" s="69"/>
      <c r="F653" s="63" t="s">
        <v>787</v>
      </c>
      <c r="G653" s="2"/>
      <c r="H653" s="2"/>
      <c r="I653" s="69"/>
      <c r="J653" s="17" t="s">
        <v>1510</v>
      </c>
      <c r="L653" s="64">
        <f t="shared" si="108"/>
        <v>0</v>
      </c>
    </row>
    <row r="654">
      <c r="A654" s="1" t="s">
        <v>1531</v>
      </c>
      <c r="B654" s="63">
        <v>2024.0</v>
      </c>
      <c r="C654" s="63">
        <v>1.0</v>
      </c>
      <c r="D654" s="63" t="str">
        <f>IFERROR(__xludf.DUMMYFUNCTION("if(regexmatch(E654,""Recycled""),""No"",""Yes"")"),"Yes")</f>
        <v>Yes</v>
      </c>
      <c r="E654" s="69"/>
      <c r="F654" s="63" t="s">
        <v>787</v>
      </c>
      <c r="G654" s="2"/>
      <c r="H654" s="2"/>
      <c r="I654" s="69"/>
      <c r="J654" s="17" t="s">
        <v>1510</v>
      </c>
      <c r="L654" s="64">
        <f t="shared" si="108"/>
        <v>0</v>
      </c>
    </row>
    <row r="655">
      <c r="A655" s="1" t="s">
        <v>1532</v>
      </c>
      <c r="B655" s="63">
        <v>2024.0</v>
      </c>
      <c r="C655" s="63">
        <v>1.0</v>
      </c>
      <c r="D655" s="63" t="str">
        <f>IFERROR(__xludf.DUMMYFUNCTION("if(regexmatch(E655,""Recycled""),""No"",""Yes"")"),"Yes")</f>
        <v>Yes</v>
      </c>
      <c r="E655" s="69"/>
      <c r="F655" s="63" t="s">
        <v>787</v>
      </c>
      <c r="G655" s="2"/>
      <c r="H655" s="2"/>
      <c r="I655" s="69"/>
      <c r="J655" s="17" t="s">
        <v>1510</v>
      </c>
      <c r="L655" s="64">
        <f t="shared" si="108"/>
        <v>0</v>
      </c>
    </row>
    <row r="656">
      <c r="A656" s="1" t="s">
        <v>1533</v>
      </c>
      <c r="B656" s="63">
        <v>2024.0</v>
      </c>
      <c r="C656" s="63">
        <v>1.0</v>
      </c>
      <c r="D656" s="63" t="str">
        <f>IFERROR(__xludf.DUMMYFUNCTION("if(regexmatch(E656,""Recycled""),""No"",""Yes"")"),"Yes")</f>
        <v>Yes</v>
      </c>
      <c r="E656" s="69"/>
      <c r="F656" s="63" t="s">
        <v>787</v>
      </c>
      <c r="G656" s="2"/>
      <c r="H656" s="2"/>
      <c r="I656" s="69"/>
      <c r="J656" s="17" t="s">
        <v>1510</v>
      </c>
      <c r="L656" s="64">
        <f t="shared" si="108"/>
        <v>0</v>
      </c>
    </row>
    <row r="657">
      <c r="A657" s="1" t="s">
        <v>1534</v>
      </c>
      <c r="B657" s="63">
        <v>2024.0</v>
      </c>
      <c r="C657" s="63">
        <v>1.0</v>
      </c>
      <c r="D657" s="63" t="str">
        <f>IFERROR(__xludf.DUMMYFUNCTION("if(regexmatch(E657,""Recycled""),""No"",""Yes"")"),"Yes")</f>
        <v>Yes</v>
      </c>
      <c r="E657" s="69"/>
      <c r="F657" s="63" t="s">
        <v>787</v>
      </c>
      <c r="G657" s="2"/>
      <c r="H657" s="2"/>
      <c r="I657" s="69"/>
      <c r="J657" s="17" t="s">
        <v>1510</v>
      </c>
      <c r="L657" s="64">
        <f t="shared" si="108"/>
        <v>0</v>
      </c>
    </row>
    <row r="658">
      <c r="A658" s="1" t="s">
        <v>1535</v>
      </c>
      <c r="B658" s="63">
        <v>2024.0</v>
      </c>
      <c r="C658" s="63">
        <v>1.0</v>
      </c>
      <c r="D658" s="63" t="str">
        <f>IFERROR(__xludf.DUMMYFUNCTION("if(regexmatch(E658,""Recycled""),""No"",""Yes"")"),"Yes")</f>
        <v>Yes</v>
      </c>
      <c r="E658" s="69"/>
      <c r="F658" s="63" t="s">
        <v>787</v>
      </c>
      <c r="G658" s="2"/>
      <c r="H658" s="2"/>
      <c r="I658" s="69"/>
      <c r="J658" s="17" t="s">
        <v>1510</v>
      </c>
      <c r="L658" s="64">
        <f t="shared" si="108"/>
        <v>0</v>
      </c>
    </row>
    <row r="659">
      <c r="A659" s="1" t="s">
        <v>1536</v>
      </c>
      <c r="B659" s="63">
        <v>2024.0</v>
      </c>
      <c r="C659" s="63">
        <v>1.0</v>
      </c>
      <c r="D659" s="63" t="str">
        <f>IFERROR(__xludf.DUMMYFUNCTION("if(regexmatch(E659,""Recycled""),""No"",""Yes"")"),"Yes")</f>
        <v>Yes</v>
      </c>
      <c r="E659" s="69"/>
      <c r="F659" s="63" t="s">
        <v>787</v>
      </c>
      <c r="G659" s="2"/>
      <c r="H659" s="2"/>
      <c r="I659" s="69"/>
      <c r="J659" s="17" t="s">
        <v>1510</v>
      </c>
      <c r="L659" s="64">
        <f t="shared" si="108"/>
        <v>0</v>
      </c>
    </row>
    <row r="660">
      <c r="A660" s="1" t="s">
        <v>1537</v>
      </c>
      <c r="B660" s="63">
        <v>2024.0</v>
      </c>
      <c r="C660" s="63">
        <v>1.0</v>
      </c>
      <c r="D660" s="63" t="str">
        <f>IFERROR(__xludf.DUMMYFUNCTION("if(regexmatch(E660,""Recycled""),""No"",""Yes"")"),"Yes")</f>
        <v>Yes</v>
      </c>
      <c r="E660" s="69"/>
      <c r="F660" s="63" t="s">
        <v>787</v>
      </c>
      <c r="G660" s="2"/>
      <c r="H660" s="2"/>
      <c r="I660" s="69"/>
      <c r="J660" s="17" t="s">
        <v>1510</v>
      </c>
      <c r="L660" s="64">
        <f t="shared" si="108"/>
        <v>0</v>
      </c>
    </row>
    <row r="661">
      <c r="A661" s="1" t="s">
        <v>1538</v>
      </c>
      <c r="B661" s="63">
        <v>2024.0</v>
      </c>
      <c r="C661" s="63">
        <v>1.0</v>
      </c>
      <c r="D661" s="63" t="str">
        <f>IFERROR(__xludf.DUMMYFUNCTION("if(regexmatch(E661,""Recycled""),""No"",""Yes"")"),"Yes")</f>
        <v>Yes</v>
      </c>
      <c r="E661" s="69"/>
      <c r="F661" s="63" t="s">
        <v>787</v>
      </c>
      <c r="G661" s="2"/>
      <c r="H661" s="2"/>
      <c r="I661" s="69"/>
      <c r="J661" s="17" t="s">
        <v>1510</v>
      </c>
      <c r="L661" s="64">
        <f t="shared" si="108"/>
        <v>0</v>
      </c>
    </row>
    <row r="662">
      <c r="A662" s="1" t="s">
        <v>1539</v>
      </c>
      <c r="B662" s="63">
        <v>2024.0</v>
      </c>
      <c r="C662" s="63">
        <v>1.0</v>
      </c>
      <c r="D662" s="63" t="str">
        <f>IFERROR(__xludf.DUMMYFUNCTION("if(regexmatch(E662,""Recycled""),""No"",""Yes"")"),"Yes")</f>
        <v>Yes</v>
      </c>
      <c r="E662" s="69"/>
      <c r="F662" s="63" t="s">
        <v>787</v>
      </c>
      <c r="G662" s="2"/>
      <c r="H662" s="2"/>
      <c r="I662" s="69"/>
      <c r="J662" s="17" t="s">
        <v>1510</v>
      </c>
      <c r="L662" s="64">
        <f t="shared" si="108"/>
        <v>0</v>
      </c>
    </row>
    <row r="663">
      <c r="A663" s="1" t="s">
        <v>1540</v>
      </c>
      <c r="B663" s="63">
        <v>2024.0</v>
      </c>
      <c r="C663" s="63">
        <v>1.0</v>
      </c>
      <c r="D663" s="63" t="str">
        <f>IFERROR(__xludf.DUMMYFUNCTION("if(regexmatch(E663,""Recycled""),""No"",""Yes"")"),"Yes")</f>
        <v>Yes</v>
      </c>
      <c r="E663" s="69"/>
      <c r="F663" s="63" t="s">
        <v>787</v>
      </c>
      <c r="G663" s="2"/>
      <c r="H663" s="2"/>
      <c r="I663" s="69"/>
      <c r="J663" s="17" t="s">
        <v>1510</v>
      </c>
      <c r="L663" s="64">
        <f t="shared" si="108"/>
        <v>0</v>
      </c>
    </row>
    <row r="664">
      <c r="A664" s="1" t="s">
        <v>1541</v>
      </c>
      <c r="B664" s="63">
        <v>2024.0</v>
      </c>
      <c r="C664" s="63">
        <v>1.0</v>
      </c>
      <c r="D664" s="63" t="str">
        <f>IFERROR(__xludf.DUMMYFUNCTION("if(regexmatch(E664,""Recycled""),""No"",""Yes"")"),"Yes")</f>
        <v>Yes</v>
      </c>
      <c r="E664" s="69"/>
      <c r="F664" s="63" t="s">
        <v>787</v>
      </c>
      <c r="G664" s="2"/>
      <c r="H664" s="2"/>
      <c r="I664" s="69"/>
      <c r="J664" s="17" t="s">
        <v>1510</v>
      </c>
      <c r="L664" s="64">
        <f t="shared" si="108"/>
        <v>0</v>
      </c>
    </row>
    <row r="665">
      <c r="A665" s="1" t="s">
        <v>1542</v>
      </c>
      <c r="B665" s="63">
        <v>2024.0</v>
      </c>
      <c r="C665" s="63">
        <v>1.0</v>
      </c>
      <c r="D665" s="63" t="str">
        <f>IFERROR(__xludf.DUMMYFUNCTION("if(regexmatch(E665,""Recycled""),""No"",""Yes"")"),"Yes")</f>
        <v>Yes</v>
      </c>
      <c r="E665" s="69"/>
      <c r="F665" s="63" t="s">
        <v>787</v>
      </c>
      <c r="G665" s="2"/>
      <c r="H665" s="2"/>
      <c r="I665" s="69"/>
      <c r="J665" s="17" t="s">
        <v>913</v>
      </c>
      <c r="L665" s="64"/>
    </row>
    <row r="666">
      <c r="A666" s="1" t="s">
        <v>1543</v>
      </c>
      <c r="B666" s="63">
        <v>2024.0</v>
      </c>
      <c r="C666" s="63">
        <v>1.0</v>
      </c>
      <c r="D666" s="63" t="str">
        <f>IFERROR(__xludf.DUMMYFUNCTION("if(regexmatch(E666,""Recycled""),""No"",""Yes"")"),"Yes")</f>
        <v>Yes</v>
      </c>
      <c r="E666" s="63"/>
      <c r="F666" s="63" t="s">
        <v>660</v>
      </c>
      <c r="G666" s="2"/>
      <c r="H666" s="1">
        <v>2.0</v>
      </c>
      <c r="I666" s="69"/>
      <c r="J666" s="17" t="s">
        <v>1117</v>
      </c>
      <c r="L666" s="64"/>
      <c r="Q666" s="17"/>
    </row>
    <row r="667">
      <c r="A667" s="1" t="s">
        <v>1544</v>
      </c>
      <c r="B667" s="63">
        <v>2024.0</v>
      </c>
      <c r="C667" s="63">
        <v>1.0</v>
      </c>
      <c r="D667" s="63" t="str">
        <f>IFERROR(__xludf.DUMMYFUNCTION("if(regexmatch(E667,""Recycled""),""No"",""Yes"")"),"Yes")</f>
        <v>Yes</v>
      </c>
      <c r="E667" s="63"/>
      <c r="F667" s="63" t="s">
        <v>660</v>
      </c>
      <c r="G667" s="2"/>
      <c r="H667" s="1">
        <v>2.0</v>
      </c>
      <c r="I667" s="69"/>
      <c r="J667" s="17" t="s">
        <v>1013</v>
      </c>
      <c r="L667" s="64"/>
      <c r="Q667" s="17"/>
    </row>
    <row r="668">
      <c r="A668" s="1" t="s">
        <v>1545</v>
      </c>
      <c r="B668" s="63">
        <v>2024.0</v>
      </c>
      <c r="C668" s="63">
        <v>1.0</v>
      </c>
      <c r="D668" s="63" t="str">
        <f>IFERROR(__xludf.DUMMYFUNCTION("if(regexmatch(E668,""Recycled""),""No"",""Yes"")"),"Yes")</f>
        <v>Yes</v>
      </c>
      <c r="E668" s="63"/>
      <c r="F668" s="63" t="s">
        <v>660</v>
      </c>
      <c r="G668" s="2"/>
      <c r="H668" s="1">
        <v>1.0</v>
      </c>
      <c r="I668" s="69"/>
      <c r="J668" s="17" t="s">
        <v>1013</v>
      </c>
      <c r="L668" s="64"/>
      <c r="Q668" s="17"/>
    </row>
    <row r="669">
      <c r="A669" s="1" t="s">
        <v>1546</v>
      </c>
      <c r="B669" s="63">
        <v>2024.0</v>
      </c>
      <c r="C669" s="63">
        <v>1.0</v>
      </c>
      <c r="D669" s="63" t="str">
        <f>IFERROR(__xludf.DUMMYFUNCTION("if(regexmatch(E669,""Recycled""),""No"",""Yes"")"),"Yes")</f>
        <v>Yes</v>
      </c>
      <c r="E669" s="69"/>
      <c r="F669" s="63" t="s">
        <v>654</v>
      </c>
      <c r="G669" s="2"/>
      <c r="H669" s="1">
        <v>1.0</v>
      </c>
      <c r="I669" s="69"/>
      <c r="J669" s="17" t="s">
        <v>1547</v>
      </c>
      <c r="L669" s="64"/>
    </row>
    <row r="670">
      <c r="A670" s="1" t="s">
        <v>1548</v>
      </c>
      <c r="B670" s="63">
        <v>2024.0</v>
      </c>
      <c r="C670" s="63">
        <v>1.0</v>
      </c>
      <c r="D670" s="63" t="str">
        <f>IFERROR(__xludf.DUMMYFUNCTION("if(regexmatch(E670,""Recycled""),""No"",""Yes"")"),"Yes")</f>
        <v>Yes</v>
      </c>
      <c r="E670" s="69"/>
      <c r="F670" s="63" t="s">
        <v>654</v>
      </c>
      <c r="G670" s="2"/>
      <c r="H670" s="1">
        <v>1.0</v>
      </c>
      <c r="I670" s="69"/>
      <c r="J670" s="17" t="s">
        <v>1547</v>
      </c>
      <c r="L670" s="64"/>
    </row>
    <row r="671">
      <c r="A671" s="1" t="s">
        <v>1549</v>
      </c>
      <c r="B671" s="63">
        <v>2024.0</v>
      </c>
      <c r="C671" s="63">
        <v>1.0</v>
      </c>
      <c r="D671" s="63" t="str">
        <f>IFERROR(__xludf.DUMMYFUNCTION("if(regexmatch(E671,""Recycled""),""No"",""Yes"")"),"Yes")</f>
        <v>Yes</v>
      </c>
      <c r="E671" s="69"/>
      <c r="F671" s="63" t="s">
        <v>654</v>
      </c>
      <c r="G671" s="2"/>
      <c r="H671" s="1">
        <v>1.0</v>
      </c>
      <c r="I671" s="69"/>
      <c r="J671" s="17" t="s">
        <v>1547</v>
      </c>
      <c r="L671" s="64"/>
    </row>
    <row r="672">
      <c r="A672" s="1" t="s">
        <v>1550</v>
      </c>
      <c r="B672" s="63">
        <v>2024.0</v>
      </c>
      <c r="C672" s="63">
        <v>1.0</v>
      </c>
      <c r="D672" s="63" t="str">
        <f>IFERROR(__xludf.DUMMYFUNCTION("if(regexmatch(E672,""Recycled""),""No"",""Yes"")"),"Yes")</f>
        <v>Yes</v>
      </c>
      <c r="E672" s="69"/>
      <c r="F672" s="63" t="s">
        <v>654</v>
      </c>
      <c r="G672" s="2"/>
      <c r="H672" s="1">
        <v>1.0</v>
      </c>
      <c r="I672" s="69"/>
      <c r="J672" s="17" t="s">
        <v>1547</v>
      </c>
      <c r="L672" s="64"/>
    </row>
    <row r="673">
      <c r="A673" s="1" t="s">
        <v>1551</v>
      </c>
      <c r="B673" s="63">
        <v>2024.0</v>
      </c>
      <c r="C673" s="63">
        <v>1.0</v>
      </c>
      <c r="D673" s="63" t="str">
        <f>IFERROR(__xludf.DUMMYFUNCTION("if(regexmatch(E673,""Recycled""),""No"",""Yes"")"),"Yes")</f>
        <v>Yes</v>
      </c>
      <c r="E673" s="69"/>
      <c r="F673" s="63" t="s">
        <v>654</v>
      </c>
      <c r="G673" s="2"/>
      <c r="H673" s="1">
        <v>1.0</v>
      </c>
      <c r="I673" s="69"/>
      <c r="J673" s="17" t="s">
        <v>1547</v>
      </c>
      <c r="L673" s="64"/>
    </row>
    <row r="674">
      <c r="A674" s="1" t="s">
        <v>1552</v>
      </c>
      <c r="B674" s="63">
        <v>2024.0</v>
      </c>
      <c r="C674" s="63">
        <v>1.0</v>
      </c>
      <c r="D674" s="63" t="str">
        <f>IFERROR(__xludf.DUMMYFUNCTION("if(regexmatch(E674,""Recycled""),""No"",""Yes"")"),"Yes")</f>
        <v>Yes</v>
      </c>
      <c r="E674" s="69"/>
      <c r="F674" s="63" t="s">
        <v>654</v>
      </c>
      <c r="G674" s="2"/>
      <c r="H674" s="1">
        <v>1.0</v>
      </c>
      <c r="I674" s="69"/>
      <c r="J674" s="17" t="s">
        <v>1547</v>
      </c>
      <c r="L674" s="64"/>
    </row>
    <row r="675">
      <c r="A675" s="1" t="s">
        <v>1553</v>
      </c>
      <c r="B675" s="63">
        <v>2024.0</v>
      </c>
      <c r="C675" s="63">
        <v>1.0</v>
      </c>
      <c r="D675" s="63" t="str">
        <f>IFERROR(__xludf.DUMMYFUNCTION("if(regexmatch(E675,""Recycled""),""No"",""Yes"")"),"Yes")</f>
        <v>Yes</v>
      </c>
      <c r="E675" s="69"/>
      <c r="F675" s="63" t="s">
        <v>654</v>
      </c>
      <c r="G675" s="2"/>
      <c r="H675" s="1">
        <v>1.0</v>
      </c>
      <c r="I675" s="69"/>
      <c r="J675" s="17" t="s">
        <v>1547</v>
      </c>
      <c r="L675" s="64"/>
    </row>
    <row r="676">
      <c r="A676" s="1" t="s">
        <v>1554</v>
      </c>
      <c r="B676" s="63">
        <v>2024.0</v>
      </c>
      <c r="C676" s="63"/>
      <c r="D676" s="63" t="str">
        <f>IFERROR(__xludf.DUMMYFUNCTION("if(regexmatch(E676,""Recycled""),""No"",""Yes"")"),"Yes")</f>
        <v>Yes</v>
      </c>
      <c r="E676" s="69"/>
      <c r="F676" s="63" t="s">
        <v>654</v>
      </c>
      <c r="G676" s="2"/>
      <c r="H676" s="1">
        <v>3.0</v>
      </c>
      <c r="I676" s="69"/>
      <c r="J676" s="17" t="s">
        <v>1555</v>
      </c>
      <c r="L676" s="64"/>
    </row>
    <row r="677">
      <c r="A677" s="1" t="s">
        <v>1556</v>
      </c>
      <c r="B677" s="63">
        <v>2024.0</v>
      </c>
      <c r="C677" s="69"/>
      <c r="D677" s="63" t="str">
        <f>IFERROR(__xludf.DUMMYFUNCTION("if(regexmatch(E677,""Recycled""),""No"",""Yes"")"),"Yes")</f>
        <v>Yes</v>
      </c>
      <c r="E677" s="69"/>
      <c r="F677" s="63" t="s">
        <v>654</v>
      </c>
      <c r="G677" s="2"/>
      <c r="H677" s="1">
        <v>0.0</v>
      </c>
      <c r="I677" s="69"/>
      <c r="K677" s="17" t="s">
        <v>1557</v>
      </c>
      <c r="L677" s="64"/>
    </row>
    <row r="678">
      <c r="A678" s="1" t="s">
        <v>1558</v>
      </c>
      <c r="B678" s="63">
        <v>2022.0</v>
      </c>
      <c r="C678" s="63">
        <v>1.0</v>
      </c>
      <c r="D678" s="63" t="str">
        <f>IFERROR(__xludf.DUMMYFUNCTION("if(regexmatch(E678,""Recycled""),""No"",""Yes"")"),"Yes")</f>
        <v>Yes</v>
      </c>
      <c r="E678" s="63" t="s">
        <v>22</v>
      </c>
      <c r="F678" s="63" t="s">
        <v>654</v>
      </c>
      <c r="G678" s="1" t="s">
        <v>655</v>
      </c>
      <c r="H678" s="2"/>
      <c r="I678" s="69"/>
      <c r="J678" s="17" t="s">
        <v>1559</v>
      </c>
      <c r="K678" s="73" t="s">
        <v>1560</v>
      </c>
      <c r="L678" s="64">
        <f>SUM(M678:AW678)</f>
        <v>1</v>
      </c>
      <c r="AE678" s="17">
        <v>1.0</v>
      </c>
    </row>
    <row r="679">
      <c r="A679" s="1" t="s">
        <v>1561</v>
      </c>
      <c r="B679" s="63">
        <v>2025.0</v>
      </c>
      <c r="C679" s="63">
        <v>1.0</v>
      </c>
      <c r="D679" s="63" t="str">
        <f>IFERROR(__xludf.DUMMYFUNCTION("if(regexmatch(E679,""Recycled""),""No"",""Yes"")"),"Yes")</f>
        <v>Yes</v>
      </c>
      <c r="E679" s="69"/>
      <c r="F679" s="63" t="s">
        <v>787</v>
      </c>
      <c r="G679" s="2"/>
      <c r="H679" s="2"/>
      <c r="I679" s="69"/>
      <c r="J679" s="17" t="s">
        <v>1562</v>
      </c>
      <c r="L679" s="64"/>
    </row>
    <row r="680">
      <c r="A680" s="1" t="s">
        <v>1563</v>
      </c>
      <c r="B680" s="63">
        <v>2025.0</v>
      </c>
      <c r="C680" s="63">
        <v>1.0</v>
      </c>
      <c r="D680" s="63" t="str">
        <f>IFERROR(__xludf.DUMMYFUNCTION("if(regexmatch(E680,""Recycled""),""No"",""Yes"")"),"Yes")</f>
        <v>Yes</v>
      </c>
      <c r="E680" s="69"/>
      <c r="F680" s="63" t="s">
        <v>787</v>
      </c>
      <c r="G680" s="2"/>
      <c r="H680" s="2"/>
      <c r="I680" s="69"/>
      <c r="J680" s="17" t="s">
        <v>1564</v>
      </c>
      <c r="L680" s="64"/>
    </row>
    <row r="681">
      <c r="A681" s="1" t="s">
        <v>1565</v>
      </c>
      <c r="B681" s="63">
        <v>2025.0</v>
      </c>
      <c r="C681" s="63">
        <v>1.0</v>
      </c>
      <c r="D681" s="63" t="str">
        <f>IFERROR(__xludf.DUMMYFUNCTION("if(regexmatch(E681,""Recycled""),""No"",""Yes"")"),"Yes")</f>
        <v>Yes</v>
      </c>
      <c r="E681" s="69"/>
      <c r="F681" s="63" t="s">
        <v>787</v>
      </c>
      <c r="G681" s="2"/>
      <c r="H681" s="2"/>
      <c r="I681" s="69"/>
      <c r="J681" s="17" t="s">
        <v>1566</v>
      </c>
      <c r="L681" s="64"/>
    </row>
    <row r="682">
      <c r="A682" s="1" t="s">
        <v>1567</v>
      </c>
      <c r="B682" s="69"/>
      <c r="C682" s="69"/>
      <c r="D682" s="63" t="str">
        <f>IFERROR(__xludf.DUMMYFUNCTION("if(regexmatch(E682,""Recycled""),""No"",""Yes"")"),"Yes")</f>
        <v>Yes</v>
      </c>
      <c r="E682" s="69"/>
      <c r="F682" s="63" t="s">
        <v>660</v>
      </c>
      <c r="G682" s="2"/>
      <c r="H682" s="2"/>
      <c r="I682" s="69"/>
      <c r="J682" s="17" t="s">
        <v>1439</v>
      </c>
      <c r="L682" s="64"/>
    </row>
    <row r="683">
      <c r="A683" s="1" t="s">
        <v>1568</v>
      </c>
      <c r="B683" s="63">
        <v>2025.0</v>
      </c>
      <c r="C683" s="63">
        <v>1.0</v>
      </c>
      <c r="D683" s="63" t="str">
        <f>IFERROR(__xludf.DUMMYFUNCTION("if(regexmatch(E683,""Recycled""),""No"",""Yes"")"),"Yes")</f>
        <v>Yes</v>
      </c>
      <c r="E683" s="69"/>
      <c r="F683" s="63" t="s">
        <v>787</v>
      </c>
      <c r="G683" s="2"/>
      <c r="H683" s="2"/>
      <c r="I683" s="69"/>
      <c r="J683" s="17" t="s">
        <v>1569</v>
      </c>
      <c r="L683" s="64"/>
    </row>
    <row r="684">
      <c r="A684" s="1" t="s">
        <v>1570</v>
      </c>
      <c r="B684" s="63">
        <v>2025.0</v>
      </c>
      <c r="C684" s="63">
        <v>1.0</v>
      </c>
      <c r="D684" s="63" t="str">
        <f>IFERROR(__xludf.DUMMYFUNCTION("if(regexmatch(E684,""Recycled""),""No"",""Yes"")"),"Yes")</f>
        <v>Yes</v>
      </c>
      <c r="E684" s="69"/>
      <c r="F684" s="63" t="s">
        <v>787</v>
      </c>
      <c r="G684" s="2"/>
      <c r="H684" s="2"/>
      <c r="I684" s="69"/>
      <c r="J684" s="17" t="s">
        <v>1571</v>
      </c>
      <c r="L684" s="64"/>
    </row>
    <row r="685">
      <c r="A685" s="1" t="s">
        <v>1572</v>
      </c>
      <c r="B685" s="63">
        <v>2025.0</v>
      </c>
      <c r="C685" s="63">
        <v>1.0</v>
      </c>
      <c r="D685" s="63" t="str">
        <f>IFERROR(__xludf.DUMMYFUNCTION("if(regexmatch(E685,""Recycled""),""No"",""Yes"")"),"Yes")</f>
        <v>Yes</v>
      </c>
      <c r="E685" s="69"/>
      <c r="F685" s="63" t="s">
        <v>787</v>
      </c>
      <c r="G685" s="2"/>
      <c r="H685" s="2"/>
      <c r="I685" s="69"/>
      <c r="J685" s="17" t="s">
        <v>1573</v>
      </c>
      <c r="L685" s="64"/>
    </row>
    <row r="686">
      <c r="A686" s="1" t="s">
        <v>1574</v>
      </c>
      <c r="B686" s="63">
        <v>2025.0</v>
      </c>
      <c r="C686" s="63">
        <v>1.0</v>
      </c>
      <c r="D686" s="63" t="str">
        <f>IFERROR(__xludf.DUMMYFUNCTION("if(regexmatch(E686,""Recycled""),""No"",""Yes"")"),"Yes")</f>
        <v>Yes</v>
      </c>
      <c r="E686" s="69"/>
      <c r="F686" s="63" t="s">
        <v>660</v>
      </c>
      <c r="G686" s="2"/>
      <c r="H686" s="2"/>
      <c r="I686" s="69"/>
      <c r="J686" s="17" t="s">
        <v>1575</v>
      </c>
      <c r="L686" s="64"/>
    </row>
    <row r="687">
      <c r="A687" s="1" t="s">
        <v>1576</v>
      </c>
      <c r="B687" s="63">
        <v>2025.0</v>
      </c>
      <c r="C687" s="63">
        <v>1.0</v>
      </c>
      <c r="D687" s="63" t="str">
        <f>IFERROR(__xludf.DUMMYFUNCTION("if(regexmatch(E687,""Recycled""),""No"",""Yes"")"),"Yes")</f>
        <v>Yes</v>
      </c>
      <c r="E687" s="69"/>
      <c r="F687" s="63" t="s">
        <v>660</v>
      </c>
      <c r="G687" s="2"/>
      <c r="H687" s="2"/>
      <c r="I687" s="69"/>
      <c r="J687" s="17" t="s">
        <v>1577</v>
      </c>
      <c r="L687" s="64"/>
    </row>
    <row r="688">
      <c r="A688" s="1" t="s">
        <v>1578</v>
      </c>
      <c r="B688" s="63">
        <v>2025.0</v>
      </c>
      <c r="C688" s="63">
        <v>1.0</v>
      </c>
      <c r="D688" s="63" t="str">
        <f>IFERROR(__xludf.DUMMYFUNCTION("if(regexmatch(E688,""Recycled""),""No"",""Yes"")"),"Yes")</f>
        <v>Yes</v>
      </c>
      <c r="E688" s="69"/>
      <c r="F688" s="63" t="s">
        <v>660</v>
      </c>
      <c r="G688" s="2"/>
      <c r="H688" s="2"/>
      <c r="I688" s="69"/>
      <c r="J688" s="17" t="s">
        <v>1579</v>
      </c>
      <c r="L688" s="64"/>
    </row>
    <row r="689">
      <c r="A689" s="1" t="s">
        <v>1580</v>
      </c>
      <c r="B689" s="63">
        <v>2025.0</v>
      </c>
      <c r="C689" s="63">
        <v>1.0</v>
      </c>
      <c r="D689" s="63" t="str">
        <f>IFERROR(__xludf.DUMMYFUNCTION("if(regexmatch(E689,""Recycled""),""No"",""Yes"")"),"Yes")</f>
        <v>Yes</v>
      </c>
      <c r="E689" s="69"/>
      <c r="F689" s="63" t="s">
        <v>787</v>
      </c>
      <c r="G689" s="2"/>
      <c r="H689" s="2"/>
      <c r="I689" s="69"/>
      <c r="J689" s="17" t="s">
        <v>1581</v>
      </c>
      <c r="L689" s="64"/>
    </row>
    <row r="690">
      <c r="A690" s="1" t="s">
        <v>1582</v>
      </c>
      <c r="B690" s="63">
        <v>2025.0</v>
      </c>
      <c r="C690" s="63">
        <v>1.0</v>
      </c>
      <c r="D690" s="63" t="str">
        <f>IFERROR(__xludf.DUMMYFUNCTION("if(regexmatch(E690,""Recycled""),""No"",""Yes"")"),"Yes")</f>
        <v>Yes</v>
      </c>
      <c r="E690" s="69"/>
      <c r="F690" s="63" t="s">
        <v>787</v>
      </c>
      <c r="G690" s="2"/>
      <c r="H690" s="2"/>
      <c r="I690" s="69"/>
      <c r="J690" s="17" t="s">
        <v>1583</v>
      </c>
      <c r="L690" s="64"/>
    </row>
    <row r="691">
      <c r="A691" s="1" t="s">
        <v>1584</v>
      </c>
      <c r="B691" s="63">
        <v>2025.0</v>
      </c>
      <c r="C691" s="63">
        <v>1.0</v>
      </c>
      <c r="D691" s="63" t="str">
        <f>IFERROR(__xludf.DUMMYFUNCTION("if(regexmatch(E691,""Recycled""),""No"",""Yes"")"),"Yes")</f>
        <v>Yes</v>
      </c>
      <c r="E691" s="69"/>
      <c r="F691" s="63" t="s">
        <v>787</v>
      </c>
      <c r="G691" s="2"/>
      <c r="H691" s="2"/>
      <c r="I691" s="69"/>
      <c r="J691" s="17" t="s">
        <v>1585</v>
      </c>
      <c r="L691" s="64"/>
    </row>
    <row r="692">
      <c r="A692" s="1" t="s">
        <v>1586</v>
      </c>
      <c r="B692" s="63">
        <v>2025.0</v>
      </c>
      <c r="C692" s="63">
        <v>1.0</v>
      </c>
      <c r="D692" s="63" t="str">
        <f>IFERROR(__xludf.DUMMYFUNCTION("if(regexmatch(E692,""Recycled""),""No"",""Yes"")"),"Yes")</f>
        <v>Yes</v>
      </c>
      <c r="E692" s="69"/>
      <c r="F692" s="63" t="s">
        <v>660</v>
      </c>
      <c r="G692" s="2"/>
      <c r="H692" s="2"/>
      <c r="I692" s="69"/>
      <c r="J692" s="17" t="s">
        <v>1587</v>
      </c>
      <c r="K692" s="17"/>
      <c r="L692" s="64"/>
      <c r="Q692" s="17"/>
    </row>
    <row r="693">
      <c r="A693" s="1" t="s">
        <v>1588</v>
      </c>
      <c r="B693" s="63">
        <v>2025.0</v>
      </c>
      <c r="C693" s="63">
        <v>1.0</v>
      </c>
      <c r="D693" s="63" t="str">
        <f>IFERROR(__xludf.DUMMYFUNCTION("if(regexmatch(E693,""Recycled""),""No"",""Yes"")"),"Yes")</f>
        <v>Yes</v>
      </c>
      <c r="E693" s="69"/>
      <c r="F693" s="63" t="s">
        <v>660</v>
      </c>
      <c r="G693" s="2"/>
      <c r="H693" s="2"/>
      <c r="I693" s="69"/>
      <c r="J693" s="17" t="s">
        <v>1589</v>
      </c>
      <c r="K693" s="17"/>
      <c r="L693" s="64"/>
      <c r="Q693" s="17"/>
    </row>
    <row r="694">
      <c r="A694" s="1" t="s">
        <v>1590</v>
      </c>
      <c r="B694" s="63">
        <v>2025.0</v>
      </c>
      <c r="C694" s="63">
        <v>1.0</v>
      </c>
      <c r="D694" s="63" t="str">
        <f>IFERROR(__xludf.DUMMYFUNCTION("if(regexmatch(E694,""Recycled""),""No"",""Yes"")"),"Yes")</f>
        <v>Yes</v>
      </c>
      <c r="E694" s="69"/>
      <c r="F694" s="63" t="s">
        <v>660</v>
      </c>
      <c r="G694" s="2"/>
      <c r="H694" s="2"/>
      <c r="I694" s="69"/>
      <c r="J694" s="17" t="s">
        <v>1591</v>
      </c>
      <c r="K694" s="17"/>
      <c r="L694" s="64"/>
      <c r="Q694" s="17"/>
    </row>
    <row r="695">
      <c r="A695" s="1" t="s">
        <v>1592</v>
      </c>
      <c r="B695" s="63">
        <v>2025.0</v>
      </c>
      <c r="C695" s="63">
        <v>1.0</v>
      </c>
      <c r="D695" s="63" t="str">
        <f>IFERROR(__xludf.DUMMYFUNCTION("if(regexmatch(E695,""Recycled""),""No"",""Yes"")"),"Yes")</f>
        <v>Yes</v>
      </c>
      <c r="E695" s="69"/>
      <c r="F695" s="63" t="s">
        <v>787</v>
      </c>
      <c r="G695" s="2"/>
      <c r="H695" s="2"/>
      <c r="I695" s="69"/>
      <c r="J695" s="17" t="s">
        <v>1593</v>
      </c>
      <c r="K695" s="17"/>
      <c r="L695" s="64"/>
      <c r="Q695" s="17"/>
    </row>
    <row r="696">
      <c r="A696" s="1" t="s">
        <v>1594</v>
      </c>
      <c r="B696" s="63">
        <v>2025.0</v>
      </c>
      <c r="C696" s="63">
        <v>1.0</v>
      </c>
      <c r="D696" s="63" t="str">
        <f>IFERROR(__xludf.DUMMYFUNCTION("if(regexmatch(E696,""Recycled""),""No"",""Yes"")"),"Yes")</f>
        <v>Yes</v>
      </c>
      <c r="E696" s="69"/>
      <c r="F696" s="63" t="s">
        <v>787</v>
      </c>
      <c r="G696" s="2"/>
      <c r="H696" s="2"/>
      <c r="I696" s="69"/>
      <c r="J696" s="17" t="s">
        <v>1595</v>
      </c>
      <c r="K696" s="17"/>
      <c r="L696" s="64"/>
      <c r="Q696" s="17"/>
    </row>
    <row r="697">
      <c r="A697" s="1" t="s">
        <v>1596</v>
      </c>
      <c r="B697" s="63">
        <v>2025.0</v>
      </c>
      <c r="C697" s="63">
        <v>1.0</v>
      </c>
      <c r="D697" s="63" t="str">
        <f>IFERROR(__xludf.DUMMYFUNCTION("if(regexmatch(E697,""Recycled""),""No"",""Yes"")"),"Yes")</f>
        <v>Yes</v>
      </c>
      <c r="E697" s="69"/>
      <c r="F697" s="63" t="s">
        <v>787</v>
      </c>
      <c r="G697" s="2"/>
      <c r="H697" s="2"/>
      <c r="I697" s="69"/>
      <c r="J697" s="17" t="s">
        <v>1597</v>
      </c>
      <c r="K697" s="17"/>
      <c r="L697" s="64"/>
      <c r="Q697" s="17"/>
    </row>
    <row r="698">
      <c r="A698" s="1" t="s">
        <v>1598</v>
      </c>
      <c r="B698" s="63">
        <v>2025.0</v>
      </c>
      <c r="C698" s="63">
        <v>1.0</v>
      </c>
      <c r="D698" s="63" t="str">
        <f>IFERROR(__xludf.DUMMYFUNCTION("if(regexmatch(E698,""Recycled""),""No"",""Yes"")"),"Yes")</f>
        <v>Yes</v>
      </c>
      <c r="E698" s="69"/>
      <c r="F698" s="63" t="s">
        <v>787</v>
      </c>
      <c r="G698" s="2"/>
      <c r="H698" s="2"/>
      <c r="I698" s="69"/>
      <c r="J698" s="17" t="s">
        <v>1599</v>
      </c>
      <c r="K698" s="17"/>
      <c r="L698" s="64"/>
      <c r="Q698" s="17"/>
    </row>
    <row r="699">
      <c r="A699" s="1" t="s">
        <v>1600</v>
      </c>
      <c r="B699" s="63">
        <v>2025.0</v>
      </c>
      <c r="C699" s="63">
        <v>1.0</v>
      </c>
      <c r="D699" s="63" t="str">
        <f>IFERROR(__xludf.DUMMYFUNCTION("if(regexmatch(E699,""Recycled""),""No"",""Yes"")"),"Yes")</f>
        <v>Yes</v>
      </c>
      <c r="E699" s="69"/>
      <c r="F699" s="63" t="s">
        <v>787</v>
      </c>
      <c r="G699" s="2"/>
      <c r="H699" s="2"/>
      <c r="I699" s="69"/>
      <c r="J699" s="17" t="s">
        <v>1601</v>
      </c>
      <c r="K699" s="17"/>
      <c r="L699" s="64"/>
      <c r="Q699" s="17"/>
    </row>
    <row r="700">
      <c r="A700" s="1" t="s">
        <v>1602</v>
      </c>
      <c r="B700" s="63">
        <v>2025.0</v>
      </c>
      <c r="C700" s="63">
        <v>1.0</v>
      </c>
      <c r="D700" s="63" t="str">
        <f>IFERROR(__xludf.DUMMYFUNCTION("if(regexmatch(E700,""Recycled""),""No"",""Yes"")"),"Yes")</f>
        <v>Yes</v>
      </c>
      <c r="E700" s="69"/>
      <c r="F700" s="63" t="s">
        <v>787</v>
      </c>
      <c r="G700" s="2"/>
      <c r="H700" s="2"/>
      <c r="I700" s="69"/>
      <c r="J700" s="17" t="s">
        <v>1603</v>
      </c>
      <c r="K700" s="17"/>
      <c r="L700" s="64"/>
      <c r="Q700" s="17"/>
    </row>
    <row r="701">
      <c r="A701" s="1" t="s">
        <v>1604</v>
      </c>
      <c r="B701" s="63">
        <v>2025.0</v>
      </c>
      <c r="C701" s="63">
        <v>1.0</v>
      </c>
      <c r="D701" s="63" t="str">
        <f>IFERROR(__xludf.DUMMYFUNCTION("if(regexmatch(E701,""Recycled""),""No"",""Yes"")"),"Yes")</f>
        <v>Yes</v>
      </c>
      <c r="E701" s="69"/>
      <c r="F701" s="63" t="s">
        <v>787</v>
      </c>
      <c r="G701" s="2"/>
      <c r="H701" s="2"/>
      <c r="I701" s="69"/>
      <c r="J701" s="17" t="s">
        <v>1605</v>
      </c>
      <c r="K701" s="17"/>
      <c r="L701" s="64"/>
      <c r="Q701" s="17"/>
    </row>
    <row r="702">
      <c r="A702" s="1" t="s">
        <v>1606</v>
      </c>
      <c r="B702" s="63">
        <v>2025.0</v>
      </c>
      <c r="C702" s="63">
        <v>1.0</v>
      </c>
      <c r="D702" s="63" t="str">
        <f>IFERROR(__xludf.DUMMYFUNCTION("if(regexmatch(E702,""Recycled""),""No"",""Yes"")"),"Yes")</f>
        <v>Yes</v>
      </c>
      <c r="E702" s="69"/>
      <c r="F702" s="63" t="s">
        <v>660</v>
      </c>
      <c r="G702" s="2"/>
      <c r="H702" s="2"/>
      <c r="I702" s="69"/>
      <c r="J702" s="17" t="s">
        <v>1607</v>
      </c>
      <c r="K702" s="17"/>
      <c r="L702" s="64"/>
      <c r="Q702" s="17"/>
    </row>
    <row r="703">
      <c r="A703" s="1" t="s">
        <v>1608</v>
      </c>
      <c r="B703" s="63">
        <v>2025.0</v>
      </c>
      <c r="C703" s="63">
        <v>1.0</v>
      </c>
      <c r="D703" s="63" t="str">
        <f>IFERROR(__xludf.DUMMYFUNCTION("if(regexmatch(E703,""Recycled""),""No"",""Yes"")"),"Yes")</f>
        <v>Yes</v>
      </c>
      <c r="E703" s="69"/>
      <c r="F703" s="63" t="s">
        <v>787</v>
      </c>
      <c r="G703" s="2"/>
      <c r="H703" s="2"/>
      <c r="I703" s="69"/>
      <c r="J703" s="17" t="s">
        <v>1609</v>
      </c>
      <c r="K703" s="17"/>
      <c r="L703" s="64"/>
      <c r="Q703" s="17"/>
    </row>
    <row r="704">
      <c r="A704" s="1" t="s">
        <v>1610</v>
      </c>
      <c r="B704" s="63">
        <v>2025.0</v>
      </c>
      <c r="C704" s="63">
        <v>1.0</v>
      </c>
      <c r="D704" s="63" t="str">
        <f>IFERROR(__xludf.DUMMYFUNCTION("if(regexmatch(E704,""Recycled""),""No"",""Yes"")"),"Yes")</f>
        <v>Yes</v>
      </c>
      <c r="E704" s="69"/>
      <c r="F704" s="63" t="s">
        <v>787</v>
      </c>
      <c r="G704" s="2"/>
      <c r="H704" s="2"/>
      <c r="I704" s="69"/>
      <c r="J704" s="17" t="s">
        <v>1611</v>
      </c>
      <c r="K704" s="17"/>
      <c r="L704" s="64"/>
      <c r="Q704" s="17"/>
    </row>
    <row r="705">
      <c r="A705" s="1" t="s">
        <v>1612</v>
      </c>
      <c r="B705" s="63">
        <v>2025.0</v>
      </c>
      <c r="C705" s="63">
        <v>1.0</v>
      </c>
      <c r="D705" s="63" t="str">
        <f>IFERROR(__xludf.DUMMYFUNCTION("if(regexmatch(E705,""Recycled""),""No"",""Yes"")"),"Yes")</f>
        <v>Yes</v>
      </c>
      <c r="E705" s="69"/>
      <c r="F705" s="63" t="s">
        <v>787</v>
      </c>
      <c r="G705" s="2"/>
      <c r="H705" s="2"/>
      <c r="I705" s="69"/>
      <c r="J705" s="17" t="s">
        <v>1613</v>
      </c>
      <c r="K705" s="69"/>
      <c r="L705" s="64"/>
      <c r="Q705" s="17"/>
    </row>
    <row r="706">
      <c r="A706" s="1" t="s">
        <v>1614</v>
      </c>
      <c r="B706" s="63">
        <v>2025.0</v>
      </c>
      <c r="C706" s="63">
        <v>1.0</v>
      </c>
      <c r="D706" s="63" t="str">
        <f>IFERROR(__xludf.DUMMYFUNCTION("if(regexmatch(E706,""Recycled""),""No"",""Yes"")"),"Yes")</f>
        <v>Yes</v>
      </c>
      <c r="E706" s="69"/>
      <c r="F706" s="63" t="s">
        <v>787</v>
      </c>
      <c r="G706" s="2"/>
      <c r="H706" s="2"/>
      <c r="I706" s="69"/>
      <c r="J706" s="17" t="s">
        <v>1615</v>
      </c>
      <c r="K706" s="69"/>
      <c r="L706" s="64"/>
      <c r="Q706" s="17"/>
    </row>
    <row r="707">
      <c r="A707" s="1" t="s">
        <v>1616</v>
      </c>
      <c r="B707" s="63">
        <v>2025.0</v>
      </c>
      <c r="C707" s="63">
        <v>1.0</v>
      </c>
      <c r="D707" s="63" t="str">
        <f>IFERROR(__xludf.DUMMYFUNCTION("if(regexmatch(E707,""Recycled""),""No"",""Yes"")"),"Yes")</f>
        <v>Yes</v>
      </c>
      <c r="E707" s="69"/>
      <c r="F707" s="63" t="s">
        <v>787</v>
      </c>
      <c r="G707" s="2"/>
      <c r="H707" s="2"/>
      <c r="I707" s="69"/>
      <c r="J707" s="17" t="s">
        <v>1617</v>
      </c>
      <c r="K707" s="69"/>
      <c r="L707" s="64"/>
      <c r="Q707" s="17"/>
    </row>
    <row r="708">
      <c r="A708" s="1" t="s">
        <v>1618</v>
      </c>
      <c r="B708" s="63">
        <v>2025.0</v>
      </c>
      <c r="C708" s="63">
        <v>1.0</v>
      </c>
      <c r="D708" s="63" t="str">
        <f>IFERROR(__xludf.DUMMYFUNCTION("if(regexmatch(E708,""Recycled""),""No"",""Yes"")"),"Yes")</f>
        <v>Yes</v>
      </c>
      <c r="E708" s="63"/>
      <c r="F708" s="63" t="s">
        <v>660</v>
      </c>
      <c r="G708" s="2"/>
      <c r="H708" s="2"/>
      <c r="I708" s="69"/>
      <c r="J708" s="17" t="s">
        <v>1619</v>
      </c>
      <c r="K708" s="69"/>
      <c r="L708" s="64"/>
      <c r="Q708" s="17"/>
    </row>
    <row r="709">
      <c r="A709" s="1" t="s">
        <v>1620</v>
      </c>
      <c r="B709" s="63">
        <v>2025.0</v>
      </c>
      <c r="C709" s="63">
        <v>1.0</v>
      </c>
      <c r="D709" s="63" t="str">
        <f>IFERROR(__xludf.DUMMYFUNCTION("if(regexmatch(E709,""Recycled""),""No"",""Yes"")"),"Yes")</f>
        <v>Yes</v>
      </c>
      <c r="E709" s="63"/>
      <c r="F709" s="63" t="s">
        <v>660</v>
      </c>
      <c r="G709" s="2"/>
      <c r="H709" s="2"/>
      <c r="I709" s="69"/>
      <c r="J709" s="17" t="s">
        <v>1621</v>
      </c>
      <c r="K709" s="69"/>
      <c r="L709" s="64"/>
      <c r="Q709" s="17"/>
    </row>
    <row r="710">
      <c r="A710" s="1" t="s">
        <v>1622</v>
      </c>
      <c r="B710" s="63">
        <v>2025.0</v>
      </c>
      <c r="C710" s="63">
        <v>1.0</v>
      </c>
      <c r="D710" s="63" t="str">
        <f>IFERROR(__xludf.DUMMYFUNCTION("if(regexmatch(E710,""Recycled""),""No"",""Yes"")"),"Yes")</f>
        <v>Yes</v>
      </c>
      <c r="E710" s="69"/>
      <c r="F710" s="63" t="s">
        <v>787</v>
      </c>
      <c r="G710" s="2"/>
      <c r="H710" s="2"/>
      <c r="I710" s="69"/>
      <c r="J710" s="17" t="s">
        <v>710</v>
      </c>
      <c r="K710" s="17"/>
      <c r="L710" s="64"/>
      <c r="Q710" s="17"/>
    </row>
    <row r="711">
      <c r="A711" s="1" t="s">
        <v>1623</v>
      </c>
      <c r="B711" s="63">
        <v>2025.0</v>
      </c>
      <c r="C711" s="63">
        <v>1.0</v>
      </c>
      <c r="D711" s="63" t="str">
        <f>IFERROR(__xludf.DUMMYFUNCTION("if(regexmatch(E711,""Recycled""),""No"",""Yes"")"),"Yes")</f>
        <v>Yes</v>
      </c>
      <c r="E711" s="69"/>
      <c r="F711" s="63" t="s">
        <v>787</v>
      </c>
      <c r="G711" s="2"/>
      <c r="H711" s="2"/>
      <c r="I711" s="69"/>
      <c r="J711" s="17" t="s">
        <v>710</v>
      </c>
      <c r="K711" s="17"/>
      <c r="L711" s="64"/>
      <c r="Q711" s="17"/>
    </row>
    <row r="712" hidden="1">
      <c r="A712" s="1" t="s">
        <v>1624</v>
      </c>
      <c r="B712" s="63">
        <v>2022.0</v>
      </c>
      <c r="C712" s="63">
        <v>1.0</v>
      </c>
      <c r="D712" s="63" t="str">
        <f>IFERROR(__xludf.DUMMYFUNCTION("if(regexmatch(E712,""Recycled""),""No"",""Yes"")"),"No")</f>
        <v>No</v>
      </c>
      <c r="E712" s="63" t="s">
        <v>786</v>
      </c>
      <c r="F712" s="63" t="s">
        <v>654</v>
      </c>
      <c r="G712" s="2"/>
      <c r="H712" s="2"/>
      <c r="I712" s="69"/>
      <c r="J712" s="17" t="s">
        <v>1021</v>
      </c>
      <c r="K712" s="73" t="s">
        <v>1625</v>
      </c>
      <c r="L712" s="64">
        <f t="shared" ref="L712:L713" si="109">SUM(M712:AW712)</f>
        <v>1</v>
      </c>
      <c r="Q712" s="17">
        <v>1.0</v>
      </c>
    </row>
    <row r="713" hidden="1">
      <c r="A713" s="1" t="s">
        <v>1626</v>
      </c>
      <c r="B713" s="63">
        <v>2022.0</v>
      </c>
      <c r="C713" s="63">
        <v>1.0</v>
      </c>
      <c r="D713" s="63" t="str">
        <f>IFERROR(__xludf.DUMMYFUNCTION("if(regexmatch(E713,""Recycled""),""No"",""Yes"")"),"No")</f>
        <v>No</v>
      </c>
      <c r="E713" s="63" t="s">
        <v>786</v>
      </c>
      <c r="F713" s="63" t="s">
        <v>654</v>
      </c>
      <c r="G713" s="1" t="s">
        <v>655</v>
      </c>
      <c r="H713" s="2"/>
      <c r="I713" s="69"/>
      <c r="J713" s="17" t="s">
        <v>1559</v>
      </c>
      <c r="K713" s="75" t="s">
        <v>825</v>
      </c>
      <c r="L713" s="64">
        <f t="shared" si="109"/>
        <v>1</v>
      </c>
      <c r="M713" s="17">
        <v>1.0</v>
      </c>
    </row>
    <row r="714" hidden="1">
      <c r="A714" s="1" t="s">
        <v>1627</v>
      </c>
      <c r="B714" s="63">
        <v>2023.0</v>
      </c>
      <c r="C714" s="63">
        <v>1.0</v>
      </c>
      <c r="D714" s="63" t="str">
        <f>IFERROR(__xludf.DUMMYFUNCTION("if(regexmatch(E714,""Recycled""),""No"",""Yes"")"),"No")</f>
        <v>No</v>
      </c>
      <c r="E714" s="63" t="s">
        <v>786</v>
      </c>
      <c r="F714" s="63" t="s">
        <v>654</v>
      </c>
      <c r="G714" s="1"/>
      <c r="H714" s="2"/>
      <c r="I714" s="69"/>
      <c r="J714" s="17"/>
      <c r="K714" s="73" t="s">
        <v>1628</v>
      </c>
      <c r="L714" s="64"/>
      <c r="AE714" s="17"/>
    </row>
    <row r="715" hidden="1">
      <c r="A715" s="1" t="s">
        <v>1629</v>
      </c>
      <c r="B715" s="63">
        <v>2022.0</v>
      </c>
      <c r="C715" s="63">
        <v>1.0</v>
      </c>
      <c r="D715" s="63" t="str">
        <f>IFERROR(__xludf.DUMMYFUNCTION("if(regexmatch(E715,""Recycled""),""No"",""Yes"")"),"No")</f>
        <v>No</v>
      </c>
      <c r="E715" s="63" t="s">
        <v>786</v>
      </c>
      <c r="F715" s="63" t="s">
        <v>654</v>
      </c>
      <c r="G715" s="1" t="s">
        <v>655</v>
      </c>
      <c r="H715" s="2"/>
      <c r="I715" s="69"/>
      <c r="J715" s="17" t="s">
        <v>1559</v>
      </c>
      <c r="K715" s="75" t="s">
        <v>825</v>
      </c>
      <c r="L715" s="64">
        <f>SUM(M715:AW715)</f>
        <v>1</v>
      </c>
      <c r="AE715" s="17">
        <v>1.0</v>
      </c>
    </row>
    <row r="716">
      <c r="A716" s="2"/>
      <c r="B716" s="69"/>
      <c r="C716" s="69"/>
      <c r="D716" s="69"/>
      <c r="E716" s="69"/>
      <c r="F716" s="69"/>
      <c r="G716" s="2"/>
      <c r="H716" s="2"/>
      <c r="I716" s="69"/>
      <c r="L716" s="64"/>
    </row>
    <row r="717">
      <c r="A717" s="2"/>
      <c r="B717" s="69"/>
      <c r="C717" s="69"/>
      <c r="D717" s="69"/>
      <c r="E717" s="69"/>
      <c r="F717" s="69"/>
      <c r="G717" s="2"/>
      <c r="H717" s="2"/>
      <c r="I717" s="69"/>
      <c r="L717" s="64"/>
    </row>
    <row r="718">
      <c r="A718" s="2"/>
      <c r="B718" s="69"/>
      <c r="C718" s="69"/>
      <c r="D718" s="69"/>
      <c r="E718" s="69"/>
      <c r="F718" s="69"/>
      <c r="G718" s="2"/>
      <c r="H718" s="2"/>
      <c r="I718" s="69"/>
      <c r="L718" s="64"/>
    </row>
    <row r="719">
      <c r="A719" s="2"/>
      <c r="B719" s="69"/>
      <c r="C719" s="69"/>
      <c r="D719" s="69"/>
      <c r="E719" s="69"/>
      <c r="F719" s="69"/>
      <c r="G719" s="2"/>
      <c r="H719" s="2"/>
      <c r="I719" s="69"/>
      <c r="L719" s="64"/>
    </row>
    <row r="720">
      <c r="A720" s="2"/>
      <c r="B720" s="69"/>
      <c r="C720" s="69"/>
      <c r="D720" s="69"/>
      <c r="E720" s="69"/>
      <c r="F720" s="69"/>
      <c r="G720" s="2"/>
      <c r="H720" s="2"/>
      <c r="I720" s="69"/>
      <c r="L720" s="64"/>
    </row>
    <row r="721">
      <c r="A721" s="2"/>
      <c r="B721" s="69"/>
      <c r="C721" s="69"/>
      <c r="D721" s="69"/>
      <c r="E721" s="69"/>
      <c r="F721" s="69"/>
      <c r="G721" s="2"/>
      <c r="H721" s="2"/>
      <c r="I721" s="69"/>
      <c r="L721" s="64"/>
    </row>
    <row r="722">
      <c r="A722" s="2"/>
      <c r="B722" s="69"/>
      <c r="C722" s="69"/>
      <c r="D722" s="69"/>
      <c r="E722" s="69"/>
      <c r="F722" s="69"/>
      <c r="G722" s="2"/>
      <c r="H722" s="2"/>
      <c r="I722" s="69"/>
      <c r="L722" s="64"/>
    </row>
    <row r="723">
      <c r="A723" s="2"/>
      <c r="B723" s="69"/>
      <c r="C723" s="69"/>
      <c r="D723" s="69"/>
      <c r="E723" s="69"/>
      <c r="F723" s="69"/>
      <c r="G723" s="2"/>
      <c r="H723" s="2"/>
      <c r="I723" s="69"/>
      <c r="L723" s="64"/>
    </row>
    <row r="724">
      <c r="A724" s="2"/>
      <c r="B724" s="69"/>
      <c r="C724" s="69"/>
      <c r="D724" s="69"/>
      <c r="E724" s="69"/>
      <c r="F724" s="69"/>
      <c r="G724" s="2"/>
      <c r="H724" s="2"/>
      <c r="I724" s="69"/>
      <c r="L724" s="64"/>
    </row>
    <row r="725">
      <c r="A725" s="2"/>
      <c r="B725" s="69"/>
      <c r="C725" s="69"/>
      <c r="D725" s="69"/>
      <c r="E725" s="69"/>
      <c r="F725" s="69"/>
      <c r="G725" s="2"/>
      <c r="H725" s="2"/>
      <c r="I725" s="69"/>
      <c r="L725" s="64"/>
    </row>
    <row r="726">
      <c r="A726" s="2"/>
      <c r="B726" s="69"/>
      <c r="C726" s="69"/>
      <c r="D726" s="69"/>
      <c r="E726" s="69"/>
      <c r="F726" s="69"/>
      <c r="G726" s="2"/>
      <c r="H726" s="2"/>
      <c r="I726" s="69"/>
      <c r="L726" s="64"/>
    </row>
    <row r="727">
      <c r="A727" s="2"/>
      <c r="B727" s="69"/>
      <c r="C727" s="69"/>
      <c r="D727" s="69"/>
      <c r="E727" s="69"/>
      <c r="F727" s="69"/>
      <c r="G727" s="2"/>
      <c r="H727" s="2"/>
      <c r="I727" s="69"/>
      <c r="L727" s="64"/>
    </row>
    <row r="728">
      <c r="A728" s="2"/>
      <c r="B728" s="69"/>
      <c r="C728" s="69"/>
      <c r="D728" s="69"/>
      <c r="E728" s="69"/>
      <c r="F728" s="69"/>
      <c r="G728" s="2"/>
      <c r="H728" s="2"/>
      <c r="I728" s="69"/>
      <c r="L728" s="64"/>
    </row>
    <row r="729">
      <c r="A729" s="2"/>
      <c r="B729" s="69"/>
      <c r="C729" s="69"/>
      <c r="D729" s="69"/>
      <c r="E729" s="69"/>
      <c r="F729" s="69"/>
      <c r="G729" s="2"/>
      <c r="H729" s="2"/>
      <c r="I729" s="69"/>
      <c r="L729" s="64"/>
    </row>
    <row r="730">
      <c r="A730" s="2"/>
      <c r="B730" s="69"/>
      <c r="C730" s="69"/>
      <c r="D730" s="69"/>
      <c r="E730" s="69"/>
      <c r="F730" s="69"/>
      <c r="G730" s="2"/>
      <c r="H730" s="2"/>
      <c r="I730" s="69"/>
      <c r="L730" s="64"/>
    </row>
    <row r="731">
      <c r="A731" s="2"/>
      <c r="B731" s="69"/>
      <c r="C731" s="69"/>
      <c r="D731" s="69"/>
      <c r="E731" s="69"/>
      <c r="F731" s="69"/>
      <c r="G731" s="2"/>
      <c r="H731" s="2"/>
      <c r="I731" s="69"/>
      <c r="L731" s="64"/>
    </row>
    <row r="732">
      <c r="A732" s="2"/>
      <c r="B732" s="69"/>
      <c r="C732" s="69"/>
      <c r="D732" s="69"/>
      <c r="E732" s="69"/>
      <c r="F732" s="69"/>
      <c r="G732" s="2"/>
      <c r="H732" s="2"/>
      <c r="I732" s="69"/>
      <c r="L732" s="64"/>
    </row>
    <row r="733">
      <c r="A733" s="2"/>
      <c r="B733" s="69"/>
      <c r="C733" s="69"/>
      <c r="D733" s="69"/>
      <c r="E733" s="69"/>
      <c r="F733" s="69"/>
      <c r="G733" s="2"/>
      <c r="H733" s="2"/>
      <c r="I733" s="69"/>
      <c r="L733" s="64"/>
    </row>
    <row r="734">
      <c r="A734" s="2"/>
      <c r="B734" s="69"/>
      <c r="C734" s="69"/>
      <c r="D734" s="69"/>
      <c r="E734" s="69"/>
      <c r="F734" s="69"/>
      <c r="G734" s="2"/>
      <c r="H734" s="2"/>
      <c r="I734" s="69"/>
      <c r="L734" s="64"/>
    </row>
    <row r="735">
      <c r="A735" s="2"/>
      <c r="B735" s="69"/>
      <c r="C735" s="69"/>
      <c r="D735" s="69"/>
      <c r="E735" s="69"/>
      <c r="F735" s="69"/>
      <c r="G735" s="2"/>
      <c r="H735" s="2"/>
      <c r="I735" s="69"/>
      <c r="L735" s="64"/>
    </row>
    <row r="736">
      <c r="A736" s="2"/>
      <c r="B736" s="69"/>
      <c r="C736" s="69"/>
      <c r="D736" s="69"/>
      <c r="E736" s="69"/>
      <c r="F736" s="69"/>
      <c r="G736" s="2"/>
      <c r="H736" s="2"/>
      <c r="I736" s="69"/>
      <c r="L736" s="64"/>
    </row>
    <row r="737">
      <c r="A737" s="2"/>
      <c r="B737" s="69"/>
      <c r="C737" s="69"/>
      <c r="D737" s="69"/>
      <c r="E737" s="69"/>
      <c r="F737" s="69"/>
      <c r="G737" s="2"/>
      <c r="H737" s="2"/>
      <c r="I737" s="69"/>
      <c r="L737" s="64"/>
    </row>
    <row r="738">
      <c r="A738" s="2"/>
      <c r="B738" s="69"/>
      <c r="C738" s="69"/>
      <c r="D738" s="69"/>
      <c r="E738" s="69"/>
      <c r="F738" s="69"/>
      <c r="G738" s="2"/>
      <c r="H738" s="2"/>
      <c r="I738" s="69"/>
      <c r="L738" s="64"/>
    </row>
    <row r="739">
      <c r="A739" s="2"/>
      <c r="B739" s="69"/>
      <c r="C739" s="69"/>
      <c r="D739" s="69"/>
      <c r="E739" s="69"/>
      <c r="F739" s="69"/>
      <c r="G739" s="2"/>
      <c r="H739" s="2"/>
      <c r="I739" s="69"/>
      <c r="L739" s="64"/>
    </row>
    <row r="740">
      <c r="A740" s="2"/>
      <c r="B740" s="69"/>
      <c r="C740" s="69"/>
      <c r="D740" s="69"/>
      <c r="E740" s="69"/>
      <c r="F740" s="69"/>
      <c r="G740" s="2"/>
      <c r="H740" s="2"/>
      <c r="I740" s="69"/>
      <c r="L740" s="64"/>
    </row>
    <row r="741">
      <c r="A741" s="2"/>
      <c r="B741" s="69"/>
      <c r="C741" s="69"/>
      <c r="D741" s="69"/>
      <c r="E741" s="69"/>
      <c r="F741" s="69"/>
      <c r="G741" s="2"/>
      <c r="H741" s="2"/>
      <c r="I741" s="69"/>
      <c r="L741" s="64"/>
    </row>
    <row r="742">
      <c r="A742" s="2"/>
      <c r="B742" s="69"/>
      <c r="C742" s="69"/>
      <c r="D742" s="69"/>
      <c r="E742" s="69"/>
      <c r="F742" s="69"/>
      <c r="G742" s="2"/>
      <c r="H742" s="2"/>
      <c r="I742" s="69"/>
      <c r="L742" s="64"/>
    </row>
    <row r="743">
      <c r="A743" s="2"/>
      <c r="B743" s="69"/>
      <c r="C743" s="69"/>
      <c r="D743" s="69"/>
      <c r="E743" s="69"/>
      <c r="F743" s="69"/>
      <c r="G743" s="2"/>
      <c r="H743" s="2"/>
      <c r="I743" s="69"/>
      <c r="L743" s="64"/>
    </row>
    <row r="744">
      <c r="A744" s="2"/>
      <c r="B744" s="69"/>
      <c r="C744" s="69"/>
      <c r="D744" s="69"/>
      <c r="E744" s="69"/>
      <c r="F744" s="69"/>
      <c r="G744" s="2"/>
      <c r="H744" s="2"/>
      <c r="I744" s="69"/>
      <c r="L744" s="64"/>
    </row>
    <row r="745">
      <c r="A745" s="2"/>
      <c r="B745" s="69"/>
      <c r="C745" s="69"/>
      <c r="D745" s="69"/>
      <c r="E745" s="69"/>
      <c r="F745" s="69"/>
      <c r="G745" s="2"/>
      <c r="H745" s="2"/>
      <c r="I745" s="69"/>
      <c r="L745" s="64"/>
    </row>
    <row r="746">
      <c r="A746" s="2"/>
      <c r="B746" s="69"/>
      <c r="C746" s="69"/>
      <c r="D746" s="69"/>
      <c r="E746" s="69"/>
      <c r="F746" s="69"/>
      <c r="G746" s="2"/>
      <c r="H746" s="2"/>
      <c r="I746" s="69"/>
      <c r="L746" s="64"/>
    </row>
    <row r="747">
      <c r="A747" s="2"/>
      <c r="B747" s="69"/>
      <c r="C747" s="69"/>
      <c r="D747" s="69"/>
      <c r="E747" s="69"/>
      <c r="F747" s="69"/>
      <c r="G747" s="2"/>
      <c r="H747" s="2"/>
      <c r="I747" s="69"/>
      <c r="L747" s="64"/>
    </row>
    <row r="748">
      <c r="A748" s="2"/>
      <c r="B748" s="69"/>
      <c r="C748" s="69"/>
      <c r="D748" s="69"/>
      <c r="E748" s="69"/>
      <c r="F748" s="69"/>
      <c r="G748" s="2"/>
      <c r="H748" s="2"/>
      <c r="I748" s="69"/>
      <c r="L748" s="64"/>
    </row>
    <row r="749">
      <c r="A749" s="2"/>
      <c r="B749" s="69"/>
      <c r="C749" s="69"/>
      <c r="D749" s="69"/>
      <c r="E749" s="69"/>
      <c r="F749" s="69"/>
      <c r="G749" s="2"/>
      <c r="H749" s="2"/>
      <c r="I749" s="69"/>
      <c r="L749" s="64"/>
    </row>
    <row r="750">
      <c r="A750" s="2"/>
      <c r="B750" s="69"/>
      <c r="C750" s="69"/>
      <c r="D750" s="69"/>
      <c r="E750" s="69"/>
      <c r="F750" s="69"/>
      <c r="G750" s="2"/>
      <c r="H750" s="2"/>
      <c r="I750" s="69"/>
      <c r="L750" s="64"/>
    </row>
    <row r="751">
      <c r="A751" s="2"/>
      <c r="B751" s="69"/>
      <c r="C751" s="69"/>
      <c r="D751" s="69"/>
      <c r="E751" s="69"/>
      <c r="F751" s="69"/>
      <c r="G751" s="2"/>
      <c r="H751" s="2"/>
      <c r="I751" s="69"/>
      <c r="L751" s="64"/>
    </row>
    <row r="752">
      <c r="A752" s="2"/>
      <c r="B752" s="69"/>
      <c r="C752" s="69"/>
      <c r="D752" s="69"/>
      <c r="E752" s="69"/>
      <c r="F752" s="69"/>
      <c r="G752" s="2"/>
      <c r="H752" s="2"/>
      <c r="I752" s="69"/>
      <c r="L752" s="64"/>
    </row>
    <row r="753">
      <c r="A753" s="2"/>
      <c r="B753" s="69"/>
      <c r="C753" s="69"/>
      <c r="D753" s="69"/>
      <c r="E753" s="69"/>
      <c r="F753" s="69"/>
      <c r="G753" s="2"/>
      <c r="H753" s="2"/>
      <c r="I753" s="69"/>
      <c r="L753" s="64"/>
    </row>
    <row r="754">
      <c r="A754" s="2"/>
      <c r="B754" s="69"/>
      <c r="C754" s="69"/>
      <c r="D754" s="69"/>
      <c r="E754" s="69"/>
      <c r="F754" s="69"/>
      <c r="G754" s="2"/>
      <c r="H754" s="2"/>
      <c r="I754" s="69"/>
      <c r="L754" s="64"/>
    </row>
    <row r="755">
      <c r="A755" s="2"/>
      <c r="B755" s="69"/>
      <c r="C755" s="69"/>
      <c r="D755" s="69"/>
      <c r="E755" s="69"/>
      <c r="F755" s="69"/>
      <c r="G755" s="2"/>
      <c r="H755" s="2"/>
      <c r="I755" s="69"/>
      <c r="L755" s="64"/>
    </row>
    <row r="756">
      <c r="A756" s="2"/>
      <c r="B756" s="69"/>
      <c r="C756" s="69"/>
      <c r="D756" s="69"/>
      <c r="E756" s="69"/>
      <c r="F756" s="69"/>
      <c r="G756" s="2"/>
      <c r="H756" s="2"/>
      <c r="I756" s="69"/>
      <c r="L756" s="64"/>
    </row>
    <row r="757">
      <c r="A757" s="2"/>
      <c r="B757" s="69"/>
      <c r="C757" s="69"/>
      <c r="D757" s="69"/>
      <c r="E757" s="69"/>
      <c r="F757" s="69"/>
      <c r="G757" s="2"/>
      <c r="H757" s="2"/>
      <c r="I757" s="69"/>
      <c r="L757" s="64"/>
    </row>
    <row r="758">
      <c r="A758" s="2"/>
      <c r="B758" s="69"/>
      <c r="C758" s="69"/>
      <c r="D758" s="69"/>
      <c r="E758" s="69"/>
      <c r="F758" s="69"/>
      <c r="G758" s="2"/>
      <c r="H758" s="2"/>
      <c r="I758" s="69"/>
      <c r="L758" s="64"/>
    </row>
    <row r="759">
      <c r="A759" s="2"/>
      <c r="B759" s="69"/>
      <c r="C759" s="69"/>
      <c r="D759" s="69"/>
      <c r="E759" s="69"/>
      <c r="F759" s="69"/>
      <c r="G759" s="2"/>
      <c r="H759" s="2"/>
      <c r="I759" s="69"/>
      <c r="L759" s="64"/>
    </row>
    <row r="760">
      <c r="A760" s="2"/>
      <c r="B760" s="69"/>
      <c r="C760" s="69"/>
      <c r="D760" s="69"/>
      <c r="E760" s="69"/>
      <c r="F760" s="69"/>
      <c r="G760" s="2"/>
      <c r="H760" s="2"/>
      <c r="I760" s="69"/>
      <c r="L760" s="64"/>
    </row>
    <row r="761">
      <c r="A761" s="2"/>
      <c r="B761" s="69"/>
      <c r="C761" s="69"/>
      <c r="D761" s="69"/>
      <c r="E761" s="69"/>
      <c r="F761" s="69"/>
      <c r="G761" s="2"/>
      <c r="H761" s="2"/>
      <c r="I761" s="69"/>
      <c r="L761" s="64"/>
    </row>
    <row r="762">
      <c r="A762" s="2"/>
      <c r="B762" s="69"/>
      <c r="C762" s="69"/>
      <c r="D762" s="69"/>
      <c r="E762" s="69"/>
      <c r="F762" s="69"/>
      <c r="G762" s="2"/>
      <c r="H762" s="2"/>
      <c r="I762" s="69"/>
      <c r="L762" s="64"/>
    </row>
    <row r="763">
      <c r="A763" s="2"/>
      <c r="B763" s="69"/>
      <c r="C763" s="69"/>
      <c r="D763" s="69"/>
      <c r="E763" s="69"/>
      <c r="F763" s="69"/>
      <c r="G763" s="2"/>
      <c r="H763" s="2"/>
      <c r="I763" s="69"/>
      <c r="L763" s="64"/>
    </row>
    <row r="764">
      <c r="A764" s="2"/>
      <c r="B764" s="69"/>
      <c r="C764" s="69"/>
      <c r="D764" s="69"/>
      <c r="E764" s="69"/>
      <c r="F764" s="69"/>
      <c r="G764" s="2"/>
      <c r="H764" s="2"/>
      <c r="I764" s="69"/>
      <c r="L764" s="64"/>
    </row>
    <row r="765">
      <c r="A765" s="2"/>
      <c r="B765" s="69"/>
      <c r="C765" s="69"/>
      <c r="D765" s="69"/>
      <c r="E765" s="69"/>
      <c r="F765" s="69"/>
      <c r="G765" s="2"/>
      <c r="H765" s="2"/>
      <c r="I765" s="69"/>
      <c r="L765" s="64"/>
    </row>
    <row r="766">
      <c r="A766" s="2"/>
      <c r="B766" s="69"/>
      <c r="C766" s="69"/>
      <c r="D766" s="69"/>
      <c r="E766" s="69"/>
      <c r="F766" s="69"/>
      <c r="G766" s="2"/>
      <c r="H766" s="2"/>
      <c r="I766" s="69"/>
      <c r="L766" s="64"/>
    </row>
    <row r="767">
      <c r="A767" s="2"/>
      <c r="B767" s="69"/>
      <c r="C767" s="69"/>
      <c r="D767" s="69"/>
      <c r="E767" s="69"/>
      <c r="F767" s="69"/>
      <c r="G767" s="2"/>
      <c r="H767" s="2"/>
      <c r="I767" s="69"/>
      <c r="L767" s="64"/>
    </row>
    <row r="768">
      <c r="A768" s="2"/>
      <c r="B768" s="69"/>
      <c r="C768" s="69"/>
      <c r="D768" s="69"/>
      <c r="E768" s="69"/>
      <c r="F768" s="69"/>
      <c r="G768" s="2"/>
      <c r="H768" s="2"/>
      <c r="I768" s="69"/>
      <c r="L768" s="64"/>
    </row>
    <row r="769">
      <c r="A769" s="2"/>
      <c r="B769" s="69"/>
      <c r="C769" s="69"/>
      <c r="D769" s="69"/>
      <c r="E769" s="69"/>
      <c r="F769" s="69"/>
      <c r="G769" s="2"/>
      <c r="H769" s="2"/>
      <c r="I769" s="69"/>
      <c r="L769" s="64"/>
    </row>
    <row r="770">
      <c r="A770" s="2"/>
      <c r="B770" s="69"/>
      <c r="C770" s="69"/>
      <c r="D770" s="69"/>
      <c r="E770" s="69"/>
      <c r="F770" s="69"/>
      <c r="G770" s="2"/>
      <c r="H770" s="2"/>
      <c r="I770" s="69"/>
      <c r="L770" s="64"/>
    </row>
    <row r="771">
      <c r="A771" s="2"/>
      <c r="B771" s="69"/>
      <c r="C771" s="69"/>
      <c r="D771" s="69"/>
      <c r="E771" s="69"/>
      <c r="F771" s="69"/>
      <c r="G771" s="2"/>
      <c r="H771" s="2"/>
      <c r="I771" s="69"/>
      <c r="L771" s="64"/>
    </row>
    <row r="772">
      <c r="A772" s="2"/>
      <c r="B772" s="69"/>
      <c r="C772" s="69"/>
      <c r="D772" s="69"/>
      <c r="E772" s="69"/>
      <c r="F772" s="69"/>
      <c r="G772" s="2"/>
      <c r="H772" s="2"/>
      <c r="I772" s="69"/>
      <c r="L772" s="64"/>
    </row>
    <row r="773">
      <c r="A773" s="2"/>
      <c r="B773" s="69"/>
      <c r="C773" s="69"/>
      <c r="D773" s="69"/>
      <c r="E773" s="69"/>
      <c r="F773" s="69"/>
      <c r="G773" s="2"/>
      <c r="H773" s="2"/>
      <c r="I773" s="69"/>
      <c r="L773" s="64"/>
    </row>
    <row r="774">
      <c r="A774" s="2"/>
      <c r="B774" s="69"/>
      <c r="C774" s="69"/>
      <c r="D774" s="69"/>
      <c r="E774" s="69"/>
      <c r="F774" s="69"/>
      <c r="G774" s="2"/>
      <c r="H774" s="2"/>
      <c r="I774" s="69"/>
      <c r="L774" s="64"/>
    </row>
    <row r="775">
      <c r="A775" s="2"/>
      <c r="B775" s="69"/>
      <c r="C775" s="69"/>
      <c r="D775" s="69"/>
      <c r="E775" s="69"/>
      <c r="F775" s="69"/>
      <c r="G775" s="2"/>
      <c r="H775" s="2"/>
      <c r="I775" s="69"/>
      <c r="L775" s="64"/>
    </row>
    <row r="776">
      <c r="A776" s="2"/>
      <c r="B776" s="69"/>
      <c r="C776" s="69"/>
      <c r="D776" s="69"/>
      <c r="E776" s="69"/>
      <c r="F776" s="69"/>
      <c r="G776" s="2"/>
      <c r="H776" s="2"/>
      <c r="I776" s="69"/>
      <c r="L776" s="64"/>
    </row>
    <row r="777">
      <c r="A777" s="2"/>
      <c r="B777" s="69"/>
      <c r="C777" s="69"/>
      <c r="D777" s="69"/>
      <c r="E777" s="69"/>
      <c r="F777" s="69"/>
      <c r="G777" s="2"/>
      <c r="H777" s="2"/>
      <c r="I777" s="69"/>
      <c r="L777" s="64"/>
    </row>
    <row r="778">
      <c r="A778" s="2"/>
      <c r="B778" s="69"/>
      <c r="C778" s="69"/>
      <c r="D778" s="69"/>
      <c r="E778" s="69"/>
      <c r="F778" s="69"/>
      <c r="G778" s="2"/>
      <c r="H778" s="2"/>
      <c r="I778" s="69"/>
      <c r="L778" s="64"/>
    </row>
    <row r="779">
      <c r="A779" s="2"/>
      <c r="B779" s="69"/>
      <c r="C779" s="69"/>
      <c r="D779" s="69"/>
      <c r="E779" s="69"/>
      <c r="F779" s="69"/>
      <c r="G779" s="2"/>
      <c r="H779" s="2"/>
      <c r="I779" s="69"/>
      <c r="L779" s="64"/>
    </row>
    <row r="780">
      <c r="A780" s="2"/>
      <c r="B780" s="69"/>
      <c r="C780" s="69"/>
      <c r="D780" s="69"/>
      <c r="E780" s="69"/>
      <c r="F780" s="69"/>
      <c r="G780" s="2"/>
      <c r="H780" s="2"/>
      <c r="I780" s="69"/>
      <c r="L780" s="64"/>
    </row>
    <row r="781">
      <c r="A781" s="2"/>
      <c r="B781" s="69"/>
      <c r="C781" s="69"/>
      <c r="D781" s="69"/>
      <c r="E781" s="69"/>
      <c r="F781" s="69"/>
      <c r="G781" s="2"/>
      <c r="H781" s="2"/>
      <c r="I781" s="69"/>
      <c r="L781" s="64"/>
    </row>
    <row r="782">
      <c r="A782" s="2"/>
      <c r="B782" s="69"/>
      <c r="C782" s="69"/>
      <c r="D782" s="69"/>
      <c r="E782" s="69"/>
      <c r="F782" s="69"/>
      <c r="G782" s="2"/>
      <c r="H782" s="2"/>
      <c r="I782" s="69"/>
      <c r="L782" s="64"/>
    </row>
    <row r="783">
      <c r="A783" s="2"/>
      <c r="B783" s="69"/>
      <c r="C783" s="69"/>
      <c r="D783" s="69"/>
      <c r="E783" s="69"/>
      <c r="F783" s="69"/>
      <c r="G783" s="2"/>
      <c r="H783" s="2"/>
      <c r="I783" s="69"/>
      <c r="L783" s="64"/>
    </row>
    <row r="784">
      <c r="A784" s="2"/>
      <c r="B784" s="69"/>
      <c r="C784" s="69"/>
      <c r="D784" s="69"/>
      <c r="E784" s="69"/>
      <c r="F784" s="69"/>
      <c r="G784" s="2"/>
      <c r="H784" s="2"/>
      <c r="I784" s="69"/>
      <c r="L784" s="64"/>
    </row>
    <row r="785">
      <c r="A785" s="2"/>
      <c r="B785" s="69"/>
      <c r="C785" s="69"/>
      <c r="D785" s="69"/>
      <c r="E785" s="69"/>
      <c r="F785" s="69"/>
      <c r="G785" s="2"/>
      <c r="H785" s="2"/>
      <c r="I785" s="69"/>
      <c r="L785" s="64"/>
    </row>
    <row r="786">
      <c r="A786" s="2"/>
      <c r="B786" s="69"/>
      <c r="C786" s="69"/>
      <c r="D786" s="69"/>
      <c r="E786" s="69"/>
      <c r="F786" s="69"/>
      <c r="G786" s="2"/>
      <c r="H786" s="2"/>
      <c r="I786" s="69"/>
      <c r="L786" s="64"/>
    </row>
    <row r="787">
      <c r="A787" s="2"/>
      <c r="B787" s="69"/>
      <c r="C787" s="69"/>
      <c r="D787" s="69"/>
      <c r="E787" s="69"/>
      <c r="F787" s="69"/>
      <c r="G787" s="2"/>
      <c r="H787" s="2"/>
      <c r="I787" s="69"/>
      <c r="L787" s="64"/>
    </row>
    <row r="788">
      <c r="A788" s="2"/>
      <c r="B788" s="69"/>
      <c r="C788" s="69"/>
      <c r="D788" s="69"/>
      <c r="E788" s="69"/>
      <c r="F788" s="69"/>
      <c r="G788" s="2"/>
      <c r="H788" s="2"/>
      <c r="I788" s="69"/>
      <c r="L788" s="64"/>
    </row>
    <row r="789">
      <c r="A789" s="2"/>
      <c r="B789" s="69"/>
      <c r="C789" s="69"/>
      <c r="D789" s="69"/>
      <c r="E789" s="69"/>
      <c r="F789" s="69"/>
      <c r="G789" s="2"/>
      <c r="H789" s="2"/>
      <c r="I789" s="69"/>
      <c r="L789" s="64"/>
    </row>
    <row r="790">
      <c r="A790" s="2"/>
      <c r="B790" s="69"/>
      <c r="C790" s="69"/>
      <c r="D790" s="69"/>
      <c r="E790" s="69"/>
      <c r="F790" s="69"/>
      <c r="G790" s="2"/>
      <c r="H790" s="2"/>
      <c r="I790" s="69"/>
      <c r="L790" s="64"/>
    </row>
    <row r="791">
      <c r="A791" s="2"/>
      <c r="B791" s="69"/>
      <c r="C791" s="69"/>
      <c r="D791" s="69"/>
      <c r="E791" s="69"/>
      <c r="F791" s="69"/>
      <c r="G791" s="2"/>
      <c r="H791" s="2"/>
      <c r="I791" s="69"/>
      <c r="L791" s="64"/>
    </row>
    <row r="792">
      <c r="A792" s="2"/>
      <c r="B792" s="69"/>
      <c r="C792" s="69"/>
      <c r="D792" s="69"/>
      <c r="E792" s="69"/>
      <c r="F792" s="69"/>
      <c r="G792" s="2"/>
      <c r="H792" s="2"/>
      <c r="I792" s="69"/>
      <c r="L792" s="64"/>
    </row>
    <row r="793">
      <c r="A793" s="2"/>
      <c r="B793" s="69"/>
      <c r="C793" s="69"/>
      <c r="D793" s="69"/>
      <c r="E793" s="69"/>
      <c r="F793" s="69"/>
      <c r="G793" s="2"/>
      <c r="H793" s="2"/>
      <c r="I793" s="69"/>
      <c r="L793" s="64"/>
    </row>
    <row r="794">
      <c r="A794" s="2"/>
      <c r="B794" s="69"/>
      <c r="C794" s="69"/>
      <c r="D794" s="69"/>
      <c r="E794" s="69"/>
      <c r="F794" s="69"/>
      <c r="G794" s="2"/>
      <c r="H794" s="2"/>
      <c r="I794" s="69"/>
      <c r="L794" s="64"/>
    </row>
    <row r="795">
      <c r="A795" s="2"/>
      <c r="B795" s="69"/>
      <c r="C795" s="69"/>
      <c r="D795" s="69"/>
      <c r="E795" s="69"/>
      <c r="F795" s="69"/>
      <c r="G795" s="2"/>
      <c r="H795" s="2"/>
      <c r="I795" s="69"/>
      <c r="L795" s="64"/>
    </row>
    <row r="796">
      <c r="A796" s="2"/>
      <c r="B796" s="69"/>
      <c r="C796" s="69"/>
      <c r="D796" s="69"/>
      <c r="E796" s="69"/>
      <c r="F796" s="69"/>
      <c r="G796" s="2"/>
      <c r="H796" s="2"/>
      <c r="I796" s="69"/>
      <c r="L796" s="64"/>
    </row>
    <row r="797">
      <c r="A797" s="2"/>
      <c r="B797" s="69"/>
      <c r="C797" s="69"/>
      <c r="D797" s="69"/>
      <c r="E797" s="69"/>
      <c r="F797" s="69"/>
      <c r="G797" s="2"/>
      <c r="H797" s="2"/>
      <c r="I797" s="69"/>
      <c r="L797" s="64"/>
    </row>
    <row r="798">
      <c r="A798" s="2"/>
      <c r="B798" s="69"/>
      <c r="C798" s="69"/>
      <c r="D798" s="69"/>
      <c r="E798" s="69"/>
      <c r="F798" s="69"/>
      <c r="G798" s="2"/>
      <c r="H798" s="2"/>
      <c r="I798" s="69"/>
      <c r="L798" s="64"/>
    </row>
    <row r="799">
      <c r="A799" s="2"/>
      <c r="B799" s="69"/>
      <c r="C799" s="69"/>
      <c r="D799" s="69"/>
      <c r="E799" s="69"/>
      <c r="F799" s="69"/>
      <c r="G799" s="2"/>
      <c r="H799" s="2"/>
      <c r="I799" s="69"/>
      <c r="L799" s="64"/>
    </row>
    <row r="800">
      <c r="A800" s="2"/>
      <c r="B800" s="69"/>
      <c r="C800" s="69"/>
      <c r="D800" s="69"/>
      <c r="E800" s="69"/>
      <c r="F800" s="69"/>
      <c r="G800" s="2"/>
      <c r="H800" s="2"/>
      <c r="I800" s="69"/>
      <c r="L800" s="64"/>
    </row>
    <row r="801">
      <c r="A801" s="2"/>
      <c r="B801" s="69"/>
      <c r="C801" s="69"/>
      <c r="D801" s="69"/>
      <c r="E801" s="69"/>
      <c r="F801" s="69"/>
      <c r="G801" s="2"/>
      <c r="H801" s="2"/>
      <c r="I801" s="69"/>
      <c r="L801" s="64"/>
    </row>
    <row r="802">
      <c r="A802" s="2"/>
      <c r="B802" s="69"/>
      <c r="C802" s="69"/>
      <c r="D802" s="69"/>
      <c r="E802" s="69"/>
      <c r="F802" s="69"/>
      <c r="G802" s="2"/>
      <c r="H802" s="2"/>
      <c r="I802" s="69"/>
      <c r="L802" s="64"/>
    </row>
    <row r="803">
      <c r="A803" s="2"/>
      <c r="B803" s="69"/>
      <c r="C803" s="69"/>
      <c r="D803" s="69"/>
      <c r="E803" s="69"/>
      <c r="F803" s="69"/>
      <c r="G803" s="2"/>
      <c r="H803" s="2"/>
      <c r="I803" s="69"/>
      <c r="L803" s="64"/>
    </row>
    <row r="804">
      <c r="A804" s="2"/>
      <c r="B804" s="69"/>
      <c r="C804" s="69"/>
      <c r="D804" s="69"/>
      <c r="E804" s="69"/>
      <c r="F804" s="69"/>
      <c r="G804" s="2"/>
      <c r="H804" s="2"/>
      <c r="I804" s="69"/>
      <c r="L804" s="64"/>
    </row>
    <row r="805">
      <c r="A805" s="2"/>
      <c r="B805" s="69"/>
      <c r="C805" s="69"/>
      <c r="D805" s="69"/>
      <c r="E805" s="69"/>
      <c r="F805" s="69"/>
      <c r="G805" s="2"/>
      <c r="H805" s="2"/>
      <c r="I805" s="69"/>
      <c r="L805" s="64"/>
    </row>
    <row r="806">
      <c r="A806" s="2"/>
      <c r="B806" s="69"/>
      <c r="C806" s="69"/>
      <c r="D806" s="69"/>
      <c r="E806" s="69"/>
      <c r="F806" s="69"/>
      <c r="G806" s="2"/>
      <c r="H806" s="2"/>
      <c r="I806" s="69"/>
      <c r="L806" s="64"/>
    </row>
    <row r="807">
      <c r="A807" s="2"/>
      <c r="B807" s="69"/>
      <c r="C807" s="69"/>
      <c r="D807" s="69"/>
      <c r="E807" s="69"/>
      <c r="F807" s="69"/>
      <c r="G807" s="2"/>
      <c r="H807" s="2"/>
      <c r="I807" s="69"/>
      <c r="L807" s="64"/>
    </row>
    <row r="808">
      <c r="A808" s="2"/>
      <c r="B808" s="69"/>
      <c r="C808" s="69"/>
      <c r="D808" s="69"/>
      <c r="E808" s="69"/>
      <c r="F808" s="69"/>
      <c r="G808" s="2"/>
      <c r="H808" s="2"/>
      <c r="I808" s="69"/>
      <c r="L808" s="64"/>
    </row>
    <row r="809">
      <c r="A809" s="2"/>
      <c r="B809" s="69"/>
      <c r="C809" s="69"/>
      <c r="D809" s="69"/>
      <c r="E809" s="69"/>
      <c r="F809" s="69"/>
      <c r="G809" s="2"/>
      <c r="H809" s="2"/>
      <c r="I809" s="69"/>
      <c r="L809" s="64"/>
    </row>
    <row r="810">
      <c r="A810" s="2"/>
      <c r="B810" s="69"/>
      <c r="C810" s="69"/>
      <c r="D810" s="69"/>
      <c r="E810" s="69"/>
      <c r="F810" s="69"/>
      <c r="G810" s="2"/>
      <c r="H810" s="2"/>
      <c r="I810" s="69"/>
      <c r="L810" s="64"/>
    </row>
    <row r="811">
      <c r="A811" s="2"/>
      <c r="B811" s="69"/>
      <c r="C811" s="69"/>
      <c r="D811" s="69"/>
      <c r="E811" s="69"/>
      <c r="F811" s="69"/>
      <c r="G811" s="2"/>
      <c r="H811" s="2"/>
      <c r="I811" s="69"/>
      <c r="L811" s="64"/>
    </row>
    <row r="812">
      <c r="A812" s="2"/>
      <c r="B812" s="69"/>
      <c r="C812" s="69"/>
      <c r="D812" s="69"/>
      <c r="E812" s="69"/>
      <c r="F812" s="69"/>
      <c r="G812" s="2"/>
      <c r="H812" s="2"/>
      <c r="I812" s="69"/>
      <c r="L812" s="64"/>
    </row>
    <row r="813">
      <c r="A813" s="2"/>
      <c r="B813" s="69"/>
      <c r="C813" s="69"/>
      <c r="D813" s="69"/>
      <c r="E813" s="69"/>
      <c r="F813" s="69"/>
      <c r="G813" s="2"/>
      <c r="H813" s="2"/>
      <c r="I813" s="69"/>
      <c r="L813" s="64"/>
    </row>
    <row r="814">
      <c r="A814" s="2"/>
      <c r="B814" s="69"/>
      <c r="C814" s="69"/>
      <c r="D814" s="69"/>
      <c r="E814" s="69"/>
      <c r="F814" s="69"/>
      <c r="G814" s="2"/>
      <c r="H814" s="2"/>
      <c r="I814" s="69"/>
      <c r="L814" s="64"/>
    </row>
    <row r="815">
      <c r="A815" s="2"/>
      <c r="B815" s="69"/>
      <c r="C815" s="69"/>
      <c r="D815" s="69"/>
      <c r="E815" s="69"/>
      <c r="F815" s="69"/>
      <c r="G815" s="2"/>
      <c r="H815" s="2"/>
      <c r="I815" s="69"/>
      <c r="L815" s="64"/>
    </row>
    <row r="816">
      <c r="A816" s="2"/>
      <c r="B816" s="69"/>
      <c r="C816" s="69"/>
      <c r="D816" s="69"/>
      <c r="E816" s="69"/>
      <c r="F816" s="69"/>
      <c r="G816" s="2"/>
      <c r="H816" s="2"/>
      <c r="I816" s="69"/>
      <c r="L816" s="64"/>
    </row>
    <row r="817">
      <c r="A817" s="2"/>
      <c r="B817" s="69"/>
      <c r="C817" s="69"/>
      <c r="D817" s="69"/>
      <c r="E817" s="69"/>
      <c r="F817" s="69"/>
      <c r="G817" s="2"/>
      <c r="H817" s="2"/>
      <c r="I817" s="69"/>
      <c r="L817" s="64"/>
    </row>
    <row r="818">
      <c r="A818" s="2"/>
      <c r="B818" s="69"/>
      <c r="C818" s="69"/>
      <c r="D818" s="69"/>
      <c r="E818" s="69"/>
      <c r="F818" s="69"/>
      <c r="G818" s="2"/>
      <c r="H818" s="2"/>
      <c r="I818" s="69"/>
      <c r="L818" s="64"/>
    </row>
    <row r="819">
      <c r="A819" s="2"/>
      <c r="B819" s="69"/>
      <c r="C819" s="69"/>
      <c r="D819" s="69"/>
      <c r="E819" s="69"/>
      <c r="F819" s="69"/>
      <c r="G819" s="2"/>
      <c r="H819" s="2"/>
      <c r="I819" s="69"/>
      <c r="L819" s="64"/>
    </row>
    <row r="820">
      <c r="A820" s="2"/>
      <c r="B820" s="69"/>
      <c r="C820" s="69"/>
      <c r="D820" s="69"/>
      <c r="E820" s="69"/>
      <c r="F820" s="69"/>
      <c r="G820" s="2"/>
      <c r="H820" s="2"/>
      <c r="I820" s="69"/>
      <c r="L820" s="64"/>
    </row>
    <row r="821">
      <c r="A821" s="2"/>
      <c r="B821" s="69"/>
      <c r="C821" s="69"/>
      <c r="D821" s="69"/>
      <c r="E821" s="69"/>
      <c r="F821" s="69"/>
      <c r="G821" s="2"/>
      <c r="H821" s="2"/>
      <c r="I821" s="69"/>
      <c r="L821" s="64"/>
    </row>
    <row r="822">
      <c r="A822" s="2"/>
      <c r="B822" s="69"/>
      <c r="C822" s="69"/>
      <c r="D822" s="69"/>
      <c r="E822" s="69"/>
      <c r="F822" s="69"/>
      <c r="G822" s="2"/>
      <c r="H822" s="2"/>
      <c r="I822" s="69"/>
      <c r="L822" s="64"/>
    </row>
    <row r="823">
      <c r="A823" s="2"/>
      <c r="B823" s="69"/>
      <c r="C823" s="69"/>
      <c r="D823" s="69"/>
      <c r="E823" s="69"/>
      <c r="F823" s="69"/>
      <c r="G823" s="2"/>
      <c r="H823" s="2"/>
      <c r="I823" s="69"/>
      <c r="L823" s="64"/>
    </row>
    <row r="824">
      <c r="A824" s="2"/>
      <c r="B824" s="69"/>
      <c r="C824" s="69"/>
      <c r="D824" s="69"/>
      <c r="E824" s="69"/>
      <c r="F824" s="69"/>
      <c r="G824" s="2"/>
      <c r="H824" s="2"/>
      <c r="I824" s="69"/>
      <c r="L824" s="64"/>
    </row>
    <row r="825">
      <c r="A825" s="2"/>
      <c r="B825" s="69"/>
      <c r="C825" s="69"/>
      <c r="D825" s="69"/>
      <c r="E825" s="69"/>
      <c r="F825" s="69"/>
      <c r="G825" s="2"/>
      <c r="H825" s="2"/>
      <c r="I825" s="69"/>
      <c r="L825" s="64"/>
    </row>
    <row r="826">
      <c r="A826" s="2"/>
      <c r="B826" s="69"/>
      <c r="C826" s="69"/>
      <c r="D826" s="69"/>
      <c r="E826" s="69"/>
      <c r="F826" s="69"/>
      <c r="G826" s="2"/>
      <c r="H826" s="2"/>
      <c r="I826" s="69"/>
      <c r="L826" s="64"/>
    </row>
    <row r="827">
      <c r="A827" s="2"/>
      <c r="B827" s="69"/>
      <c r="C827" s="69"/>
      <c r="D827" s="69"/>
      <c r="E827" s="69"/>
      <c r="F827" s="69"/>
      <c r="G827" s="2"/>
      <c r="H827" s="2"/>
      <c r="I827" s="69"/>
      <c r="L827" s="64"/>
    </row>
    <row r="828">
      <c r="A828" s="2"/>
      <c r="B828" s="69"/>
      <c r="C828" s="69"/>
      <c r="D828" s="69"/>
      <c r="E828" s="69"/>
      <c r="F828" s="69"/>
      <c r="G828" s="2"/>
      <c r="H828" s="2"/>
      <c r="I828" s="69"/>
      <c r="L828" s="64"/>
    </row>
    <row r="829">
      <c r="A829" s="2"/>
      <c r="B829" s="69"/>
      <c r="C829" s="69"/>
      <c r="D829" s="69"/>
      <c r="E829" s="69"/>
      <c r="F829" s="69"/>
      <c r="G829" s="2"/>
      <c r="H829" s="2"/>
      <c r="I829" s="69"/>
      <c r="L829" s="64"/>
    </row>
    <row r="830">
      <c r="A830" s="2"/>
      <c r="B830" s="69"/>
      <c r="C830" s="69"/>
      <c r="D830" s="69"/>
      <c r="E830" s="69"/>
      <c r="F830" s="69"/>
      <c r="G830" s="2"/>
      <c r="H830" s="2"/>
      <c r="I830" s="69"/>
      <c r="L830" s="64"/>
    </row>
    <row r="831">
      <c r="A831" s="2"/>
      <c r="B831" s="69"/>
      <c r="C831" s="69"/>
      <c r="D831" s="69"/>
      <c r="E831" s="69"/>
      <c r="F831" s="69"/>
      <c r="G831" s="2"/>
      <c r="H831" s="2"/>
      <c r="I831" s="69"/>
      <c r="L831" s="64"/>
    </row>
    <row r="832">
      <c r="A832" s="2"/>
      <c r="B832" s="69"/>
      <c r="C832" s="69"/>
      <c r="D832" s="69"/>
      <c r="E832" s="69"/>
      <c r="F832" s="69"/>
      <c r="G832" s="2"/>
      <c r="H832" s="2"/>
      <c r="I832" s="69"/>
      <c r="L832" s="64"/>
    </row>
    <row r="833">
      <c r="A833" s="2"/>
      <c r="B833" s="69"/>
      <c r="C833" s="69"/>
      <c r="D833" s="69"/>
      <c r="E833" s="69"/>
      <c r="F833" s="69"/>
      <c r="G833" s="2"/>
      <c r="H833" s="2"/>
      <c r="I833" s="69"/>
      <c r="L833" s="64"/>
    </row>
    <row r="834">
      <c r="A834" s="2"/>
      <c r="B834" s="69"/>
      <c r="C834" s="69"/>
      <c r="D834" s="69"/>
      <c r="E834" s="69"/>
      <c r="F834" s="69"/>
      <c r="G834" s="2"/>
      <c r="H834" s="2"/>
      <c r="I834" s="69"/>
      <c r="L834" s="64"/>
    </row>
    <row r="835">
      <c r="A835" s="2"/>
      <c r="B835" s="69"/>
      <c r="C835" s="69"/>
      <c r="D835" s="69"/>
      <c r="E835" s="69"/>
      <c r="F835" s="69"/>
      <c r="G835" s="2"/>
      <c r="H835" s="2"/>
      <c r="I835" s="69"/>
      <c r="L835" s="64"/>
    </row>
    <row r="836">
      <c r="A836" s="2"/>
      <c r="B836" s="69"/>
      <c r="C836" s="69"/>
      <c r="D836" s="69"/>
      <c r="E836" s="69"/>
      <c r="F836" s="69"/>
      <c r="G836" s="2"/>
      <c r="H836" s="2"/>
      <c r="I836" s="69"/>
      <c r="L836" s="64"/>
    </row>
    <row r="837">
      <c r="A837" s="2"/>
      <c r="B837" s="69"/>
      <c r="C837" s="69"/>
      <c r="D837" s="69"/>
      <c r="E837" s="69"/>
      <c r="F837" s="69"/>
      <c r="G837" s="2"/>
      <c r="H837" s="2"/>
      <c r="I837" s="69"/>
      <c r="L837" s="64"/>
    </row>
    <row r="838">
      <c r="A838" s="2"/>
      <c r="B838" s="69"/>
      <c r="C838" s="69"/>
      <c r="D838" s="69"/>
      <c r="E838" s="69"/>
      <c r="F838" s="69"/>
      <c r="G838" s="2"/>
      <c r="H838" s="2"/>
      <c r="I838" s="69"/>
      <c r="L838" s="64"/>
    </row>
    <row r="839">
      <c r="A839" s="2"/>
      <c r="B839" s="69"/>
      <c r="C839" s="69"/>
      <c r="D839" s="69"/>
      <c r="E839" s="69"/>
      <c r="F839" s="69"/>
      <c r="G839" s="2"/>
      <c r="H839" s="2"/>
      <c r="I839" s="69"/>
      <c r="L839" s="64"/>
    </row>
    <row r="840">
      <c r="A840" s="2"/>
      <c r="B840" s="69"/>
      <c r="C840" s="69"/>
      <c r="D840" s="69"/>
      <c r="E840" s="69"/>
      <c r="F840" s="69"/>
      <c r="G840" s="2"/>
      <c r="H840" s="2"/>
      <c r="I840" s="69"/>
      <c r="L840" s="64"/>
    </row>
    <row r="841">
      <c r="A841" s="2"/>
      <c r="B841" s="69"/>
      <c r="C841" s="69"/>
      <c r="D841" s="69"/>
      <c r="E841" s="69"/>
      <c r="F841" s="69"/>
      <c r="G841" s="2"/>
      <c r="H841" s="2"/>
      <c r="I841" s="69"/>
      <c r="L841" s="64"/>
    </row>
    <row r="842">
      <c r="A842" s="2"/>
      <c r="B842" s="69"/>
      <c r="C842" s="69"/>
      <c r="D842" s="69"/>
      <c r="E842" s="69"/>
      <c r="F842" s="69"/>
      <c r="G842" s="2"/>
      <c r="H842" s="2"/>
      <c r="I842" s="69"/>
      <c r="L842" s="64"/>
    </row>
    <row r="843">
      <c r="A843" s="2"/>
      <c r="B843" s="69"/>
      <c r="C843" s="69"/>
      <c r="D843" s="69"/>
      <c r="E843" s="69"/>
      <c r="F843" s="69"/>
      <c r="G843" s="2"/>
      <c r="H843" s="2"/>
      <c r="I843" s="69"/>
      <c r="L843" s="64"/>
    </row>
    <row r="844">
      <c r="A844" s="2"/>
      <c r="B844" s="69"/>
      <c r="C844" s="69"/>
      <c r="D844" s="69"/>
      <c r="E844" s="69"/>
      <c r="F844" s="69"/>
      <c r="G844" s="2"/>
      <c r="H844" s="2"/>
      <c r="I844" s="69"/>
      <c r="L844" s="64"/>
    </row>
    <row r="845">
      <c r="A845" s="2"/>
      <c r="B845" s="69"/>
      <c r="C845" s="69"/>
      <c r="D845" s="69"/>
      <c r="E845" s="69"/>
      <c r="F845" s="69"/>
      <c r="G845" s="2"/>
      <c r="H845" s="2"/>
      <c r="I845" s="69"/>
      <c r="L845" s="64"/>
    </row>
    <row r="846">
      <c r="A846" s="2"/>
      <c r="B846" s="69"/>
      <c r="C846" s="69"/>
      <c r="D846" s="69"/>
      <c r="E846" s="69"/>
      <c r="F846" s="69"/>
      <c r="G846" s="2"/>
      <c r="H846" s="2"/>
      <c r="I846" s="69"/>
      <c r="L846" s="64"/>
    </row>
    <row r="847">
      <c r="A847" s="2"/>
      <c r="B847" s="69"/>
      <c r="C847" s="69"/>
      <c r="D847" s="69"/>
      <c r="E847" s="69"/>
      <c r="F847" s="69"/>
      <c r="G847" s="2"/>
      <c r="H847" s="2"/>
      <c r="I847" s="69"/>
      <c r="L847" s="64"/>
    </row>
    <row r="848">
      <c r="A848" s="2"/>
      <c r="B848" s="69"/>
      <c r="C848" s="69"/>
      <c r="D848" s="69"/>
      <c r="E848" s="69"/>
      <c r="F848" s="69"/>
      <c r="G848" s="2"/>
      <c r="H848" s="2"/>
      <c r="I848" s="69"/>
      <c r="L848" s="64"/>
    </row>
    <row r="849">
      <c r="A849" s="2"/>
      <c r="B849" s="69"/>
      <c r="C849" s="69"/>
      <c r="D849" s="69"/>
      <c r="E849" s="69"/>
      <c r="F849" s="69"/>
      <c r="G849" s="2"/>
      <c r="H849" s="2"/>
      <c r="I849" s="69"/>
      <c r="L849" s="64"/>
    </row>
    <row r="850">
      <c r="A850" s="2"/>
      <c r="B850" s="69"/>
      <c r="C850" s="69"/>
      <c r="D850" s="69"/>
      <c r="E850" s="69"/>
      <c r="F850" s="69"/>
      <c r="G850" s="2"/>
      <c r="H850" s="2"/>
      <c r="I850" s="69"/>
      <c r="L850" s="64"/>
    </row>
    <row r="851">
      <c r="A851" s="2"/>
      <c r="B851" s="69"/>
      <c r="C851" s="69"/>
      <c r="D851" s="69"/>
      <c r="E851" s="69"/>
      <c r="F851" s="69"/>
      <c r="G851" s="2"/>
      <c r="H851" s="2"/>
      <c r="I851" s="69"/>
      <c r="L851" s="64"/>
    </row>
    <row r="852">
      <c r="A852" s="2"/>
      <c r="B852" s="69"/>
      <c r="C852" s="69"/>
      <c r="D852" s="69"/>
      <c r="E852" s="69"/>
      <c r="F852" s="69"/>
      <c r="G852" s="2"/>
      <c r="H852" s="2"/>
      <c r="I852" s="69"/>
      <c r="L852" s="64"/>
    </row>
    <row r="853">
      <c r="A853" s="2"/>
      <c r="B853" s="69"/>
      <c r="C853" s="69"/>
      <c r="D853" s="69"/>
      <c r="E853" s="69"/>
      <c r="F853" s="69"/>
      <c r="G853" s="2"/>
      <c r="H853" s="2"/>
      <c r="I853" s="69"/>
      <c r="L853" s="64"/>
    </row>
    <row r="854">
      <c r="A854" s="2"/>
      <c r="B854" s="69"/>
      <c r="C854" s="69"/>
      <c r="D854" s="69"/>
      <c r="E854" s="69"/>
      <c r="F854" s="69"/>
      <c r="G854" s="2"/>
      <c r="H854" s="2"/>
      <c r="I854" s="69"/>
      <c r="L854" s="64"/>
    </row>
    <row r="855">
      <c r="A855" s="2"/>
      <c r="B855" s="69"/>
      <c r="C855" s="69"/>
      <c r="D855" s="69"/>
      <c r="E855" s="69"/>
      <c r="F855" s="69"/>
      <c r="G855" s="2"/>
      <c r="H855" s="2"/>
      <c r="I855" s="69"/>
      <c r="L855" s="64"/>
    </row>
    <row r="856">
      <c r="A856" s="2"/>
      <c r="B856" s="69"/>
      <c r="C856" s="69"/>
      <c r="D856" s="69"/>
      <c r="E856" s="69"/>
      <c r="F856" s="69"/>
      <c r="G856" s="2"/>
      <c r="H856" s="2"/>
      <c r="I856" s="69"/>
      <c r="L856" s="64"/>
    </row>
    <row r="857">
      <c r="A857" s="2"/>
      <c r="B857" s="69"/>
      <c r="C857" s="69"/>
      <c r="D857" s="69"/>
      <c r="E857" s="69"/>
      <c r="F857" s="69"/>
      <c r="G857" s="2"/>
      <c r="H857" s="2"/>
      <c r="I857" s="69"/>
      <c r="L857" s="64"/>
    </row>
    <row r="858">
      <c r="A858" s="2"/>
      <c r="B858" s="69"/>
      <c r="C858" s="69"/>
      <c r="D858" s="69"/>
      <c r="E858" s="69"/>
      <c r="F858" s="69"/>
      <c r="G858" s="2"/>
      <c r="H858" s="2"/>
      <c r="I858" s="69"/>
      <c r="L858" s="64"/>
    </row>
    <row r="859">
      <c r="A859" s="2"/>
      <c r="B859" s="69"/>
      <c r="C859" s="69"/>
      <c r="D859" s="69"/>
      <c r="E859" s="69"/>
      <c r="F859" s="69"/>
      <c r="G859" s="2"/>
      <c r="H859" s="2"/>
      <c r="I859" s="69"/>
      <c r="L859" s="64"/>
    </row>
    <row r="860">
      <c r="A860" s="2"/>
      <c r="B860" s="69"/>
      <c r="C860" s="69"/>
      <c r="D860" s="69"/>
      <c r="E860" s="69"/>
      <c r="F860" s="69"/>
      <c r="G860" s="2"/>
      <c r="H860" s="2"/>
      <c r="I860" s="69"/>
      <c r="L860" s="64"/>
    </row>
    <row r="861">
      <c r="A861" s="2"/>
      <c r="B861" s="69"/>
      <c r="C861" s="69"/>
      <c r="D861" s="69"/>
      <c r="E861" s="69"/>
      <c r="F861" s="69"/>
      <c r="G861" s="2"/>
      <c r="H861" s="2"/>
      <c r="I861" s="69"/>
      <c r="L861" s="64"/>
    </row>
    <row r="862">
      <c r="A862" s="2"/>
      <c r="B862" s="69"/>
      <c r="C862" s="69"/>
      <c r="D862" s="69"/>
      <c r="E862" s="69"/>
      <c r="F862" s="69"/>
      <c r="G862" s="2"/>
      <c r="H862" s="2"/>
      <c r="I862" s="69"/>
      <c r="L862" s="64"/>
    </row>
    <row r="863">
      <c r="A863" s="2"/>
      <c r="B863" s="69"/>
      <c r="C863" s="69"/>
      <c r="D863" s="69"/>
      <c r="E863" s="69"/>
      <c r="F863" s="69"/>
      <c r="G863" s="2"/>
      <c r="H863" s="2"/>
      <c r="I863" s="69"/>
      <c r="L863" s="64"/>
    </row>
    <row r="864">
      <c r="A864" s="2"/>
      <c r="B864" s="69"/>
      <c r="C864" s="69"/>
      <c r="D864" s="69"/>
      <c r="E864" s="69"/>
      <c r="F864" s="69"/>
      <c r="G864" s="2"/>
      <c r="H864" s="2"/>
      <c r="I864" s="69"/>
      <c r="L864" s="64"/>
    </row>
    <row r="865">
      <c r="A865" s="2"/>
      <c r="B865" s="69"/>
      <c r="C865" s="69"/>
      <c r="D865" s="69"/>
      <c r="E865" s="69"/>
      <c r="F865" s="69"/>
      <c r="G865" s="2"/>
      <c r="H865" s="2"/>
      <c r="I865" s="69"/>
      <c r="L865" s="64"/>
    </row>
    <row r="866">
      <c r="A866" s="2"/>
      <c r="B866" s="69"/>
      <c r="C866" s="69"/>
      <c r="D866" s="69"/>
      <c r="E866" s="69"/>
      <c r="F866" s="69"/>
      <c r="G866" s="2"/>
      <c r="H866" s="2"/>
      <c r="I866" s="69"/>
      <c r="L866" s="64"/>
    </row>
    <row r="867">
      <c r="A867" s="2"/>
      <c r="B867" s="69"/>
      <c r="C867" s="69"/>
      <c r="D867" s="69"/>
      <c r="E867" s="69"/>
      <c r="F867" s="69"/>
      <c r="G867" s="2"/>
      <c r="H867" s="2"/>
      <c r="I867" s="69"/>
      <c r="L867" s="64"/>
    </row>
    <row r="868">
      <c r="A868" s="2"/>
      <c r="B868" s="69"/>
      <c r="C868" s="69"/>
      <c r="D868" s="69"/>
      <c r="E868" s="69"/>
      <c r="F868" s="69"/>
      <c r="G868" s="2"/>
      <c r="H868" s="2"/>
      <c r="I868" s="69"/>
      <c r="L868" s="64"/>
    </row>
    <row r="869">
      <c r="A869" s="2"/>
      <c r="B869" s="69"/>
      <c r="C869" s="69"/>
      <c r="D869" s="69"/>
      <c r="E869" s="69"/>
      <c r="F869" s="69"/>
      <c r="G869" s="2"/>
      <c r="H869" s="2"/>
      <c r="I869" s="69"/>
      <c r="L869" s="64"/>
    </row>
    <row r="870">
      <c r="A870" s="2"/>
      <c r="B870" s="69"/>
      <c r="C870" s="69"/>
      <c r="D870" s="69"/>
      <c r="E870" s="69"/>
      <c r="F870" s="69"/>
      <c r="G870" s="2"/>
      <c r="H870" s="2"/>
      <c r="I870" s="69"/>
      <c r="L870" s="64"/>
    </row>
    <row r="871">
      <c r="A871" s="2"/>
      <c r="B871" s="69"/>
      <c r="C871" s="69"/>
      <c r="D871" s="69"/>
      <c r="E871" s="69"/>
      <c r="F871" s="69"/>
      <c r="G871" s="2"/>
      <c r="H871" s="2"/>
      <c r="I871" s="69"/>
      <c r="L871" s="64"/>
    </row>
    <row r="872">
      <c r="A872" s="2"/>
      <c r="B872" s="69"/>
      <c r="C872" s="69"/>
      <c r="D872" s="69"/>
      <c r="E872" s="69"/>
      <c r="F872" s="69"/>
      <c r="G872" s="2"/>
      <c r="H872" s="2"/>
      <c r="I872" s="69"/>
      <c r="L872" s="64"/>
    </row>
    <row r="873">
      <c r="A873" s="2"/>
      <c r="B873" s="69"/>
      <c r="C873" s="69"/>
      <c r="D873" s="69"/>
      <c r="E873" s="69"/>
      <c r="F873" s="69"/>
      <c r="G873" s="2"/>
      <c r="H873" s="2"/>
      <c r="I873" s="69"/>
      <c r="L873" s="64"/>
    </row>
    <row r="874">
      <c r="A874" s="2"/>
      <c r="B874" s="69"/>
      <c r="C874" s="69"/>
      <c r="D874" s="69"/>
      <c r="E874" s="69"/>
      <c r="F874" s="69"/>
      <c r="G874" s="2"/>
      <c r="H874" s="2"/>
      <c r="I874" s="69"/>
      <c r="L874" s="64"/>
    </row>
    <row r="875">
      <c r="A875" s="2"/>
      <c r="B875" s="69"/>
      <c r="C875" s="69"/>
      <c r="D875" s="69"/>
      <c r="E875" s="69"/>
      <c r="F875" s="69"/>
      <c r="G875" s="2"/>
      <c r="H875" s="2"/>
      <c r="I875" s="69"/>
      <c r="L875" s="64"/>
    </row>
    <row r="876">
      <c r="A876" s="2"/>
      <c r="B876" s="69"/>
      <c r="C876" s="69"/>
      <c r="D876" s="69"/>
      <c r="E876" s="69"/>
      <c r="F876" s="69"/>
      <c r="G876" s="2"/>
      <c r="H876" s="2"/>
      <c r="I876" s="69"/>
      <c r="L876" s="64"/>
    </row>
    <row r="877">
      <c r="A877" s="2"/>
      <c r="B877" s="69"/>
      <c r="C877" s="69"/>
      <c r="D877" s="69"/>
      <c r="E877" s="69"/>
      <c r="F877" s="69"/>
      <c r="G877" s="2"/>
      <c r="H877" s="2"/>
      <c r="I877" s="69"/>
      <c r="L877" s="64"/>
    </row>
    <row r="878">
      <c r="A878" s="2"/>
      <c r="B878" s="69"/>
      <c r="C878" s="69"/>
      <c r="D878" s="69"/>
      <c r="E878" s="69"/>
      <c r="F878" s="69"/>
      <c r="G878" s="2"/>
      <c r="H878" s="2"/>
      <c r="I878" s="69"/>
      <c r="L878" s="64"/>
    </row>
    <row r="879">
      <c r="A879" s="2"/>
      <c r="B879" s="69"/>
      <c r="C879" s="69"/>
      <c r="D879" s="69"/>
      <c r="E879" s="69"/>
      <c r="F879" s="69"/>
      <c r="G879" s="2"/>
      <c r="H879" s="2"/>
      <c r="I879" s="69"/>
      <c r="L879" s="64"/>
    </row>
    <row r="880">
      <c r="A880" s="2"/>
      <c r="B880" s="69"/>
      <c r="C880" s="69"/>
      <c r="D880" s="69"/>
      <c r="E880" s="69"/>
      <c r="F880" s="69"/>
      <c r="G880" s="2"/>
      <c r="H880" s="2"/>
      <c r="I880" s="69"/>
      <c r="L880" s="64"/>
    </row>
    <row r="881">
      <c r="A881" s="2"/>
      <c r="B881" s="69"/>
      <c r="C881" s="69"/>
      <c r="D881" s="69"/>
      <c r="E881" s="69"/>
      <c r="F881" s="69"/>
      <c r="G881" s="2"/>
      <c r="H881" s="2"/>
      <c r="I881" s="69"/>
      <c r="L881" s="64"/>
    </row>
    <row r="882">
      <c r="A882" s="2"/>
      <c r="B882" s="69"/>
      <c r="C882" s="69"/>
      <c r="D882" s="69"/>
      <c r="E882" s="69"/>
      <c r="F882" s="69"/>
      <c r="G882" s="2"/>
      <c r="H882" s="2"/>
      <c r="I882" s="69"/>
      <c r="L882" s="64"/>
    </row>
    <row r="883">
      <c r="A883" s="2"/>
      <c r="B883" s="69"/>
      <c r="C883" s="69"/>
      <c r="D883" s="69"/>
      <c r="E883" s="69"/>
      <c r="F883" s="69"/>
      <c r="G883" s="2"/>
      <c r="H883" s="2"/>
      <c r="I883" s="69"/>
      <c r="L883" s="64"/>
    </row>
    <row r="884">
      <c r="A884" s="2"/>
      <c r="B884" s="69"/>
      <c r="C884" s="69"/>
      <c r="D884" s="69"/>
      <c r="E884" s="69"/>
      <c r="F884" s="69"/>
      <c r="G884" s="2"/>
      <c r="H884" s="2"/>
      <c r="I884" s="69"/>
      <c r="L884" s="64"/>
    </row>
    <row r="885">
      <c r="A885" s="2"/>
      <c r="B885" s="69"/>
      <c r="C885" s="69"/>
      <c r="D885" s="69"/>
      <c r="E885" s="69"/>
      <c r="F885" s="69"/>
      <c r="G885" s="2"/>
      <c r="H885" s="2"/>
      <c r="I885" s="69"/>
      <c r="L885" s="64"/>
    </row>
    <row r="886">
      <c r="A886" s="2"/>
      <c r="B886" s="69"/>
      <c r="C886" s="69"/>
      <c r="D886" s="69"/>
      <c r="E886" s="69"/>
      <c r="F886" s="69"/>
      <c r="G886" s="2"/>
      <c r="H886" s="2"/>
      <c r="I886" s="69"/>
      <c r="L886" s="64"/>
    </row>
    <row r="887">
      <c r="A887" s="2"/>
      <c r="B887" s="69"/>
      <c r="C887" s="69"/>
      <c r="D887" s="69"/>
      <c r="E887" s="69"/>
      <c r="F887" s="69"/>
      <c r="G887" s="2"/>
      <c r="H887" s="2"/>
      <c r="I887" s="69"/>
      <c r="L887" s="64"/>
    </row>
    <row r="888">
      <c r="A888" s="2"/>
      <c r="B888" s="69"/>
      <c r="C888" s="69"/>
      <c r="D888" s="69"/>
      <c r="E888" s="69"/>
      <c r="F888" s="69"/>
      <c r="G888" s="2"/>
      <c r="H888" s="2"/>
      <c r="I888" s="69"/>
      <c r="L888" s="64"/>
    </row>
    <row r="889">
      <c r="A889" s="2"/>
      <c r="B889" s="69"/>
      <c r="C889" s="69"/>
      <c r="D889" s="69"/>
      <c r="E889" s="69"/>
      <c r="F889" s="69"/>
      <c r="G889" s="2"/>
      <c r="H889" s="2"/>
      <c r="I889" s="69"/>
      <c r="L889" s="64"/>
    </row>
    <row r="890">
      <c r="A890" s="2"/>
      <c r="B890" s="69"/>
      <c r="C890" s="69"/>
      <c r="D890" s="69"/>
      <c r="E890" s="69"/>
      <c r="F890" s="69"/>
      <c r="G890" s="2"/>
      <c r="H890" s="2"/>
      <c r="I890" s="69"/>
      <c r="L890" s="64"/>
    </row>
    <row r="891">
      <c r="A891" s="2"/>
      <c r="B891" s="69"/>
      <c r="C891" s="69"/>
      <c r="D891" s="69"/>
      <c r="E891" s="69"/>
      <c r="F891" s="69"/>
      <c r="G891" s="2"/>
      <c r="H891" s="2"/>
      <c r="I891" s="69"/>
      <c r="L891" s="64"/>
    </row>
    <row r="892">
      <c r="A892" s="2"/>
      <c r="B892" s="69"/>
      <c r="C892" s="69"/>
      <c r="D892" s="69"/>
      <c r="E892" s="69"/>
      <c r="F892" s="69"/>
      <c r="G892" s="2"/>
      <c r="H892" s="2"/>
      <c r="I892" s="69"/>
      <c r="L892" s="64"/>
    </row>
    <row r="893">
      <c r="A893" s="2"/>
      <c r="B893" s="69"/>
      <c r="C893" s="69"/>
      <c r="D893" s="69"/>
      <c r="E893" s="69"/>
      <c r="F893" s="69"/>
      <c r="G893" s="2"/>
      <c r="H893" s="2"/>
      <c r="I893" s="69"/>
      <c r="L893" s="64"/>
    </row>
    <row r="894">
      <c r="A894" s="2"/>
      <c r="B894" s="69"/>
      <c r="C894" s="69"/>
      <c r="D894" s="69"/>
      <c r="E894" s="69"/>
      <c r="F894" s="69"/>
      <c r="G894" s="2"/>
      <c r="H894" s="2"/>
      <c r="I894" s="69"/>
      <c r="L894" s="64"/>
    </row>
    <row r="895">
      <c r="A895" s="2"/>
      <c r="B895" s="69"/>
      <c r="C895" s="69"/>
      <c r="D895" s="69"/>
      <c r="E895" s="69"/>
      <c r="F895" s="69"/>
      <c r="G895" s="2"/>
      <c r="H895" s="2"/>
      <c r="I895" s="69"/>
      <c r="L895" s="64"/>
    </row>
    <row r="896">
      <c r="A896" s="2"/>
      <c r="B896" s="69"/>
      <c r="C896" s="69"/>
      <c r="D896" s="69"/>
      <c r="E896" s="69"/>
      <c r="F896" s="69"/>
      <c r="G896" s="2"/>
      <c r="H896" s="2"/>
      <c r="I896" s="69"/>
      <c r="L896" s="64"/>
    </row>
    <row r="897">
      <c r="A897" s="2"/>
      <c r="B897" s="69"/>
      <c r="C897" s="69"/>
      <c r="D897" s="69"/>
      <c r="E897" s="69"/>
      <c r="F897" s="69"/>
      <c r="G897" s="2"/>
      <c r="H897" s="2"/>
      <c r="I897" s="69"/>
      <c r="L897" s="64"/>
    </row>
    <row r="898">
      <c r="A898" s="2"/>
      <c r="B898" s="69"/>
      <c r="C898" s="69"/>
      <c r="D898" s="69"/>
      <c r="E898" s="69"/>
      <c r="F898" s="69"/>
      <c r="G898" s="2"/>
      <c r="H898" s="2"/>
      <c r="I898" s="69"/>
      <c r="L898" s="64"/>
    </row>
    <row r="899">
      <c r="A899" s="2"/>
      <c r="B899" s="69"/>
      <c r="C899" s="69"/>
      <c r="D899" s="69"/>
      <c r="E899" s="69"/>
      <c r="F899" s="69"/>
      <c r="G899" s="2"/>
      <c r="H899" s="2"/>
      <c r="I899" s="69"/>
      <c r="L899" s="64"/>
    </row>
    <row r="900">
      <c r="A900" s="2"/>
      <c r="B900" s="69"/>
      <c r="C900" s="69"/>
      <c r="D900" s="69"/>
      <c r="E900" s="69"/>
      <c r="F900" s="69"/>
      <c r="G900" s="2"/>
      <c r="H900" s="2"/>
      <c r="I900" s="69"/>
      <c r="L900" s="64"/>
    </row>
    <row r="901">
      <c r="A901" s="2"/>
      <c r="B901" s="69"/>
      <c r="C901" s="69"/>
      <c r="D901" s="69"/>
      <c r="E901" s="69"/>
      <c r="F901" s="69"/>
      <c r="G901" s="2"/>
      <c r="H901" s="2"/>
      <c r="I901" s="69"/>
      <c r="L901" s="64"/>
    </row>
    <row r="902">
      <c r="A902" s="2"/>
      <c r="B902" s="69"/>
      <c r="C902" s="69"/>
      <c r="D902" s="69"/>
      <c r="E902" s="69"/>
      <c r="F902" s="69"/>
      <c r="G902" s="2"/>
      <c r="H902" s="2"/>
      <c r="I902" s="69"/>
      <c r="L902" s="64"/>
    </row>
    <row r="903">
      <c r="A903" s="2"/>
      <c r="B903" s="69"/>
      <c r="C903" s="69"/>
      <c r="D903" s="69"/>
      <c r="E903" s="69"/>
      <c r="F903" s="69"/>
      <c r="G903" s="2"/>
      <c r="H903" s="2"/>
      <c r="I903" s="69"/>
      <c r="L903" s="64"/>
    </row>
    <row r="904">
      <c r="A904" s="2"/>
      <c r="B904" s="69"/>
      <c r="C904" s="69"/>
      <c r="D904" s="69"/>
      <c r="E904" s="69"/>
      <c r="F904" s="69"/>
      <c r="G904" s="2"/>
      <c r="H904" s="2"/>
      <c r="I904" s="69"/>
      <c r="L904" s="64"/>
    </row>
    <row r="905">
      <c r="A905" s="2"/>
      <c r="B905" s="69"/>
      <c r="C905" s="69"/>
      <c r="D905" s="69"/>
      <c r="E905" s="69"/>
      <c r="F905" s="69"/>
      <c r="G905" s="2"/>
      <c r="H905" s="2"/>
      <c r="I905" s="69"/>
      <c r="L905" s="64"/>
    </row>
    <row r="906">
      <c r="A906" s="2"/>
      <c r="B906" s="69"/>
      <c r="C906" s="69"/>
      <c r="D906" s="69"/>
      <c r="E906" s="69"/>
      <c r="F906" s="69"/>
      <c r="G906" s="2"/>
      <c r="H906" s="2"/>
      <c r="I906" s="69"/>
      <c r="L906" s="64"/>
    </row>
    <row r="907">
      <c r="A907" s="2"/>
      <c r="B907" s="69"/>
      <c r="C907" s="69"/>
      <c r="D907" s="69"/>
      <c r="E907" s="69"/>
      <c r="F907" s="69"/>
      <c r="G907" s="2"/>
      <c r="H907" s="2"/>
      <c r="I907" s="69"/>
      <c r="L907" s="64"/>
    </row>
    <row r="908">
      <c r="A908" s="2"/>
      <c r="B908" s="69"/>
      <c r="C908" s="69"/>
      <c r="D908" s="69"/>
      <c r="E908" s="69"/>
      <c r="F908" s="69"/>
      <c r="G908" s="2"/>
      <c r="H908" s="2"/>
      <c r="I908" s="69"/>
      <c r="L908" s="64"/>
    </row>
    <row r="909">
      <c r="A909" s="2"/>
      <c r="B909" s="69"/>
      <c r="C909" s="69"/>
      <c r="D909" s="69"/>
      <c r="E909" s="69"/>
      <c r="F909" s="69"/>
      <c r="G909" s="2"/>
      <c r="H909" s="2"/>
      <c r="I909" s="69"/>
      <c r="L909" s="64"/>
    </row>
    <row r="910">
      <c r="A910" s="2"/>
      <c r="B910" s="69"/>
      <c r="C910" s="69"/>
      <c r="D910" s="69"/>
      <c r="E910" s="69"/>
      <c r="F910" s="69"/>
      <c r="G910" s="2"/>
      <c r="H910" s="2"/>
      <c r="I910" s="69"/>
      <c r="L910" s="64"/>
    </row>
    <row r="911">
      <c r="A911" s="2"/>
      <c r="B911" s="69"/>
      <c r="C911" s="69"/>
      <c r="D911" s="69"/>
      <c r="E911" s="69"/>
      <c r="F911" s="69"/>
      <c r="G911" s="2"/>
      <c r="H911" s="2"/>
      <c r="I911" s="69"/>
      <c r="L911" s="64"/>
    </row>
    <row r="912">
      <c r="A912" s="2"/>
      <c r="B912" s="69"/>
      <c r="C912" s="69"/>
      <c r="D912" s="69"/>
      <c r="E912" s="69"/>
      <c r="F912" s="69"/>
      <c r="G912" s="2"/>
      <c r="H912" s="2"/>
      <c r="I912" s="69"/>
      <c r="L912" s="64"/>
    </row>
    <row r="913">
      <c r="A913" s="2"/>
      <c r="B913" s="69"/>
      <c r="C913" s="69"/>
      <c r="D913" s="69"/>
      <c r="E913" s="69"/>
      <c r="F913" s="69"/>
      <c r="G913" s="2"/>
      <c r="H913" s="2"/>
      <c r="I913" s="69"/>
      <c r="L913" s="64"/>
    </row>
    <row r="914">
      <c r="A914" s="2"/>
      <c r="B914" s="69"/>
      <c r="C914" s="69"/>
      <c r="D914" s="69"/>
      <c r="E914" s="69"/>
      <c r="F914" s="69"/>
      <c r="G914" s="2"/>
      <c r="H914" s="2"/>
      <c r="I914" s="69"/>
      <c r="L914" s="64"/>
    </row>
    <row r="915">
      <c r="A915" s="2"/>
      <c r="B915" s="69"/>
      <c r="C915" s="69"/>
      <c r="D915" s="69"/>
      <c r="E915" s="69"/>
      <c r="F915" s="69"/>
      <c r="G915" s="2"/>
      <c r="H915" s="2"/>
      <c r="I915" s="69"/>
      <c r="L915" s="64"/>
    </row>
    <row r="916">
      <c r="A916" s="2"/>
      <c r="B916" s="69"/>
      <c r="C916" s="69"/>
      <c r="D916" s="69"/>
      <c r="E916" s="69"/>
      <c r="F916" s="69"/>
      <c r="G916" s="2"/>
      <c r="H916" s="2"/>
      <c r="I916" s="69"/>
      <c r="L916" s="64"/>
    </row>
    <row r="917">
      <c r="A917" s="2"/>
      <c r="B917" s="69"/>
      <c r="C917" s="69"/>
      <c r="D917" s="69"/>
      <c r="E917" s="69"/>
      <c r="F917" s="69"/>
      <c r="G917" s="2"/>
      <c r="H917" s="2"/>
      <c r="I917" s="69"/>
      <c r="L917" s="64"/>
    </row>
    <row r="918">
      <c r="A918" s="2"/>
      <c r="B918" s="69"/>
      <c r="C918" s="69"/>
      <c r="D918" s="69"/>
      <c r="E918" s="69"/>
      <c r="F918" s="69"/>
      <c r="G918" s="2"/>
      <c r="H918" s="2"/>
      <c r="I918" s="69"/>
      <c r="L918" s="64"/>
    </row>
    <row r="919">
      <c r="A919" s="2"/>
      <c r="B919" s="69"/>
      <c r="C919" s="69"/>
      <c r="D919" s="69"/>
      <c r="E919" s="69"/>
      <c r="F919" s="69"/>
      <c r="G919" s="2"/>
      <c r="H919" s="2"/>
      <c r="I919" s="69"/>
      <c r="L919" s="64"/>
    </row>
    <row r="920">
      <c r="A920" s="2"/>
      <c r="B920" s="69"/>
      <c r="C920" s="69"/>
      <c r="D920" s="69"/>
      <c r="E920" s="69"/>
      <c r="F920" s="69"/>
      <c r="G920" s="2"/>
      <c r="H920" s="2"/>
      <c r="I920" s="69"/>
      <c r="L920" s="64"/>
    </row>
    <row r="921">
      <c r="A921" s="2"/>
      <c r="B921" s="69"/>
      <c r="C921" s="69"/>
      <c r="D921" s="69"/>
      <c r="E921" s="69"/>
      <c r="F921" s="69"/>
      <c r="G921" s="2"/>
      <c r="H921" s="2"/>
      <c r="I921" s="69"/>
      <c r="L921" s="64"/>
    </row>
    <row r="922">
      <c r="A922" s="2"/>
      <c r="B922" s="69"/>
      <c r="C922" s="69"/>
      <c r="D922" s="69"/>
      <c r="E922" s="69"/>
      <c r="F922" s="69"/>
      <c r="G922" s="2"/>
      <c r="H922" s="2"/>
      <c r="I922" s="69"/>
      <c r="L922" s="64"/>
    </row>
    <row r="923">
      <c r="A923" s="2"/>
      <c r="B923" s="69"/>
      <c r="C923" s="69"/>
      <c r="D923" s="69"/>
      <c r="E923" s="69"/>
      <c r="F923" s="69"/>
      <c r="G923" s="2"/>
      <c r="H923" s="2"/>
      <c r="I923" s="69"/>
      <c r="L923" s="64"/>
    </row>
    <row r="924">
      <c r="A924" s="2"/>
      <c r="B924" s="69"/>
      <c r="C924" s="69"/>
      <c r="D924" s="69"/>
      <c r="E924" s="69"/>
      <c r="F924" s="69"/>
      <c r="G924" s="2"/>
      <c r="H924" s="2"/>
      <c r="I924" s="69"/>
      <c r="L924" s="64"/>
    </row>
    <row r="925">
      <c r="A925" s="2"/>
      <c r="B925" s="69"/>
      <c r="C925" s="69"/>
      <c r="D925" s="69"/>
      <c r="E925" s="69"/>
      <c r="F925" s="69"/>
      <c r="G925" s="2"/>
      <c r="H925" s="2"/>
      <c r="I925" s="69"/>
      <c r="L925" s="64"/>
    </row>
    <row r="926">
      <c r="A926" s="2"/>
      <c r="B926" s="69"/>
      <c r="C926" s="69"/>
      <c r="D926" s="69"/>
      <c r="E926" s="69"/>
      <c r="F926" s="69"/>
      <c r="G926" s="2"/>
      <c r="H926" s="2"/>
      <c r="I926" s="69"/>
      <c r="L926" s="64"/>
    </row>
    <row r="927">
      <c r="A927" s="2"/>
      <c r="B927" s="69"/>
      <c r="C927" s="69"/>
      <c r="D927" s="69"/>
      <c r="E927" s="69"/>
      <c r="F927" s="69"/>
      <c r="G927" s="2"/>
      <c r="H927" s="2"/>
      <c r="I927" s="69"/>
      <c r="L927" s="64"/>
    </row>
    <row r="928">
      <c r="A928" s="2"/>
      <c r="B928" s="69"/>
      <c r="C928" s="69"/>
      <c r="D928" s="69"/>
      <c r="E928" s="69"/>
      <c r="F928" s="69"/>
      <c r="G928" s="2"/>
      <c r="H928" s="2"/>
      <c r="I928" s="69"/>
      <c r="L928" s="64"/>
    </row>
    <row r="929">
      <c r="A929" s="2"/>
      <c r="B929" s="69"/>
      <c r="C929" s="69"/>
      <c r="D929" s="69"/>
      <c r="E929" s="69"/>
      <c r="F929" s="69"/>
      <c r="G929" s="2"/>
      <c r="H929" s="2"/>
      <c r="I929" s="69"/>
      <c r="L929" s="64"/>
    </row>
    <row r="930">
      <c r="A930" s="2"/>
      <c r="B930" s="69"/>
      <c r="C930" s="69"/>
      <c r="D930" s="69"/>
      <c r="E930" s="69"/>
      <c r="F930" s="69"/>
      <c r="G930" s="2"/>
      <c r="H930" s="2"/>
      <c r="I930" s="69"/>
      <c r="L930" s="64"/>
    </row>
    <row r="931">
      <c r="A931" s="2"/>
      <c r="B931" s="69"/>
      <c r="C931" s="69"/>
      <c r="D931" s="69"/>
      <c r="E931" s="69"/>
      <c r="F931" s="69"/>
      <c r="G931" s="2"/>
      <c r="H931" s="2"/>
      <c r="I931" s="69"/>
      <c r="L931" s="64"/>
    </row>
    <row r="932">
      <c r="A932" s="2"/>
      <c r="B932" s="69"/>
      <c r="C932" s="69"/>
      <c r="D932" s="69"/>
      <c r="E932" s="69"/>
      <c r="F932" s="69"/>
      <c r="G932" s="2"/>
      <c r="H932" s="2"/>
      <c r="I932" s="69"/>
      <c r="L932" s="64"/>
    </row>
    <row r="933">
      <c r="A933" s="2"/>
      <c r="B933" s="69"/>
      <c r="C933" s="69"/>
      <c r="D933" s="69"/>
      <c r="E933" s="69"/>
      <c r="F933" s="69"/>
      <c r="G933" s="2"/>
      <c r="H933" s="2"/>
      <c r="I933" s="69"/>
      <c r="L933" s="64"/>
    </row>
    <row r="934">
      <c r="A934" s="2"/>
      <c r="B934" s="69"/>
      <c r="C934" s="69"/>
      <c r="D934" s="69"/>
      <c r="E934" s="69"/>
      <c r="F934" s="69"/>
      <c r="G934" s="2"/>
      <c r="H934" s="2"/>
      <c r="I934" s="69"/>
      <c r="L934" s="64"/>
    </row>
    <row r="935">
      <c r="A935" s="2"/>
      <c r="B935" s="69"/>
      <c r="C935" s="69"/>
      <c r="D935" s="69"/>
      <c r="E935" s="69"/>
      <c r="F935" s="69"/>
      <c r="G935" s="2"/>
      <c r="H935" s="2"/>
      <c r="I935" s="69"/>
      <c r="L935" s="64"/>
    </row>
    <row r="936">
      <c r="A936" s="2"/>
      <c r="B936" s="69"/>
      <c r="C936" s="69"/>
      <c r="D936" s="69"/>
      <c r="E936" s="69"/>
      <c r="F936" s="69"/>
      <c r="G936" s="2"/>
      <c r="H936" s="2"/>
      <c r="I936" s="69"/>
      <c r="L936" s="64"/>
    </row>
    <row r="937">
      <c r="A937" s="2"/>
      <c r="B937" s="69"/>
      <c r="C937" s="69"/>
      <c r="D937" s="69"/>
      <c r="E937" s="69"/>
      <c r="F937" s="69"/>
      <c r="G937" s="2"/>
      <c r="H937" s="2"/>
      <c r="I937" s="69"/>
      <c r="L937" s="64"/>
    </row>
    <row r="938">
      <c r="A938" s="2"/>
      <c r="B938" s="69"/>
      <c r="C938" s="69"/>
      <c r="D938" s="69"/>
      <c r="E938" s="69"/>
      <c r="F938" s="69"/>
      <c r="G938" s="2"/>
      <c r="H938" s="2"/>
      <c r="I938" s="69"/>
      <c r="L938" s="64"/>
    </row>
    <row r="939">
      <c r="A939" s="2"/>
      <c r="B939" s="69"/>
      <c r="C939" s="69"/>
      <c r="D939" s="69"/>
      <c r="E939" s="69"/>
      <c r="F939" s="69"/>
      <c r="G939" s="2"/>
      <c r="H939" s="2"/>
      <c r="I939" s="69"/>
      <c r="L939" s="64"/>
    </row>
    <row r="940">
      <c r="A940" s="2"/>
      <c r="B940" s="69"/>
      <c r="C940" s="69"/>
      <c r="D940" s="69"/>
      <c r="E940" s="69"/>
      <c r="F940" s="69"/>
      <c r="G940" s="2"/>
      <c r="H940" s="2"/>
      <c r="I940" s="69"/>
      <c r="L940" s="64"/>
    </row>
    <row r="941">
      <c r="A941" s="2"/>
      <c r="B941" s="69"/>
      <c r="C941" s="69"/>
      <c r="D941" s="69"/>
      <c r="E941" s="69"/>
      <c r="F941" s="69"/>
      <c r="G941" s="2"/>
      <c r="H941" s="2"/>
      <c r="I941" s="69"/>
      <c r="L941" s="64"/>
    </row>
    <row r="942">
      <c r="A942" s="2"/>
      <c r="B942" s="69"/>
      <c r="C942" s="69"/>
      <c r="D942" s="69"/>
      <c r="E942" s="69"/>
      <c r="F942" s="69"/>
      <c r="G942" s="2"/>
      <c r="H942" s="2"/>
      <c r="I942" s="69"/>
      <c r="L942" s="64"/>
    </row>
    <row r="943">
      <c r="A943" s="2"/>
      <c r="B943" s="69"/>
      <c r="C943" s="69"/>
      <c r="D943" s="69"/>
      <c r="E943" s="69"/>
      <c r="F943" s="69"/>
      <c r="G943" s="2"/>
      <c r="H943" s="2"/>
      <c r="I943" s="69"/>
      <c r="L943" s="64"/>
    </row>
    <row r="944">
      <c r="A944" s="2"/>
      <c r="B944" s="69"/>
      <c r="C944" s="69"/>
      <c r="D944" s="69"/>
      <c r="E944" s="69"/>
      <c r="F944" s="69"/>
      <c r="G944" s="2"/>
      <c r="H944" s="2"/>
      <c r="I944" s="69"/>
      <c r="L944" s="64"/>
    </row>
    <row r="945">
      <c r="A945" s="2"/>
      <c r="B945" s="69"/>
      <c r="C945" s="69"/>
      <c r="D945" s="69"/>
      <c r="E945" s="69"/>
      <c r="F945" s="69"/>
      <c r="G945" s="2"/>
      <c r="H945" s="2"/>
      <c r="I945" s="69"/>
      <c r="L945" s="64"/>
    </row>
    <row r="946">
      <c r="A946" s="2"/>
      <c r="B946" s="69"/>
      <c r="C946" s="69"/>
      <c r="D946" s="69"/>
      <c r="E946" s="69"/>
      <c r="F946" s="69"/>
      <c r="G946" s="2"/>
      <c r="H946" s="2"/>
      <c r="I946" s="69"/>
      <c r="L946" s="64"/>
    </row>
    <row r="947">
      <c r="A947" s="2"/>
      <c r="B947" s="69"/>
      <c r="C947" s="69"/>
      <c r="D947" s="69"/>
      <c r="E947" s="69"/>
      <c r="F947" s="69"/>
      <c r="G947" s="2"/>
      <c r="H947" s="2"/>
      <c r="I947" s="69"/>
      <c r="L947" s="64"/>
    </row>
    <row r="948">
      <c r="A948" s="2"/>
      <c r="B948" s="69"/>
      <c r="C948" s="69"/>
      <c r="D948" s="69"/>
      <c r="E948" s="69"/>
      <c r="F948" s="69"/>
      <c r="G948" s="2"/>
      <c r="H948" s="2"/>
      <c r="I948" s="69"/>
      <c r="L948" s="64"/>
    </row>
    <row r="949">
      <c r="A949" s="2"/>
      <c r="B949" s="69"/>
      <c r="C949" s="69"/>
      <c r="D949" s="69"/>
      <c r="E949" s="69"/>
      <c r="F949" s="69"/>
      <c r="G949" s="2"/>
      <c r="H949" s="2"/>
      <c r="I949" s="69"/>
      <c r="L949" s="64"/>
    </row>
    <row r="950">
      <c r="A950" s="2"/>
      <c r="B950" s="69"/>
      <c r="C950" s="69"/>
      <c r="D950" s="69"/>
      <c r="E950" s="69"/>
      <c r="F950" s="69"/>
      <c r="G950" s="2"/>
      <c r="H950" s="2"/>
      <c r="I950" s="69"/>
      <c r="L950" s="64"/>
    </row>
    <row r="951">
      <c r="A951" s="2"/>
      <c r="B951" s="69"/>
      <c r="C951" s="69"/>
      <c r="D951" s="69"/>
      <c r="E951" s="69"/>
      <c r="F951" s="69"/>
      <c r="G951" s="2"/>
      <c r="H951" s="2"/>
      <c r="I951" s="69"/>
      <c r="L951" s="64"/>
    </row>
    <row r="952">
      <c r="A952" s="2"/>
      <c r="B952" s="69"/>
      <c r="C952" s="69"/>
      <c r="D952" s="69"/>
      <c r="E952" s="69"/>
      <c r="F952" s="69"/>
      <c r="G952" s="2"/>
      <c r="H952" s="2"/>
      <c r="I952" s="69"/>
      <c r="L952" s="64"/>
    </row>
    <row r="953">
      <c r="A953" s="2"/>
      <c r="B953" s="69"/>
      <c r="C953" s="69"/>
      <c r="D953" s="69"/>
      <c r="E953" s="69"/>
      <c r="F953" s="69"/>
      <c r="G953" s="2"/>
      <c r="H953" s="2"/>
      <c r="I953" s="69"/>
      <c r="L953" s="64"/>
    </row>
    <row r="954">
      <c r="A954" s="2"/>
      <c r="B954" s="69"/>
      <c r="C954" s="69"/>
      <c r="D954" s="69"/>
      <c r="E954" s="69"/>
      <c r="F954" s="69"/>
      <c r="G954" s="2"/>
      <c r="H954" s="2"/>
      <c r="I954" s="69"/>
      <c r="L954" s="64"/>
    </row>
    <row r="955">
      <c r="A955" s="2"/>
      <c r="B955" s="69"/>
      <c r="C955" s="69"/>
      <c r="D955" s="69"/>
      <c r="E955" s="69"/>
      <c r="F955" s="69"/>
      <c r="G955" s="2"/>
      <c r="H955" s="2"/>
      <c r="I955" s="69"/>
      <c r="L955" s="64"/>
    </row>
    <row r="956">
      <c r="A956" s="2"/>
      <c r="B956" s="69"/>
      <c r="C956" s="69"/>
      <c r="D956" s="69"/>
      <c r="E956" s="69"/>
      <c r="F956" s="69"/>
      <c r="G956" s="2"/>
      <c r="H956" s="2"/>
      <c r="I956" s="69"/>
      <c r="L956" s="64"/>
    </row>
    <row r="957">
      <c r="A957" s="2"/>
      <c r="B957" s="69"/>
      <c r="C957" s="69"/>
      <c r="D957" s="69"/>
      <c r="E957" s="69"/>
      <c r="F957" s="69"/>
      <c r="G957" s="2"/>
      <c r="H957" s="2"/>
      <c r="I957" s="69"/>
      <c r="L957" s="64"/>
    </row>
    <row r="958">
      <c r="A958" s="2"/>
      <c r="B958" s="69"/>
      <c r="C958" s="69"/>
      <c r="D958" s="69"/>
      <c r="E958" s="69"/>
      <c r="F958" s="69"/>
      <c r="G958" s="2"/>
      <c r="H958" s="2"/>
      <c r="I958" s="69"/>
      <c r="L958" s="64"/>
    </row>
    <row r="959">
      <c r="A959" s="2"/>
      <c r="B959" s="69"/>
      <c r="C959" s="69"/>
      <c r="D959" s="69"/>
      <c r="E959" s="69"/>
      <c r="F959" s="69"/>
      <c r="G959" s="2"/>
      <c r="H959" s="2"/>
      <c r="I959" s="69"/>
      <c r="L959" s="64"/>
    </row>
    <row r="960">
      <c r="A960" s="2"/>
      <c r="B960" s="69"/>
      <c r="C960" s="69"/>
      <c r="D960" s="69"/>
      <c r="E960" s="69"/>
      <c r="F960" s="69"/>
      <c r="G960" s="2"/>
      <c r="H960" s="2"/>
      <c r="I960" s="69"/>
      <c r="L960" s="64"/>
    </row>
    <row r="961">
      <c r="A961" s="2"/>
      <c r="B961" s="69"/>
      <c r="C961" s="69"/>
      <c r="D961" s="69"/>
      <c r="E961" s="69"/>
      <c r="F961" s="69"/>
      <c r="G961" s="2"/>
      <c r="H961" s="2"/>
      <c r="I961" s="69"/>
      <c r="L961" s="64"/>
    </row>
    <row r="962">
      <c r="A962" s="2"/>
      <c r="B962" s="69"/>
      <c r="C962" s="69"/>
      <c r="D962" s="69"/>
      <c r="E962" s="69"/>
      <c r="F962" s="69"/>
      <c r="G962" s="2"/>
      <c r="H962" s="2"/>
      <c r="I962" s="69"/>
      <c r="L962" s="64"/>
    </row>
    <row r="963">
      <c r="A963" s="2"/>
      <c r="B963" s="69"/>
      <c r="C963" s="69"/>
      <c r="D963" s="69"/>
      <c r="E963" s="69"/>
      <c r="F963" s="69"/>
      <c r="G963" s="2"/>
      <c r="H963" s="2"/>
      <c r="I963" s="69"/>
      <c r="L963" s="64"/>
    </row>
    <row r="964">
      <c r="A964" s="2"/>
      <c r="B964" s="69"/>
      <c r="C964" s="69"/>
      <c r="D964" s="69"/>
      <c r="E964" s="69"/>
      <c r="F964" s="69"/>
      <c r="G964" s="2"/>
      <c r="H964" s="2"/>
      <c r="I964" s="69"/>
      <c r="L964" s="64"/>
    </row>
    <row r="965">
      <c r="A965" s="2"/>
      <c r="B965" s="69"/>
      <c r="C965" s="69"/>
      <c r="D965" s="69"/>
      <c r="E965" s="69"/>
      <c r="F965" s="69"/>
      <c r="G965" s="2"/>
      <c r="H965" s="2"/>
      <c r="I965" s="69"/>
      <c r="L965" s="64"/>
    </row>
    <row r="966">
      <c r="A966" s="2"/>
      <c r="B966" s="69"/>
      <c r="C966" s="69"/>
      <c r="D966" s="69"/>
      <c r="E966" s="69"/>
      <c r="F966" s="69"/>
      <c r="G966" s="2"/>
      <c r="H966" s="2"/>
      <c r="I966" s="69"/>
      <c r="L966" s="64"/>
    </row>
    <row r="967">
      <c r="A967" s="2"/>
      <c r="B967" s="69"/>
      <c r="C967" s="69"/>
      <c r="D967" s="69"/>
      <c r="E967" s="69"/>
      <c r="F967" s="69"/>
      <c r="G967" s="2"/>
      <c r="H967" s="2"/>
      <c r="I967" s="69"/>
      <c r="L967" s="64"/>
    </row>
    <row r="968">
      <c r="A968" s="2"/>
      <c r="B968" s="69"/>
      <c r="C968" s="69"/>
      <c r="D968" s="69"/>
      <c r="E968" s="69"/>
      <c r="F968" s="69"/>
      <c r="G968" s="2"/>
      <c r="H968" s="2"/>
      <c r="I968" s="69"/>
      <c r="L968" s="64"/>
    </row>
    <row r="969">
      <c r="A969" s="2"/>
      <c r="B969" s="69"/>
      <c r="C969" s="69"/>
      <c r="D969" s="69"/>
      <c r="E969" s="69"/>
      <c r="F969" s="69"/>
      <c r="G969" s="2"/>
      <c r="H969" s="2"/>
      <c r="I969" s="69"/>
      <c r="L969" s="64"/>
    </row>
    <row r="970">
      <c r="A970" s="2"/>
      <c r="B970" s="69"/>
      <c r="C970" s="69"/>
      <c r="D970" s="69"/>
      <c r="E970" s="69"/>
      <c r="F970" s="69"/>
      <c r="G970" s="2"/>
      <c r="H970" s="2"/>
      <c r="I970" s="69"/>
      <c r="L970" s="64"/>
    </row>
    <row r="971">
      <c r="A971" s="2"/>
      <c r="B971" s="69"/>
      <c r="C971" s="69"/>
      <c r="D971" s="69"/>
      <c r="E971" s="69"/>
      <c r="F971" s="69"/>
      <c r="G971" s="2"/>
      <c r="H971" s="2"/>
      <c r="I971" s="69"/>
      <c r="L971" s="64"/>
    </row>
    <row r="972">
      <c r="A972" s="2"/>
      <c r="B972" s="69"/>
      <c r="C972" s="69"/>
      <c r="D972" s="69"/>
      <c r="E972" s="69"/>
      <c r="F972" s="69"/>
      <c r="G972" s="2"/>
      <c r="H972" s="2"/>
      <c r="I972" s="69"/>
      <c r="L972" s="64"/>
    </row>
    <row r="973">
      <c r="A973" s="2"/>
      <c r="B973" s="69"/>
      <c r="C973" s="69"/>
      <c r="D973" s="69"/>
      <c r="E973" s="69"/>
      <c r="F973" s="69"/>
      <c r="G973" s="2"/>
      <c r="H973" s="2"/>
      <c r="I973" s="69"/>
      <c r="L973" s="64"/>
    </row>
    <row r="974">
      <c r="A974" s="2"/>
      <c r="B974" s="69"/>
      <c r="C974" s="69"/>
      <c r="D974" s="69"/>
      <c r="E974" s="69"/>
      <c r="F974" s="69"/>
      <c r="G974" s="2"/>
      <c r="H974" s="2"/>
      <c r="I974" s="69"/>
      <c r="L974" s="64"/>
    </row>
    <row r="975">
      <c r="A975" s="2"/>
      <c r="B975" s="69"/>
      <c r="C975" s="69"/>
      <c r="D975" s="69"/>
      <c r="E975" s="69"/>
      <c r="F975" s="69"/>
      <c r="G975" s="2"/>
      <c r="H975" s="2"/>
      <c r="I975" s="69"/>
      <c r="L975" s="64"/>
    </row>
    <row r="976">
      <c r="A976" s="2"/>
      <c r="B976" s="69"/>
      <c r="C976" s="69"/>
      <c r="D976" s="69"/>
      <c r="E976" s="69"/>
      <c r="F976" s="69"/>
      <c r="G976" s="2"/>
      <c r="H976" s="2"/>
      <c r="I976" s="69"/>
      <c r="L976" s="64"/>
    </row>
    <row r="977">
      <c r="A977" s="2"/>
      <c r="B977" s="69"/>
      <c r="C977" s="69"/>
      <c r="D977" s="69"/>
      <c r="E977" s="69"/>
      <c r="F977" s="69"/>
      <c r="G977" s="2"/>
      <c r="H977" s="2"/>
      <c r="I977" s="69"/>
      <c r="L977" s="64"/>
    </row>
    <row r="978">
      <c r="A978" s="2"/>
      <c r="B978" s="69"/>
      <c r="C978" s="69"/>
      <c r="D978" s="69"/>
      <c r="E978" s="69"/>
      <c r="F978" s="69"/>
      <c r="G978" s="2"/>
      <c r="H978" s="2"/>
      <c r="I978" s="69"/>
      <c r="L978" s="64"/>
    </row>
    <row r="979">
      <c r="A979" s="2"/>
      <c r="B979" s="69"/>
      <c r="C979" s="69"/>
      <c r="D979" s="69"/>
      <c r="E979" s="69"/>
      <c r="F979" s="69"/>
      <c r="G979" s="2"/>
      <c r="H979" s="2"/>
      <c r="I979" s="69"/>
      <c r="L979" s="64"/>
    </row>
    <row r="980">
      <c r="A980" s="2"/>
      <c r="B980" s="69"/>
      <c r="C980" s="69"/>
      <c r="D980" s="69"/>
      <c r="E980" s="69"/>
      <c r="F980" s="69"/>
      <c r="G980" s="2"/>
      <c r="H980" s="2"/>
      <c r="I980" s="69"/>
      <c r="L980" s="64"/>
    </row>
    <row r="981">
      <c r="A981" s="2"/>
      <c r="B981" s="69"/>
      <c r="C981" s="69"/>
      <c r="D981" s="69"/>
      <c r="E981" s="69"/>
      <c r="F981" s="69"/>
      <c r="G981" s="2"/>
      <c r="H981" s="2"/>
      <c r="I981" s="69"/>
      <c r="L981" s="64"/>
    </row>
    <row r="982">
      <c r="A982" s="2"/>
      <c r="B982" s="69"/>
      <c r="C982" s="69"/>
      <c r="D982" s="69"/>
      <c r="E982" s="69"/>
      <c r="F982" s="69"/>
      <c r="G982" s="2"/>
      <c r="H982" s="2"/>
      <c r="I982" s="69"/>
      <c r="L982" s="64"/>
    </row>
    <row r="983">
      <c r="A983" s="2"/>
      <c r="B983" s="69"/>
      <c r="C983" s="69"/>
      <c r="D983" s="69"/>
      <c r="E983" s="69"/>
      <c r="F983" s="69"/>
      <c r="G983" s="2"/>
      <c r="H983" s="2"/>
      <c r="I983" s="69"/>
      <c r="L983" s="64"/>
    </row>
    <row r="984">
      <c r="A984" s="2"/>
      <c r="B984" s="69"/>
      <c r="C984" s="69"/>
      <c r="D984" s="69"/>
      <c r="E984" s="69"/>
      <c r="F984" s="69"/>
      <c r="G984" s="2"/>
      <c r="H984" s="2"/>
      <c r="I984" s="69"/>
      <c r="L984" s="64"/>
    </row>
    <row r="985">
      <c r="A985" s="2"/>
      <c r="B985" s="69"/>
      <c r="C985" s="69"/>
      <c r="D985" s="69"/>
      <c r="E985" s="69"/>
      <c r="F985" s="69"/>
      <c r="G985" s="2"/>
      <c r="H985" s="2"/>
      <c r="I985" s="69"/>
      <c r="L985" s="64"/>
    </row>
    <row r="986">
      <c r="A986" s="2"/>
      <c r="B986" s="69"/>
      <c r="C986" s="69"/>
      <c r="D986" s="69"/>
      <c r="E986" s="69"/>
      <c r="F986" s="69"/>
      <c r="G986" s="2"/>
      <c r="H986" s="2"/>
      <c r="I986" s="69"/>
      <c r="L986" s="64"/>
    </row>
    <row r="987">
      <c r="A987" s="2"/>
      <c r="B987" s="69"/>
      <c r="C987" s="69"/>
      <c r="D987" s="69"/>
      <c r="E987" s="69"/>
      <c r="F987" s="69"/>
      <c r="G987" s="2"/>
      <c r="H987" s="2"/>
      <c r="I987" s="69"/>
      <c r="L987" s="64"/>
    </row>
    <row r="988">
      <c r="A988" s="2"/>
      <c r="B988" s="69"/>
      <c r="C988" s="69"/>
      <c r="D988" s="69"/>
      <c r="E988" s="69"/>
      <c r="F988" s="69"/>
      <c r="G988" s="2"/>
      <c r="H988" s="2"/>
      <c r="I988" s="69"/>
      <c r="L988" s="64"/>
    </row>
    <row r="989">
      <c r="A989" s="2"/>
      <c r="B989" s="69"/>
      <c r="C989" s="69"/>
      <c r="D989" s="69"/>
      <c r="E989" s="69"/>
      <c r="F989" s="69"/>
      <c r="G989" s="2"/>
      <c r="H989" s="2"/>
      <c r="I989" s="69"/>
      <c r="L989" s="64"/>
    </row>
    <row r="990">
      <c r="A990" s="2"/>
      <c r="B990" s="69"/>
      <c r="C990" s="69"/>
      <c r="D990" s="69"/>
      <c r="E990" s="69"/>
      <c r="F990" s="69"/>
      <c r="G990" s="2"/>
      <c r="H990" s="2"/>
      <c r="I990" s="69"/>
      <c r="L990" s="64"/>
    </row>
    <row r="991">
      <c r="A991" s="2"/>
      <c r="B991" s="69"/>
      <c r="C991" s="69"/>
      <c r="D991" s="69"/>
      <c r="E991" s="69"/>
      <c r="F991" s="69"/>
      <c r="G991" s="2"/>
      <c r="H991" s="2"/>
      <c r="I991" s="69"/>
      <c r="L991" s="64"/>
    </row>
    <row r="992">
      <c r="A992" s="2"/>
      <c r="B992" s="69"/>
      <c r="C992" s="69"/>
      <c r="D992" s="69"/>
      <c r="E992" s="69"/>
      <c r="F992" s="69"/>
      <c r="G992" s="2"/>
      <c r="H992" s="2"/>
      <c r="I992" s="69"/>
      <c r="L992" s="64"/>
    </row>
    <row r="993">
      <c r="A993" s="2"/>
      <c r="B993" s="69"/>
      <c r="C993" s="69"/>
      <c r="D993" s="69"/>
      <c r="E993" s="69"/>
      <c r="F993" s="69"/>
      <c r="G993" s="2"/>
      <c r="H993" s="2"/>
      <c r="I993" s="69"/>
      <c r="L993" s="64"/>
    </row>
    <row r="994">
      <c r="A994" s="2"/>
      <c r="B994" s="69"/>
      <c r="C994" s="69"/>
      <c r="D994" s="69"/>
      <c r="E994" s="69"/>
      <c r="F994" s="69"/>
      <c r="G994" s="2"/>
      <c r="H994" s="2"/>
      <c r="I994" s="69"/>
      <c r="L994" s="64"/>
    </row>
    <row r="995">
      <c r="A995" s="2"/>
      <c r="B995" s="69"/>
      <c r="C995" s="69"/>
      <c r="D995" s="69"/>
      <c r="E995" s="69"/>
      <c r="F995" s="69"/>
      <c r="G995" s="2"/>
      <c r="H995" s="2"/>
      <c r="I995" s="69"/>
      <c r="L995" s="64"/>
    </row>
    <row r="996">
      <c r="A996" s="2"/>
      <c r="B996" s="69"/>
      <c r="C996" s="69"/>
      <c r="D996" s="69"/>
      <c r="E996" s="69"/>
      <c r="F996" s="69"/>
      <c r="G996" s="2"/>
      <c r="H996" s="2"/>
      <c r="I996" s="69"/>
      <c r="L996" s="64"/>
    </row>
    <row r="997">
      <c r="A997" s="2"/>
      <c r="B997" s="69"/>
      <c r="C997" s="69"/>
      <c r="D997" s="69"/>
      <c r="E997" s="69"/>
      <c r="F997" s="69"/>
      <c r="G997" s="2"/>
      <c r="H997" s="2"/>
      <c r="I997" s="69"/>
      <c r="L997" s="64"/>
    </row>
    <row r="998">
      <c r="A998" s="2"/>
      <c r="B998" s="69"/>
      <c r="C998" s="69"/>
      <c r="D998" s="69"/>
      <c r="E998" s="69"/>
      <c r="F998" s="69"/>
      <c r="G998" s="2"/>
      <c r="H998" s="2"/>
      <c r="I998" s="69"/>
      <c r="L998" s="64"/>
    </row>
    <row r="999">
      <c r="A999" s="2"/>
      <c r="B999" s="69"/>
      <c r="C999" s="69"/>
      <c r="D999" s="69"/>
      <c r="E999" s="69"/>
      <c r="F999" s="69"/>
      <c r="G999" s="2"/>
      <c r="H999" s="2"/>
      <c r="I999" s="69"/>
      <c r="L999" s="64"/>
    </row>
    <row r="1000">
      <c r="A1000" s="2"/>
      <c r="B1000" s="69"/>
      <c r="C1000" s="69"/>
      <c r="D1000" s="69"/>
      <c r="E1000" s="69"/>
      <c r="F1000" s="69"/>
      <c r="G1000" s="2"/>
      <c r="H1000" s="2"/>
      <c r="I1000" s="69"/>
      <c r="L1000" s="64"/>
    </row>
    <row r="1001">
      <c r="A1001" s="2"/>
      <c r="B1001" s="69"/>
      <c r="C1001" s="69"/>
      <c r="D1001" s="69"/>
      <c r="E1001" s="69"/>
      <c r="F1001" s="69"/>
      <c r="G1001" s="2"/>
      <c r="H1001" s="2"/>
      <c r="I1001" s="69"/>
      <c r="L1001" s="64"/>
    </row>
    <row r="1002">
      <c r="A1002" s="2"/>
      <c r="B1002" s="69"/>
      <c r="C1002" s="69"/>
      <c r="D1002" s="69"/>
      <c r="E1002" s="69"/>
      <c r="F1002" s="69"/>
      <c r="G1002" s="2"/>
      <c r="H1002" s="2"/>
      <c r="I1002" s="69"/>
      <c r="L1002" s="64"/>
    </row>
    <row r="1003">
      <c r="A1003" s="2"/>
      <c r="B1003" s="69"/>
      <c r="C1003" s="69"/>
      <c r="D1003" s="69"/>
      <c r="E1003" s="69"/>
      <c r="F1003" s="69"/>
      <c r="G1003" s="2"/>
      <c r="H1003" s="2"/>
      <c r="I1003" s="69"/>
      <c r="L1003" s="64"/>
    </row>
    <row r="1004">
      <c r="A1004" s="2"/>
      <c r="B1004" s="69"/>
      <c r="C1004" s="69"/>
      <c r="D1004" s="69"/>
      <c r="E1004" s="69"/>
      <c r="F1004" s="69"/>
      <c r="G1004" s="2"/>
      <c r="H1004" s="2"/>
      <c r="I1004" s="69"/>
      <c r="L1004" s="64"/>
    </row>
    <row r="1005">
      <c r="A1005" s="2"/>
      <c r="B1005" s="69"/>
      <c r="C1005" s="69"/>
      <c r="D1005" s="69"/>
      <c r="E1005" s="69"/>
      <c r="F1005" s="69"/>
      <c r="G1005" s="2"/>
      <c r="H1005" s="2"/>
      <c r="I1005" s="69"/>
      <c r="L1005" s="64"/>
    </row>
    <row r="1006">
      <c r="A1006" s="2"/>
      <c r="B1006" s="69"/>
      <c r="C1006" s="69"/>
      <c r="D1006" s="69"/>
      <c r="E1006" s="69"/>
      <c r="F1006" s="69"/>
      <c r="G1006" s="2"/>
      <c r="H1006" s="2"/>
      <c r="I1006" s="69"/>
      <c r="L1006" s="64"/>
    </row>
    <row r="1007">
      <c r="A1007" s="2"/>
      <c r="B1007" s="69"/>
      <c r="C1007" s="69"/>
      <c r="D1007" s="69"/>
      <c r="E1007" s="69"/>
      <c r="F1007" s="69"/>
      <c r="G1007" s="2"/>
      <c r="H1007" s="2"/>
      <c r="I1007" s="69"/>
      <c r="L1007" s="64"/>
    </row>
    <row r="1008">
      <c r="A1008" s="2"/>
      <c r="B1008" s="69"/>
      <c r="C1008" s="69"/>
      <c r="D1008" s="69"/>
      <c r="E1008" s="69"/>
      <c r="F1008" s="69"/>
      <c r="G1008" s="2"/>
      <c r="H1008" s="2"/>
      <c r="I1008" s="69"/>
      <c r="L1008" s="64"/>
    </row>
    <row r="1009">
      <c r="A1009" s="2"/>
      <c r="B1009" s="69"/>
      <c r="C1009" s="69"/>
      <c r="D1009" s="69"/>
      <c r="E1009" s="69"/>
      <c r="F1009" s="69"/>
      <c r="G1009" s="2"/>
      <c r="H1009" s="2"/>
      <c r="I1009" s="69"/>
      <c r="L1009" s="64"/>
    </row>
    <row r="1010">
      <c r="A1010" s="2"/>
      <c r="B1010" s="69"/>
      <c r="C1010" s="69"/>
      <c r="D1010" s="69"/>
      <c r="E1010" s="69"/>
      <c r="F1010" s="69"/>
      <c r="G1010" s="2"/>
      <c r="H1010" s="2"/>
      <c r="I1010" s="69"/>
      <c r="L1010" s="64"/>
    </row>
    <row r="1011">
      <c r="A1011" s="2"/>
      <c r="B1011" s="69"/>
      <c r="C1011" s="69"/>
      <c r="D1011" s="69"/>
      <c r="E1011" s="69"/>
      <c r="F1011" s="69"/>
      <c r="G1011" s="2"/>
      <c r="H1011" s="2"/>
      <c r="I1011" s="69"/>
      <c r="L1011" s="64"/>
    </row>
    <row r="1012">
      <c r="A1012" s="2"/>
      <c r="B1012" s="69"/>
      <c r="C1012" s="69"/>
      <c r="D1012" s="69"/>
      <c r="E1012" s="69"/>
      <c r="F1012" s="69"/>
      <c r="G1012" s="2"/>
      <c r="H1012" s="2"/>
      <c r="I1012" s="69"/>
      <c r="L1012" s="64"/>
    </row>
    <row r="1013">
      <c r="A1013" s="2"/>
      <c r="B1013" s="69"/>
      <c r="C1013" s="69"/>
      <c r="D1013" s="69"/>
      <c r="E1013" s="69"/>
      <c r="F1013" s="69"/>
      <c r="G1013" s="2"/>
      <c r="H1013" s="2"/>
      <c r="I1013" s="69"/>
      <c r="L1013" s="64"/>
    </row>
    <row r="1014">
      <c r="A1014" s="2"/>
      <c r="B1014" s="69"/>
      <c r="C1014" s="69"/>
      <c r="D1014" s="69"/>
      <c r="E1014" s="69"/>
      <c r="F1014" s="69"/>
      <c r="G1014" s="2"/>
      <c r="H1014" s="2"/>
      <c r="I1014" s="69"/>
      <c r="L1014" s="64"/>
    </row>
    <row r="1015">
      <c r="A1015" s="2"/>
      <c r="B1015" s="69"/>
      <c r="C1015" s="69"/>
      <c r="D1015" s="69"/>
      <c r="E1015" s="69"/>
      <c r="F1015" s="69"/>
      <c r="G1015" s="2"/>
      <c r="H1015" s="2"/>
      <c r="I1015" s="69"/>
      <c r="L1015" s="64"/>
    </row>
    <row r="1016">
      <c r="A1016" s="2"/>
      <c r="B1016" s="69"/>
      <c r="C1016" s="69"/>
      <c r="D1016" s="69"/>
      <c r="E1016" s="69"/>
      <c r="F1016" s="69"/>
      <c r="G1016" s="2"/>
      <c r="H1016" s="2"/>
      <c r="I1016" s="69"/>
      <c r="L1016" s="64"/>
    </row>
    <row r="1017">
      <c r="A1017" s="2"/>
      <c r="B1017" s="69"/>
      <c r="C1017" s="69"/>
      <c r="D1017" s="69"/>
      <c r="E1017" s="69"/>
      <c r="F1017" s="69"/>
      <c r="G1017" s="2"/>
      <c r="H1017" s="2"/>
      <c r="I1017" s="69"/>
      <c r="L1017" s="64"/>
    </row>
    <row r="1018">
      <c r="A1018" s="2"/>
      <c r="B1018" s="69"/>
      <c r="C1018" s="69"/>
      <c r="D1018" s="69"/>
      <c r="E1018" s="69"/>
      <c r="F1018" s="69"/>
      <c r="G1018" s="2"/>
      <c r="H1018" s="2"/>
      <c r="I1018" s="69"/>
      <c r="L1018" s="64"/>
    </row>
    <row r="1019">
      <c r="A1019" s="2"/>
      <c r="B1019" s="69"/>
      <c r="C1019" s="69"/>
      <c r="D1019" s="69"/>
      <c r="E1019" s="69"/>
      <c r="F1019" s="69"/>
      <c r="G1019" s="2"/>
      <c r="H1019" s="2"/>
      <c r="I1019" s="69"/>
      <c r="L1019" s="64"/>
    </row>
    <row r="1020">
      <c r="A1020" s="2"/>
      <c r="B1020" s="69"/>
      <c r="C1020" s="69"/>
      <c r="D1020" s="69"/>
      <c r="E1020" s="69"/>
      <c r="F1020" s="69"/>
      <c r="G1020" s="2"/>
      <c r="H1020" s="2"/>
      <c r="I1020" s="69"/>
      <c r="L1020" s="64"/>
    </row>
    <row r="1021">
      <c r="A1021" s="2"/>
      <c r="B1021" s="69"/>
      <c r="C1021" s="69"/>
      <c r="D1021" s="69"/>
      <c r="E1021" s="69"/>
      <c r="F1021" s="69"/>
      <c r="G1021" s="2"/>
      <c r="H1021" s="2"/>
      <c r="I1021" s="69"/>
      <c r="L1021" s="64"/>
    </row>
    <row r="1022">
      <c r="A1022" s="2"/>
      <c r="B1022" s="69"/>
      <c r="C1022" s="69"/>
      <c r="D1022" s="69"/>
      <c r="E1022" s="69"/>
      <c r="F1022" s="69"/>
      <c r="G1022" s="2"/>
      <c r="H1022" s="2"/>
      <c r="I1022" s="69"/>
      <c r="L1022" s="64"/>
    </row>
    <row r="1023">
      <c r="A1023" s="2"/>
      <c r="B1023" s="69"/>
      <c r="C1023" s="69"/>
      <c r="D1023" s="69"/>
      <c r="E1023" s="69"/>
      <c r="F1023" s="69"/>
      <c r="G1023" s="2"/>
      <c r="H1023" s="2"/>
      <c r="I1023" s="69"/>
      <c r="L1023" s="64"/>
    </row>
    <row r="1024">
      <c r="A1024" s="2"/>
      <c r="B1024" s="69"/>
      <c r="C1024" s="69"/>
      <c r="D1024" s="69"/>
      <c r="E1024" s="69"/>
      <c r="F1024" s="69"/>
      <c r="G1024" s="2"/>
      <c r="H1024" s="2"/>
      <c r="I1024" s="69"/>
      <c r="L1024" s="64"/>
    </row>
    <row r="1025">
      <c r="A1025" s="2"/>
      <c r="B1025" s="69"/>
      <c r="C1025" s="69"/>
      <c r="D1025" s="69"/>
      <c r="E1025" s="69"/>
      <c r="F1025" s="69"/>
      <c r="G1025" s="2"/>
      <c r="H1025" s="2"/>
      <c r="I1025" s="69"/>
      <c r="L1025" s="64"/>
    </row>
    <row r="1026">
      <c r="A1026" s="2"/>
      <c r="B1026" s="69"/>
      <c r="C1026" s="69"/>
      <c r="D1026" s="69"/>
      <c r="E1026" s="69"/>
      <c r="F1026" s="69"/>
      <c r="G1026" s="2"/>
      <c r="H1026" s="2"/>
      <c r="I1026" s="69"/>
      <c r="L1026" s="64"/>
    </row>
    <row r="1027">
      <c r="A1027" s="2"/>
      <c r="B1027" s="69"/>
      <c r="C1027" s="69"/>
      <c r="D1027" s="69"/>
      <c r="E1027" s="69"/>
      <c r="F1027" s="69"/>
      <c r="G1027" s="2"/>
      <c r="H1027" s="2"/>
      <c r="I1027" s="69"/>
      <c r="L1027" s="64"/>
    </row>
    <row r="1028">
      <c r="A1028" s="2"/>
      <c r="B1028" s="69"/>
      <c r="C1028" s="69"/>
      <c r="D1028" s="69"/>
      <c r="E1028" s="69"/>
      <c r="F1028" s="69"/>
      <c r="G1028" s="2"/>
      <c r="H1028" s="2"/>
      <c r="I1028" s="69"/>
      <c r="L1028" s="64"/>
    </row>
    <row r="1029">
      <c r="A1029" s="2"/>
      <c r="B1029" s="69"/>
      <c r="C1029" s="69"/>
      <c r="D1029" s="69"/>
      <c r="E1029" s="69"/>
      <c r="F1029" s="69"/>
      <c r="G1029" s="2"/>
      <c r="H1029" s="2"/>
      <c r="I1029" s="69"/>
      <c r="L1029" s="64"/>
    </row>
    <row r="1030">
      <c r="A1030" s="2"/>
      <c r="B1030" s="69"/>
      <c r="C1030" s="69"/>
      <c r="D1030" s="69"/>
      <c r="E1030" s="69"/>
      <c r="F1030" s="69"/>
      <c r="G1030" s="2"/>
      <c r="H1030" s="2"/>
      <c r="I1030" s="69"/>
      <c r="L1030" s="64"/>
    </row>
    <row r="1031">
      <c r="A1031" s="2"/>
      <c r="B1031" s="69"/>
      <c r="C1031" s="69"/>
      <c r="D1031" s="69"/>
      <c r="E1031" s="69"/>
      <c r="F1031" s="69"/>
      <c r="G1031" s="2"/>
      <c r="H1031" s="2"/>
      <c r="I1031" s="69"/>
      <c r="L1031" s="64"/>
    </row>
    <row r="1032">
      <c r="A1032" s="2"/>
      <c r="B1032" s="69"/>
      <c r="C1032" s="69"/>
      <c r="D1032" s="69"/>
      <c r="E1032" s="69"/>
      <c r="F1032" s="69"/>
      <c r="G1032" s="2"/>
      <c r="H1032" s="2"/>
      <c r="I1032" s="69"/>
      <c r="L1032" s="64"/>
    </row>
    <row r="1033">
      <c r="A1033" s="2"/>
      <c r="B1033" s="69"/>
      <c r="C1033" s="69"/>
      <c r="D1033" s="69"/>
      <c r="E1033" s="69"/>
      <c r="F1033" s="69"/>
      <c r="G1033" s="2"/>
      <c r="H1033" s="2"/>
      <c r="I1033" s="69"/>
      <c r="L1033" s="64"/>
    </row>
    <row r="1034">
      <c r="A1034" s="2"/>
      <c r="B1034" s="69"/>
      <c r="C1034" s="69"/>
      <c r="D1034" s="69"/>
      <c r="E1034" s="69"/>
      <c r="F1034" s="69"/>
      <c r="G1034" s="2"/>
      <c r="H1034" s="2"/>
      <c r="I1034" s="69"/>
      <c r="L1034" s="64"/>
    </row>
    <row r="1035">
      <c r="A1035" s="2"/>
      <c r="B1035" s="69"/>
      <c r="C1035" s="69"/>
      <c r="D1035" s="69"/>
      <c r="E1035" s="69"/>
      <c r="F1035" s="69"/>
      <c r="G1035" s="2"/>
      <c r="H1035" s="2"/>
      <c r="I1035" s="69"/>
      <c r="L1035" s="64"/>
    </row>
    <row r="1036">
      <c r="A1036" s="2"/>
      <c r="B1036" s="69"/>
      <c r="C1036" s="69"/>
      <c r="D1036" s="69"/>
      <c r="E1036" s="69"/>
      <c r="F1036" s="69"/>
      <c r="G1036" s="2"/>
      <c r="H1036" s="2"/>
      <c r="I1036" s="69"/>
      <c r="L1036" s="64"/>
    </row>
    <row r="1037">
      <c r="A1037" s="2"/>
      <c r="B1037" s="69"/>
      <c r="C1037" s="69"/>
      <c r="D1037" s="69"/>
      <c r="E1037" s="69"/>
      <c r="F1037" s="69"/>
      <c r="G1037" s="2"/>
      <c r="H1037" s="2"/>
      <c r="I1037" s="69"/>
      <c r="L1037" s="64"/>
    </row>
    <row r="1038">
      <c r="A1038" s="2"/>
      <c r="B1038" s="69"/>
      <c r="C1038" s="69"/>
      <c r="D1038" s="69"/>
      <c r="E1038" s="69"/>
      <c r="F1038" s="69"/>
      <c r="G1038" s="2"/>
      <c r="H1038" s="2"/>
      <c r="I1038" s="69"/>
      <c r="L1038" s="64"/>
    </row>
    <row r="1039">
      <c r="A1039" s="2"/>
      <c r="B1039" s="69"/>
      <c r="C1039" s="69"/>
      <c r="D1039" s="69"/>
      <c r="E1039" s="69"/>
      <c r="F1039" s="69"/>
      <c r="G1039" s="2"/>
      <c r="H1039" s="2"/>
      <c r="I1039" s="69"/>
      <c r="L1039" s="64"/>
    </row>
    <row r="1040">
      <c r="A1040" s="2"/>
      <c r="B1040" s="69"/>
      <c r="C1040" s="69"/>
      <c r="D1040" s="69"/>
      <c r="E1040" s="69"/>
      <c r="F1040" s="69"/>
      <c r="G1040" s="2"/>
      <c r="H1040" s="2"/>
      <c r="I1040" s="69"/>
      <c r="L1040" s="64"/>
    </row>
    <row r="1041">
      <c r="A1041" s="2"/>
      <c r="B1041" s="69"/>
      <c r="C1041" s="69"/>
      <c r="D1041" s="69"/>
      <c r="E1041" s="69"/>
      <c r="F1041" s="69"/>
      <c r="G1041" s="2"/>
      <c r="H1041" s="2"/>
      <c r="I1041" s="69"/>
      <c r="L1041" s="64"/>
    </row>
    <row r="1042">
      <c r="A1042" s="2"/>
      <c r="B1042" s="69"/>
      <c r="C1042" s="69"/>
      <c r="D1042" s="69"/>
      <c r="E1042" s="69"/>
      <c r="F1042" s="69"/>
      <c r="G1042" s="2"/>
      <c r="H1042" s="2"/>
      <c r="I1042" s="69"/>
      <c r="L1042" s="64"/>
    </row>
    <row r="1043">
      <c r="A1043" s="2"/>
      <c r="B1043" s="69"/>
      <c r="C1043" s="69"/>
      <c r="D1043" s="69"/>
      <c r="E1043" s="69"/>
      <c r="F1043" s="69"/>
      <c r="G1043" s="2"/>
      <c r="H1043" s="2"/>
      <c r="I1043" s="69"/>
      <c r="L1043" s="64"/>
    </row>
    <row r="1044">
      <c r="A1044" s="2"/>
      <c r="B1044" s="69"/>
      <c r="C1044" s="69"/>
      <c r="D1044" s="69"/>
      <c r="E1044" s="69"/>
      <c r="F1044" s="69"/>
      <c r="G1044" s="2"/>
      <c r="H1044" s="2"/>
      <c r="I1044" s="69"/>
      <c r="L1044" s="64"/>
    </row>
    <row r="1045">
      <c r="A1045" s="2"/>
      <c r="B1045" s="69"/>
      <c r="C1045" s="69"/>
      <c r="D1045" s="69"/>
      <c r="E1045" s="69"/>
      <c r="F1045" s="69"/>
      <c r="G1045" s="2"/>
      <c r="H1045" s="2"/>
      <c r="I1045" s="69"/>
      <c r="L1045" s="64"/>
    </row>
    <row r="1046">
      <c r="A1046" s="2"/>
      <c r="B1046" s="69"/>
      <c r="C1046" s="69"/>
      <c r="D1046" s="69"/>
      <c r="E1046" s="69"/>
      <c r="F1046" s="69"/>
      <c r="G1046" s="2"/>
      <c r="H1046" s="2"/>
      <c r="I1046" s="69"/>
      <c r="L1046" s="64"/>
    </row>
    <row r="1047">
      <c r="A1047" s="2"/>
      <c r="B1047" s="69"/>
      <c r="C1047" s="69"/>
      <c r="D1047" s="69"/>
      <c r="E1047" s="69"/>
      <c r="F1047" s="69"/>
      <c r="G1047" s="2"/>
      <c r="H1047" s="2"/>
      <c r="I1047" s="69"/>
      <c r="L1047" s="64"/>
    </row>
    <row r="1048">
      <c r="A1048" s="2"/>
      <c r="B1048" s="69"/>
      <c r="C1048" s="69"/>
      <c r="D1048" s="69"/>
      <c r="E1048" s="69"/>
      <c r="F1048" s="69"/>
      <c r="G1048" s="2"/>
      <c r="H1048" s="2"/>
      <c r="I1048" s="69"/>
      <c r="L1048" s="64"/>
    </row>
    <row r="1049">
      <c r="A1049" s="2"/>
      <c r="B1049" s="69"/>
      <c r="C1049" s="69"/>
      <c r="D1049" s="69"/>
      <c r="E1049" s="69"/>
      <c r="F1049" s="69"/>
      <c r="G1049" s="2"/>
      <c r="H1049" s="2"/>
      <c r="I1049" s="69"/>
      <c r="L1049" s="64"/>
    </row>
    <row r="1050">
      <c r="A1050" s="2"/>
      <c r="B1050" s="69"/>
      <c r="C1050" s="69"/>
      <c r="D1050" s="69"/>
      <c r="E1050" s="69"/>
      <c r="F1050" s="69"/>
      <c r="G1050" s="2"/>
      <c r="H1050" s="2"/>
      <c r="I1050" s="69"/>
      <c r="L1050" s="64"/>
    </row>
    <row r="1051">
      <c r="A1051" s="2"/>
      <c r="B1051" s="69"/>
      <c r="C1051" s="69"/>
      <c r="D1051" s="69"/>
      <c r="E1051" s="69"/>
      <c r="F1051" s="69"/>
      <c r="G1051" s="2"/>
      <c r="H1051" s="2"/>
      <c r="I1051" s="69"/>
      <c r="L1051" s="64"/>
    </row>
    <row r="1052">
      <c r="A1052" s="2"/>
      <c r="B1052" s="69"/>
      <c r="C1052" s="69"/>
      <c r="D1052" s="69"/>
      <c r="E1052" s="69"/>
      <c r="F1052" s="69"/>
      <c r="G1052" s="2"/>
      <c r="H1052" s="2"/>
      <c r="I1052" s="69"/>
      <c r="L1052" s="64"/>
    </row>
    <row r="1053">
      <c r="A1053" s="2"/>
      <c r="B1053" s="69"/>
      <c r="C1053" s="69"/>
      <c r="D1053" s="69"/>
      <c r="E1053" s="69"/>
      <c r="F1053" s="69"/>
      <c r="G1053" s="2"/>
      <c r="H1053" s="2"/>
      <c r="I1053" s="69"/>
      <c r="L1053" s="64"/>
    </row>
    <row r="1054">
      <c r="A1054" s="2"/>
      <c r="B1054" s="69"/>
      <c r="C1054" s="69"/>
      <c r="D1054" s="69"/>
      <c r="E1054" s="69"/>
      <c r="F1054" s="69"/>
      <c r="G1054" s="2"/>
      <c r="H1054" s="2"/>
      <c r="I1054" s="69"/>
      <c r="L1054" s="64"/>
    </row>
    <row r="1055">
      <c r="A1055" s="2"/>
      <c r="B1055" s="69"/>
      <c r="C1055" s="69"/>
      <c r="D1055" s="69"/>
      <c r="E1055" s="69"/>
      <c r="F1055" s="69"/>
      <c r="G1055" s="2"/>
      <c r="H1055" s="2"/>
      <c r="I1055" s="69"/>
      <c r="L1055" s="64"/>
    </row>
    <row r="1056">
      <c r="A1056" s="2"/>
      <c r="B1056" s="69"/>
      <c r="C1056" s="69"/>
      <c r="D1056" s="69"/>
      <c r="E1056" s="69"/>
      <c r="F1056" s="69"/>
      <c r="G1056" s="2"/>
      <c r="H1056" s="2"/>
      <c r="I1056" s="69"/>
      <c r="L1056" s="64"/>
    </row>
    <row r="1057">
      <c r="A1057" s="2"/>
      <c r="B1057" s="69"/>
      <c r="C1057" s="69"/>
      <c r="D1057" s="69"/>
      <c r="E1057" s="69"/>
      <c r="F1057" s="69"/>
      <c r="G1057" s="2"/>
      <c r="H1057" s="2"/>
      <c r="I1057" s="69"/>
      <c r="L1057" s="64"/>
    </row>
    <row r="1058">
      <c r="A1058" s="2"/>
      <c r="B1058" s="69"/>
      <c r="C1058" s="69"/>
      <c r="D1058" s="69"/>
      <c r="E1058" s="69"/>
      <c r="F1058" s="69"/>
      <c r="G1058" s="2"/>
      <c r="H1058" s="2"/>
      <c r="I1058" s="69"/>
      <c r="L1058" s="64"/>
    </row>
    <row r="1059">
      <c r="A1059" s="2"/>
      <c r="B1059" s="69"/>
      <c r="C1059" s="69"/>
      <c r="D1059" s="69"/>
      <c r="E1059" s="69"/>
      <c r="F1059" s="69"/>
      <c r="G1059" s="2"/>
      <c r="H1059" s="2"/>
      <c r="I1059" s="69"/>
      <c r="L1059" s="64"/>
    </row>
    <row r="1060">
      <c r="A1060" s="2"/>
      <c r="B1060" s="69"/>
      <c r="C1060" s="69"/>
      <c r="D1060" s="69"/>
      <c r="E1060" s="69"/>
      <c r="F1060" s="69"/>
      <c r="G1060" s="2"/>
      <c r="H1060" s="2"/>
      <c r="I1060" s="69"/>
      <c r="L1060" s="64"/>
    </row>
    <row r="1061">
      <c r="A1061" s="2"/>
      <c r="B1061" s="69"/>
      <c r="C1061" s="69"/>
      <c r="D1061" s="69"/>
      <c r="E1061" s="69"/>
      <c r="F1061" s="69"/>
      <c r="G1061" s="2"/>
      <c r="H1061" s="2"/>
      <c r="I1061" s="69"/>
      <c r="L1061" s="64"/>
    </row>
    <row r="1062">
      <c r="A1062" s="2"/>
      <c r="B1062" s="69"/>
      <c r="C1062" s="69"/>
      <c r="D1062" s="69"/>
      <c r="E1062" s="69"/>
      <c r="F1062" s="69"/>
      <c r="G1062" s="2"/>
      <c r="H1062" s="2"/>
      <c r="I1062" s="69"/>
      <c r="L1062" s="64"/>
    </row>
    <row r="1063">
      <c r="A1063" s="2"/>
      <c r="B1063" s="69"/>
      <c r="C1063" s="69"/>
      <c r="D1063" s="69"/>
      <c r="E1063" s="69"/>
      <c r="F1063" s="69"/>
      <c r="G1063" s="2"/>
      <c r="H1063" s="2"/>
      <c r="I1063" s="69"/>
      <c r="L1063" s="64"/>
    </row>
    <row r="1064">
      <c r="A1064" s="2"/>
      <c r="B1064" s="69"/>
      <c r="C1064" s="69"/>
      <c r="D1064" s="69"/>
      <c r="E1064" s="69"/>
      <c r="F1064" s="69"/>
      <c r="G1064" s="2"/>
      <c r="H1064" s="2"/>
      <c r="I1064" s="69"/>
      <c r="L1064" s="64"/>
    </row>
    <row r="1065">
      <c r="A1065" s="2"/>
      <c r="B1065" s="69"/>
      <c r="C1065" s="69"/>
      <c r="D1065" s="69"/>
      <c r="E1065" s="69"/>
      <c r="F1065" s="69"/>
      <c r="G1065" s="2"/>
      <c r="H1065" s="2"/>
      <c r="I1065" s="69"/>
      <c r="L1065" s="64"/>
    </row>
    <row r="1066">
      <c r="A1066" s="2"/>
      <c r="B1066" s="69"/>
      <c r="C1066" s="69"/>
      <c r="D1066" s="69"/>
      <c r="E1066" s="69"/>
      <c r="F1066" s="69"/>
      <c r="G1066" s="2"/>
      <c r="H1066" s="2"/>
      <c r="I1066" s="69"/>
      <c r="L1066" s="64"/>
    </row>
    <row r="1067">
      <c r="A1067" s="2"/>
      <c r="B1067" s="69"/>
      <c r="C1067" s="69"/>
      <c r="D1067" s="69"/>
      <c r="E1067" s="69"/>
      <c r="F1067" s="69"/>
      <c r="G1067" s="2"/>
      <c r="H1067" s="2"/>
      <c r="I1067" s="69"/>
      <c r="L1067" s="64"/>
    </row>
    <row r="1068">
      <c r="A1068" s="2"/>
      <c r="B1068" s="69"/>
      <c r="C1068" s="69"/>
      <c r="D1068" s="69"/>
      <c r="E1068" s="69"/>
      <c r="F1068" s="69"/>
      <c r="G1068" s="2"/>
      <c r="H1068" s="2"/>
      <c r="I1068" s="69"/>
      <c r="L1068" s="64"/>
    </row>
    <row r="1069">
      <c r="A1069" s="2"/>
      <c r="B1069" s="69"/>
      <c r="C1069" s="69"/>
      <c r="D1069" s="69"/>
      <c r="E1069" s="69"/>
      <c r="F1069" s="69"/>
      <c r="G1069" s="2"/>
      <c r="H1069" s="2"/>
      <c r="I1069" s="69"/>
      <c r="L1069" s="64"/>
    </row>
    <row r="1070">
      <c r="A1070" s="2"/>
      <c r="B1070" s="69"/>
      <c r="C1070" s="69"/>
      <c r="D1070" s="69"/>
      <c r="E1070" s="69"/>
      <c r="F1070" s="69"/>
      <c r="G1070" s="2"/>
      <c r="H1070" s="2"/>
      <c r="I1070" s="69"/>
      <c r="L1070" s="64"/>
    </row>
    <row r="1071">
      <c r="A1071" s="2"/>
      <c r="B1071" s="69"/>
      <c r="C1071" s="69"/>
      <c r="D1071" s="69"/>
      <c r="E1071" s="69"/>
      <c r="F1071" s="69"/>
      <c r="G1071" s="2"/>
      <c r="H1071" s="2"/>
      <c r="I1071" s="69"/>
      <c r="L1071" s="64"/>
    </row>
    <row r="1072">
      <c r="A1072" s="2"/>
      <c r="B1072" s="69"/>
      <c r="C1072" s="69"/>
      <c r="D1072" s="69"/>
      <c r="E1072" s="69"/>
      <c r="F1072" s="69"/>
      <c r="G1072" s="2"/>
      <c r="H1072" s="2"/>
      <c r="I1072" s="69"/>
      <c r="L1072" s="64"/>
    </row>
    <row r="1073">
      <c r="A1073" s="2"/>
      <c r="B1073" s="69"/>
      <c r="C1073" s="69"/>
      <c r="D1073" s="69"/>
      <c r="E1073" s="69"/>
      <c r="F1073" s="69"/>
      <c r="G1073" s="2"/>
      <c r="H1073" s="2"/>
      <c r="I1073" s="69"/>
      <c r="L1073" s="64"/>
    </row>
    <row r="1074">
      <c r="A1074" s="2"/>
      <c r="B1074" s="69"/>
      <c r="C1074" s="69"/>
      <c r="D1074" s="69"/>
      <c r="E1074" s="69"/>
      <c r="F1074" s="69"/>
      <c r="G1074" s="2"/>
      <c r="H1074" s="2"/>
      <c r="I1074" s="69"/>
      <c r="L1074" s="64"/>
    </row>
    <row r="1075">
      <c r="A1075" s="2"/>
      <c r="B1075" s="69"/>
      <c r="C1075" s="69"/>
      <c r="D1075" s="69"/>
      <c r="E1075" s="69"/>
      <c r="F1075" s="69"/>
      <c r="G1075" s="2"/>
      <c r="H1075" s="2"/>
      <c r="I1075" s="69"/>
      <c r="L1075" s="64"/>
    </row>
    <row r="1076">
      <c r="A1076" s="2"/>
      <c r="B1076" s="69"/>
      <c r="C1076" s="69"/>
      <c r="D1076" s="69"/>
      <c r="E1076" s="69"/>
      <c r="F1076" s="69"/>
      <c r="G1076" s="2"/>
      <c r="H1076" s="2"/>
      <c r="I1076" s="69"/>
      <c r="L1076" s="64"/>
    </row>
    <row r="1077">
      <c r="A1077" s="2"/>
      <c r="B1077" s="69"/>
      <c r="C1077" s="69"/>
      <c r="D1077" s="69"/>
      <c r="E1077" s="69"/>
      <c r="F1077" s="69"/>
      <c r="G1077" s="2"/>
      <c r="H1077" s="2"/>
      <c r="I1077" s="69"/>
      <c r="L1077" s="64"/>
    </row>
    <row r="1078">
      <c r="A1078" s="2"/>
      <c r="B1078" s="69"/>
      <c r="C1078" s="69"/>
      <c r="D1078" s="69"/>
      <c r="E1078" s="69"/>
      <c r="F1078" s="69"/>
      <c r="G1078" s="2"/>
      <c r="H1078" s="2"/>
      <c r="I1078" s="69"/>
      <c r="L1078" s="64"/>
    </row>
    <row r="1079">
      <c r="A1079" s="2"/>
      <c r="B1079" s="69"/>
      <c r="C1079" s="69"/>
      <c r="D1079" s="69"/>
      <c r="E1079" s="69"/>
      <c r="F1079" s="69"/>
      <c r="G1079" s="2"/>
      <c r="H1079" s="2"/>
      <c r="I1079" s="69"/>
      <c r="L1079" s="64"/>
    </row>
    <row r="1080">
      <c r="A1080" s="2"/>
      <c r="B1080" s="69"/>
      <c r="C1080" s="69"/>
      <c r="D1080" s="69"/>
      <c r="E1080" s="69"/>
      <c r="F1080" s="69"/>
      <c r="G1080" s="2"/>
      <c r="H1080" s="2"/>
      <c r="I1080" s="69"/>
      <c r="L1080" s="64"/>
    </row>
    <row r="1081">
      <c r="A1081" s="2"/>
      <c r="B1081" s="69"/>
      <c r="C1081" s="69"/>
      <c r="D1081" s="69"/>
      <c r="E1081" s="69"/>
      <c r="F1081" s="69"/>
      <c r="G1081" s="2"/>
      <c r="H1081" s="2"/>
      <c r="I1081" s="69"/>
      <c r="L1081" s="64"/>
    </row>
    <row r="1082">
      <c r="A1082" s="2"/>
      <c r="B1082" s="69"/>
      <c r="C1082" s="69"/>
      <c r="D1082" s="69"/>
      <c r="E1082" s="69"/>
      <c r="F1082" s="69"/>
      <c r="G1082" s="2"/>
      <c r="H1082" s="2"/>
      <c r="I1082" s="69"/>
      <c r="L1082" s="64"/>
    </row>
    <row r="1083">
      <c r="A1083" s="2"/>
      <c r="B1083" s="69"/>
      <c r="C1083" s="69"/>
      <c r="D1083" s="69"/>
      <c r="E1083" s="69"/>
      <c r="F1083" s="69"/>
      <c r="G1083" s="2"/>
      <c r="H1083" s="2"/>
      <c r="I1083" s="69"/>
      <c r="L1083" s="64"/>
    </row>
    <row r="1084">
      <c r="A1084" s="2"/>
      <c r="B1084" s="69"/>
      <c r="C1084" s="69"/>
      <c r="D1084" s="69"/>
      <c r="E1084" s="69"/>
      <c r="F1084" s="69"/>
      <c r="G1084" s="2"/>
      <c r="H1084" s="2"/>
      <c r="I1084" s="69"/>
      <c r="L1084" s="64"/>
    </row>
    <row r="1085">
      <c r="A1085" s="2"/>
      <c r="B1085" s="69"/>
      <c r="C1085" s="69"/>
      <c r="D1085" s="69"/>
      <c r="E1085" s="69"/>
      <c r="F1085" s="69"/>
      <c r="G1085" s="2"/>
      <c r="H1085" s="2"/>
      <c r="I1085" s="69"/>
      <c r="L1085" s="64"/>
    </row>
    <row r="1086">
      <c r="A1086" s="2"/>
      <c r="B1086" s="69"/>
      <c r="C1086" s="69"/>
      <c r="D1086" s="69"/>
      <c r="E1086" s="69"/>
      <c r="F1086" s="69"/>
      <c r="G1086" s="2"/>
      <c r="H1086" s="2"/>
      <c r="I1086" s="69"/>
      <c r="L1086" s="64"/>
    </row>
    <row r="1087">
      <c r="A1087" s="2"/>
      <c r="B1087" s="69"/>
      <c r="C1087" s="69"/>
      <c r="D1087" s="69"/>
      <c r="E1087" s="69"/>
      <c r="F1087" s="69"/>
      <c r="G1087" s="2"/>
      <c r="H1087" s="2"/>
      <c r="I1087" s="69"/>
      <c r="L1087" s="64"/>
    </row>
    <row r="1088">
      <c r="A1088" s="2"/>
      <c r="B1088" s="69"/>
      <c r="C1088" s="69"/>
      <c r="D1088" s="69"/>
      <c r="E1088" s="69"/>
      <c r="F1088" s="69"/>
      <c r="G1088" s="2"/>
      <c r="H1088" s="2"/>
      <c r="I1088" s="69"/>
      <c r="L1088" s="64"/>
    </row>
    <row r="1089">
      <c r="A1089" s="2"/>
      <c r="B1089" s="69"/>
      <c r="C1089" s="69"/>
      <c r="D1089" s="69"/>
      <c r="E1089" s="69"/>
      <c r="F1089" s="69"/>
      <c r="G1089" s="2"/>
      <c r="H1089" s="2"/>
      <c r="I1089" s="69"/>
      <c r="L1089" s="64"/>
    </row>
    <row r="1090">
      <c r="A1090" s="2"/>
      <c r="B1090" s="69"/>
      <c r="C1090" s="69"/>
      <c r="D1090" s="69"/>
      <c r="E1090" s="69"/>
      <c r="F1090" s="69"/>
      <c r="G1090" s="2"/>
      <c r="H1090" s="2"/>
      <c r="I1090" s="69"/>
      <c r="L1090" s="64"/>
    </row>
    <row r="1091">
      <c r="A1091" s="2"/>
      <c r="B1091" s="69"/>
      <c r="C1091" s="69"/>
      <c r="D1091" s="69"/>
      <c r="E1091" s="69"/>
      <c r="F1091" s="69"/>
      <c r="G1091" s="2"/>
      <c r="H1091" s="2"/>
      <c r="I1091" s="69"/>
      <c r="L1091" s="64"/>
    </row>
    <row r="1092">
      <c r="A1092" s="2"/>
      <c r="B1092" s="69"/>
      <c r="C1092" s="69"/>
      <c r="D1092" s="69"/>
      <c r="E1092" s="69"/>
      <c r="F1092" s="69"/>
      <c r="G1092" s="2"/>
      <c r="H1092" s="2"/>
      <c r="I1092" s="69"/>
      <c r="L1092" s="64"/>
    </row>
    <row r="1093">
      <c r="A1093" s="2"/>
      <c r="B1093" s="69"/>
      <c r="C1093" s="69"/>
      <c r="D1093" s="69"/>
      <c r="E1093" s="69"/>
      <c r="F1093" s="69"/>
      <c r="G1093" s="2"/>
      <c r="H1093" s="2"/>
      <c r="I1093" s="69"/>
      <c r="L1093" s="64"/>
    </row>
    <row r="1094">
      <c r="A1094" s="2"/>
      <c r="B1094" s="69"/>
      <c r="C1094" s="69"/>
      <c r="D1094" s="69"/>
      <c r="E1094" s="69"/>
      <c r="F1094" s="69"/>
      <c r="G1094" s="2"/>
      <c r="H1094" s="2"/>
      <c r="I1094" s="69"/>
      <c r="L1094" s="64"/>
    </row>
    <row r="1095">
      <c r="A1095" s="2"/>
      <c r="B1095" s="69"/>
      <c r="C1095" s="69"/>
      <c r="D1095" s="69"/>
      <c r="E1095" s="69"/>
      <c r="F1095" s="69"/>
      <c r="G1095" s="2"/>
      <c r="H1095" s="2"/>
      <c r="I1095" s="69"/>
      <c r="L1095" s="64"/>
    </row>
    <row r="1096">
      <c r="A1096" s="2"/>
      <c r="B1096" s="69"/>
      <c r="C1096" s="69"/>
      <c r="D1096" s="69"/>
      <c r="E1096" s="69"/>
      <c r="F1096" s="69"/>
      <c r="G1096" s="2"/>
      <c r="H1096" s="2"/>
      <c r="I1096" s="69"/>
      <c r="L1096" s="64"/>
    </row>
    <row r="1097">
      <c r="A1097" s="2"/>
      <c r="B1097" s="69"/>
      <c r="C1097" s="69"/>
      <c r="D1097" s="69"/>
      <c r="E1097" s="69"/>
      <c r="F1097" s="69"/>
      <c r="G1097" s="2"/>
      <c r="H1097" s="2"/>
      <c r="I1097" s="69"/>
      <c r="L1097" s="64"/>
    </row>
    <row r="1098">
      <c r="A1098" s="2"/>
      <c r="B1098" s="69"/>
      <c r="C1098" s="69"/>
      <c r="D1098" s="69"/>
      <c r="E1098" s="69"/>
      <c r="F1098" s="69"/>
      <c r="G1098" s="2"/>
      <c r="H1098" s="2"/>
      <c r="I1098" s="69"/>
      <c r="L1098" s="64"/>
    </row>
    <row r="1099">
      <c r="A1099" s="2"/>
      <c r="B1099" s="69"/>
      <c r="C1099" s="69"/>
      <c r="D1099" s="69"/>
      <c r="E1099" s="69"/>
      <c r="F1099" s="69"/>
      <c r="G1099" s="2"/>
      <c r="H1099" s="2"/>
      <c r="I1099" s="69"/>
      <c r="L1099" s="64"/>
    </row>
    <row r="1100">
      <c r="A1100" s="2"/>
      <c r="B1100" s="69"/>
      <c r="C1100" s="69"/>
      <c r="D1100" s="69"/>
      <c r="E1100" s="69"/>
      <c r="F1100" s="69"/>
      <c r="G1100" s="2"/>
      <c r="H1100" s="2"/>
      <c r="I1100" s="69"/>
      <c r="L1100" s="64"/>
    </row>
    <row r="1101">
      <c r="A1101" s="2"/>
      <c r="B1101" s="69"/>
      <c r="C1101" s="69"/>
      <c r="D1101" s="69"/>
      <c r="E1101" s="69"/>
      <c r="F1101" s="69"/>
      <c r="G1101" s="2"/>
      <c r="H1101" s="2"/>
      <c r="I1101" s="69"/>
      <c r="L1101" s="64"/>
    </row>
    <row r="1102">
      <c r="A1102" s="2"/>
      <c r="B1102" s="69"/>
      <c r="C1102" s="69"/>
      <c r="D1102" s="69"/>
      <c r="E1102" s="69"/>
      <c r="F1102" s="69"/>
      <c r="G1102" s="2"/>
      <c r="H1102" s="2"/>
      <c r="I1102" s="69"/>
      <c r="L1102" s="64"/>
    </row>
    <row r="1103">
      <c r="A1103" s="2"/>
      <c r="B1103" s="69"/>
      <c r="C1103" s="69"/>
      <c r="D1103" s="69"/>
      <c r="E1103" s="69"/>
      <c r="F1103" s="69"/>
      <c r="G1103" s="2"/>
      <c r="H1103" s="2"/>
      <c r="I1103" s="69"/>
      <c r="L1103" s="64"/>
    </row>
    <row r="1104">
      <c r="A1104" s="2"/>
      <c r="B1104" s="69"/>
      <c r="C1104" s="69"/>
      <c r="D1104" s="69"/>
      <c r="E1104" s="69"/>
      <c r="F1104" s="69"/>
      <c r="G1104" s="2"/>
      <c r="H1104" s="2"/>
      <c r="I1104" s="69"/>
      <c r="L1104" s="64"/>
    </row>
    <row r="1105">
      <c r="A1105" s="2"/>
      <c r="B1105" s="69"/>
      <c r="C1105" s="69"/>
      <c r="D1105" s="69"/>
      <c r="E1105" s="69"/>
      <c r="F1105" s="69"/>
      <c r="G1105" s="2"/>
      <c r="H1105" s="2"/>
      <c r="I1105" s="69"/>
      <c r="L1105" s="64"/>
    </row>
    <row r="1106">
      <c r="A1106" s="2"/>
      <c r="B1106" s="69"/>
      <c r="C1106" s="69"/>
      <c r="D1106" s="69"/>
      <c r="E1106" s="69"/>
      <c r="F1106" s="69"/>
      <c r="G1106" s="2"/>
      <c r="H1106" s="2"/>
      <c r="I1106" s="69"/>
      <c r="L1106" s="64"/>
    </row>
    <row r="1107">
      <c r="A1107" s="2"/>
      <c r="B1107" s="69"/>
      <c r="C1107" s="69"/>
      <c r="D1107" s="69"/>
      <c r="E1107" s="69"/>
      <c r="F1107" s="69"/>
      <c r="G1107" s="2"/>
      <c r="H1107" s="2"/>
      <c r="I1107" s="69"/>
      <c r="L1107" s="64"/>
    </row>
    <row r="1108">
      <c r="A1108" s="2"/>
      <c r="B1108" s="69"/>
      <c r="C1108" s="69"/>
      <c r="D1108" s="69"/>
      <c r="E1108" s="69"/>
      <c r="F1108" s="69"/>
      <c r="G1108" s="2"/>
      <c r="H1108" s="2"/>
      <c r="I1108" s="69"/>
      <c r="L1108" s="64"/>
    </row>
    <row r="1109">
      <c r="A1109" s="2"/>
      <c r="B1109" s="69"/>
      <c r="C1109" s="69"/>
      <c r="D1109" s="69"/>
      <c r="E1109" s="69"/>
      <c r="F1109" s="69"/>
      <c r="G1109" s="2"/>
      <c r="H1109" s="2"/>
      <c r="I1109" s="69"/>
      <c r="L1109" s="64"/>
    </row>
    <row r="1110">
      <c r="A1110" s="2"/>
      <c r="B1110" s="69"/>
      <c r="C1110" s="69"/>
      <c r="D1110" s="69"/>
      <c r="E1110" s="69"/>
      <c r="F1110" s="69"/>
      <c r="G1110" s="2"/>
      <c r="H1110" s="2"/>
      <c r="I1110" s="69"/>
      <c r="L1110" s="64"/>
    </row>
    <row r="1111">
      <c r="A1111" s="2"/>
      <c r="B1111" s="69"/>
      <c r="C1111" s="69"/>
      <c r="D1111" s="69"/>
      <c r="E1111" s="69"/>
      <c r="F1111" s="69"/>
      <c r="G1111" s="2"/>
      <c r="H1111" s="2"/>
      <c r="I1111" s="69"/>
      <c r="L1111" s="64"/>
    </row>
    <row r="1112">
      <c r="A1112" s="2"/>
      <c r="B1112" s="69"/>
      <c r="C1112" s="69"/>
      <c r="D1112" s="69"/>
      <c r="E1112" s="69"/>
      <c r="F1112" s="69"/>
      <c r="G1112" s="2"/>
      <c r="H1112" s="2"/>
      <c r="I1112" s="69"/>
      <c r="L1112" s="64"/>
    </row>
    <row r="1113">
      <c r="A1113" s="2"/>
      <c r="B1113" s="69"/>
      <c r="C1113" s="69"/>
      <c r="D1113" s="69"/>
      <c r="E1113" s="69"/>
      <c r="F1113" s="69"/>
      <c r="G1113" s="2"/>
      <c r="H1113" s="2"/>
      <c r="I1113" s="69"/>
      <c r="L1113" s="64"/>
    </row>
    <row r="1114">
      <c r="A1114" s="2"/>
      <c r="B1114" s="69"/>
      <c r="C1114" s="69"/>
      <c r="D1114" s="69"/>
      <c r="E1114" s="69"/>
      <c r="F1114" s="69"/>
      <c r="G1114" s="2"/>
      <c r="H1114" s="2"/>
      <c r="I1114" s="69"/>
      <c r="L1114" s="64"/>
    </row>
    <row r="1115">
      <c r="A1115" s="2"/>
      <c r="B1115" s="69"/>
      <c r="C1115" s="69"/>
      <c r="D1115" s="69"/>
      <c r="E1115" s="69"/>
      <c r="F1115" s="69"/>
      <c r="G1115" s="2"/>
      <c r="H1115" s="2"/>
      <c r="I1115" s="69"/>
      <c r="L1115" s="64"/>
    </row>
    <row r="1116">
      <c r="A1116" s="2"/>
      <c r="B1116" s="69"/>
      <c r="C1116" s="69"/>
      <c r="D1116" s="69"/>
      <c r="E1116" s="69"/>
      <c r="F1116" s="69"/>
      <c r="G1116" s="2"/>
      <c r="H1116" s="2"/>
      <c r="I1116" s="69"/>
      <c r="L1116" s="64"/>
    </row>
    <row r="1117">
      <c r="A1117" s="2"/>
      <c r="B1117" s="69"/>
      <c r="C1117" s="69"/>
      <c r="D1117" s="69"/>
      <c r="E1117" s="69"/>
      <c r="F1117" s="69"/>
      <c r="G1117" s="2"/>
      <c r="H1117" s="2"/>
      <c r="I1117" s="69"/>
      <c r="L1117" s="64"/>
    </row>
    <row r="1118">
      <c r="A1118" s="2"/>
      <c r="B1118" s="69"/>
      <c r="C1118" s="69"/>
      <c r="D1118" s="69"/>
      <c r="E1118" s="69"/>
      <c r="F1118" s="69"/>
      <c r="G1118" s="2"/>
      <c r="H1118" s="2"/>
      <c r="I1118" s="69"/>
      <c r="L1118" s="64"/>
    </row>
    <row r="1119">
      <c r="A1119" s="2"/>
      <c r="B1119" s="69"/>
      <c r="C1119" s="69"/>
      <c r="D1119" s="69"/>
      <c r="E1119" s="69"/>
      <c r="F1119" s="69"/>
      <c r="G1119" s="2"/>
      <c r="H1119" s="2"/>
      <c r="I1119" s="69"/>
      <c r="L1119" s="64"/>
    </row>
    <row r="1120">
      <c r="A1120" s="2"/>
      <c r="B1120" s="69"/>
      <c r="C1120" s="69"/>
      <c r="D1120" s="69"/>
      <c r="E1120" s="69"/>
      <c r="F1120" s="69"/>
      <c r="G1120" s="2"/>
      <c r="H1120" s="2"/>
      <c r="I1120" s="69"/>
      <c r="L1120" s="64"/>
    </row>
    <row r="1121">
      <c r="A1121" s="2"/>
      <c r="B1121" s="69"/>
      <c r="C1121" s="69"/>
      <c r="D1121" s="69"/>
      <c r="E1121" s="69"/>
      <c r="F1121" s="69"/>
      <c r="G1121" s="2"/>
      <c r="H1121" s="2"/>
      <c r="I1121" s="69"/>
      <c r="L1121" s="64"/>
    </row>
    <row r="1122">
      <c r="A1122" s="2"/>
      <c r="B1122" s="69"/>
      <c r="C1122" s="69"/>
      <c r="D1122" s="69"/>
      <c r="E1122" s="69"/>
      <c r="F1122" s="69"/>
      <c r="G1122" s="2"/>
      <c r="H1122" s="2"/>
      <c r="I1122" s="69"/>
      <c r="L1122" s="64"/>
    </row>
    <row r="1123">
      <c r="A1123" s="2"/>
      <c r="B1123" s="69"/>
      <c r="C1123" s="69"/>
      <c r="D1123" s="69"/>
      <c r="E1123" s="69"/>
      <c r="F1123" s="69"/>
      <c r="G1123" s="2"/>
      <c r="H1123" s="2"/>
      <c r="I1123" s="69"/>
      <c r="L1123" s="64"/>
    </row>
    <row r="1124">
      <c r="A1124" s="2"/>
      <c r="B1124" s="69"/>
      <c r="C1124" s="69"/>
      <c r="D1124" s="69"/>
      <c r="E1124" s="69"/>
      <c r="F1124" s="69"/>
      <c r="G1124" s="2"/>
      <c r="H1124" s="2"/>
      <c r="I1124" s="69"/>
      <c r="L1124" s="64"/>
    </row>
    <row r="1125">
      <c r="A1125" s="2"/>
      <c r="B1125" s="69"/>
      <c r="C1125" s="69"/>
      <c r="D1125" s="69"/>
      <c r="E1125" s="69"/>
      <c r="F1125" s="69"/>
      <c r="G1125" s="2"/>
      <c r="H1125" s="2"/>
      <c r="I1125" s="69"/>
      <c r="L1125" s="64"/>
    </row>
    <row r="1126">
      <c r="A1126" s="2"/>
      <c r="B1126" s="69"/>
      <c r="C1126" s="69"/>
      <c r="D1126" s="69"/>
      <c r="E1126" s="69"/>
      <c r="F1126" s="69"/>
      <c r="G1126" s="2"/>
      <c r="H1126" s="2"/>
      <c r="I1126" s="69"/>
      <c r="L1126" s="64"/>
    </row>
    <row r="1127">
      <c r="A1127" s="2"/>
      <c r="B1127" s="69"/>
      <c r="C1127" s="69"/>
      <c r="D1127" s="69"/>
      <c r="E1127" s="69"/>
      <c r="F1127" s="69"/>
      <c r="G1127" s="2"/>
      <c r="H1127" s="2"/>
      <c r="I1127" s="69"/>
      <c r="L1127" s="64"/>
    </row>
    <row r="1128">
      <c r="A1128" s="2"/>
      <c r="B1128" s="69"/>
      <c r="C1128" s="69"/>
      <c r="D1128" s="69"/>
      <c r="E1128" s="69"/>
      <c r="F1128" s="69"/>
      <c r="G1128" s="2"/>
      <c r="H1128" s="2"/>
      <c r="I1128" s="69"/>
      <c r="L1128" s="64"/>
    </row>
    <row r="1129">
      <c r="A1129" s="2"/>
      <c r="B1129" s="69"/>
      <c r="C1129" s="69"/>
      <c r="D1129" s="69"/>
      <c r="E1129" s="69"/>
      <c r="F1129" s="69"/>
      <c r="G1129" s="2"/>
      <c r="H1129" s="2"/>
      <c r="I1129" s="69"/>
      <c r="L1129" s="64"/>
    </row>
    <row r="1130">
      <c r="A1130" s="2"/>
      <c r="B1130" s="69"/>
      <c r="C1130" s="69"/>
      <c r="D1130" s="69"/>
      <c r="E1130" s="69"/>
      <c r="F1130" s="69"/>
      <c r="G1130" s="2"/>
      <c r="H1130" s="2"/>
      <c r="I1130" s="69"/>
      <c r="L1130" s="64"/>
    </row>
    <row r="1131">
      <c r="A1131" s="2"/>
      <c r="B1131" s="69"/>
      <c r="C1131" s="69"/>
      <c r="D1131" s="69"/>
      <c r="E1131" s="69"/>
      <c r="F1131" s="69"/>
      <c r="G1131" s="2"/>
      <c r="H1131" s="2"/>
      <c r="I1131" s="69"/>
      <c r="L1131" s="64"/>
    </row>
    <row r="1132">
      <c r="A1132" s="2"/>
      <c r="B1132" s="69"/>
      <c r="C1132" s="69"/>
      <c r="D1132" s="69"/>
      <c r="E1132" s="69"/>
      <c r="F1132" s="69"/>
      <c r="G1132" s="2"/>
      <c r="H1132" s="2"/>
      <c r="I1132" s="69"/>
      <c r="L1132" s="64"/>
    </row>
    <row r="1133">
      <c r="A1133" s="2"/>
      <c r="B1133" s="69"/>
      <c r="C1133" s="69"/>
      <c r="D1133" s="69"/>
      <c r="E1133" s="69"/>
      <c r="F1133" s="69"/>
      <c r="G1133" s="2"/>
      <c r="H1133" s="2"/>
      <c r="I1133" s="69"/>
      <c r="L1133" s="64"/>
    </row>
    <row r="1134">
      <c r="A1134" s="2"/>
      <c r="B1134" s="69"/>
      <c r="C1134" s="69"/>
      <c r="D1134" s="69"/>
      <c r="E1134" s="69"/>
      <c r="F1134" s="69"/>
      <c r="G1134" s="2"/>
      <c r="H1134" s="2"/>
      <c r="I1134" s="69"/>
      <c r="L1134" s="64"/>
    </row>
    <row r="1135">
      <c r="A1135" s="2"/>
      <c r="B1135" s="69"/>
      <c r="C1135" s="69"/>
      <c r="D1135" s="69"/>
      <c r="E1135" s="69"/>
      <c r="F1135" s="69"/>
      <c r="G1135" s="2"/>
      <c r="H1135" s="2"/>
      <c r="I1135" s="69"/>
      <c r="L1135" s="64"/>
    </row>
    <row r="1136">
      <c r="A1136" s="2"/>
      <c r="B1136" s="69"/>
      <c r="C1136" s="69"/>
      <c r="D1136" s="69"/>
      <c r="E1136" s="69"/>
      <c r="F1136" s="69"/>
      <c r="G1136" s="2"/>
      <c r="H1136" s="2"/>
      <c r="I1136" s="69"/>
      <c r="L1136" s="64"/>
    </row>
    <row r="1137">
      <c r="A1137" s="2"/>
      <c r="B1137" s="69"/>
      <c r="C1137" s="69"/>
      <c r="D1137" s="69"/>
      <c r="E1137" s="69"/>
      <c r="F1137" s="69"/>
      <c r="G1137" s="2"/>
      <c r="H1137" s="2"/>
      <c r="I1137" s="69"/>
      <c r="L1137" s="64"/>
    </row>
    <row r="1138">
      <c r="A1138" s="2"/>
      <c r="B1138" s="69"/>
      <c r="C1138" s="69"/>
      <c r="D1138" s="69"/>
      <c r="E1138" s="69"/>
      <c r="F1138" s="69"/>
      <c r="G1138" s="2"/>
      <c r="H1138" s="2"/>
      <c r="I1138" s="69"/>
      <c r="L1138" s="64"/>
    </row>
    <row r="1139">
      <c r="A1139" s="2"/>
      <c r="B1139" s="69"/>
      <c r="C1139" s="69"/>
      <c r="D1139" s="69"/>
      <c r="E1139" s="69"/>
      <c r="F1139" s="69"/>
      <c r="G1139" s="2"/>
      <c r="H1139" s="2"/>
      <c r="I1139" s="69"/>
      <c r="L1139" s="64"/>
    </row>
    <row r="1140">
      <c r="A1140" s="2"/>
      <c r="B1140" s="69"/>
      <c r="C1140" s="69"/>
      <c r="D1140" s="69"/>
      <c r="E1140" s="69"/>
      <c r="F1140" s="69"/>
      <c r="G1140" s="2"/>
      <c r="H1140" s="2"/>
      <c r="I1140" s="69"/>
      <c r="L1140" s="64"/>
    </row>
    <row r="1141">
      <c r="A1141" s="2"/>
      <c r="B1141" s="69"/>
      <c r="C1141" s="69"/>
      <c r="D1141" s="69"/>
      <c r="E1141" s="69"/>
      <c r="F1141" s="69"/>
      <c r="G1141" s="2"/>
      <c r="H1141" s="2"/>
      <c r="I1141" s="69"/>
      <c r="L1141" s="64"/>
    </row>
    <row r="1142">
      <c r="A1142" s="2"/>
      <c r="B1142" s="69"/>
      <c r="C1142" s="69"/>
      <c r="D1142" s="69"/>
      <c r="E1142" s="69"/>
      <c r="F1142" s="69"/>
      <c r="G1142" s="2"/>
      <c r="H1142" s="2"/>
      <c r="I1142" s="69"/>
      <c r="L1142" s="64"/>
    </row>
    <row r="1143">
      <c r="A1143" s="2"/>
      <c r="B1143" s="69"/>
      <c r="C1143" s="69"/>
      <c r="D1143" s="69"/>
      <c r="E1143" s="69"/>
      <c r="F1143" s="69"/>
      <c r="G1143" s="2"/>
      <c r="H1143" s="2"/>
      <c r="I1143" s="69"/>
      <c r="L1143" s="64"/>
    </row>
    <row r="1144">
      <c r="A1144" s="2"/>
      <c r="B1144" s="69"/>
      <c r="C1144" s="69"/>
      <c r="D1144" s="69"/>
      <c r="E1144" s="69"/>
      <c r="F1144" s="69"/>
      <c r="G1144" s="2"/>
      <c r="H1144" s="2"/>
      <c r="I1144" s="69"/>
      <c r="L1144" s="64"/>
    </row>
    <row r="1145">
      <c r="A1145" s="2"/>
      <c r="B1145" s="69"/>
      <c r="C1145" s="69"/>
      <c r="D1145" s="69"/>
      <c r="E1145" s="69"/>
      <c r="F1145" s="69"/>
      <c r="G1145" s="2"/>
      <c r="H1145" s="2"/>
      <c r="I1145" s="69"/>
      <c r="L1145" s="64"/>
    </row>
    <row r="1146">
      <c r="A1146" s="2"/>
      <c r="B1146" s="69"/>
      <c r="C1146" s="69"/>
      <c r="D1146" s="69"/>
      <c r="E1146" s="69"/>
      <c r="F1146" s="69"/>
      <c r="G1146" s="2"/>
      <c r="H1146" s="2"/>
      <c r="I1146" s="69"/>
      <c r="L1146" s="64"/>
    </row>
    <row r="1147">
      <c r="A1147" s="2"/>
      <c r="B1147" s="69"/>
      <c r="C1147" s="69"/>
      <c r="D1147" s="69"/>
      <c r="E1147" s="69"/>
      <c r="F1147" s="69"/>
      <c r="G1147" s="2"/>
      <c r="H1147" s="2"/>
      <c r="I1147" s="69"/>
      <c r="L1147" s="64"/>
    </row>
    <row r="1148">
      <c r="A1148" s="2"/>
      <c r="B1148" s="69"/>
      <c r="C1148" s="69"/>
      <c r="D1148" s="69"/>
      <c r="E1148" s="69"/>
      <c r="F1148" s="69"/>
      <c r="G1148" s="2"/>
      <c r="H1148" s="2"/>
      <c r="I1148" s="69"/>
      <c r="L1148" s="64"/>
    </row>
    <row r="1149">
      <c r="A1149" s="2"/>
      <c r="B1149" s="69"/>
      <c r="C1149" s="69"/>
      <c r="D1149" s="69"/>
      <c r="E1149" s="69"/>
      <c r="F1149" s="69"/>
      <c r="G1149" s="2"/>
      <c r="H1149" s="2"/>
      <c r="I1149" s="69"/>
      <c r="L1149" s="64"/>
    </row>
    <row r="1150">
      <c r="A1150" s="2"/>
      <c r="B1150" s="69"/>
      <c r="C1150" s="69"/>
      <c r="D1150" s="69"/>
      <c r="E1150" s="69"/>
      <c r="F1150" s="69"/>
      <c r="G1150" s="2"/>
      <c r="H1150" s="2"/>
      <c r="I1150" s="69"/>
      <c r="L1150" s="64"/>
    </row>
    <row r="1151">
      <c r="A1151" s="2"/>
      <c r="B1151" s="69"/>
      <c r="C1151" s="69"/>
      <c r="D1151" s="69"/>
      <c r="E1151" s="69"/>
      <c r="F1151" s="69"/>
      <c r="G1151" s="2"/>
      <c r="H1151" s="2"/>
      <c r="I1151" s="69"/>
      <c r="L1151" s="64"/>
    </row>
    <row r="1152">
      <c r="A1152" s="2"/>
      <c r="B1152" s="69"/>
      <c r="C1152" s="69"/>
      <c r="D1152" s="69"/>
      <c r="E1152" s="69"/>
      <c r="F1152" s="69"/>
      <c r="G1152" s="2"/>
      <c r="H1152" s="2"/>
      <c r="I1152" s="69"/>
      <c r="L1152" s="64"/>
    </row>
    <row r="1153">
      <c r="A1153" s="2"/>
      <c r="B1153" s="69"/>
      <c r="C1153" s="69"/>
      <c r="D1153" s="69"/>
      <c r="E1153" s="69"/>
      <c r="F1153" s="69"/>
      <c r="G1153" s="2"/>
      <c r="H1153" s="2"/>
      <c r="I1153" s="69"/>
      <c r="L1153" s="64"/>
    </row>
    <row r="1154">
      <c r="A1154" s="2"/>
      <c r="B1154" s="69"/>
      <c r="C1154" s="69"/>
      <c r="D1154" s="69"/>
      <c r="E1154" s="69"/>
      <c r="F1154" s="69"/>
      <c r="G1154" s="2"/>
      <c r="H1154" s="2"/>
      <c r="I1154" s="69"/>
      <c r="L1154" s="64"/>
    </row>
    <row r="1155">
      <c r="A1155" s="2"/>
      <c r="B1155" s="69"/>
      <c r="C1155" s="69"/>
      <c r="D1155" s="69"/>
      <c r="E1155" s="69"/>
      <c r="F1155" s="69"/>
      <c r="G1155" s="2"/>
      <c r="H1155" s="2"/>
      <c r="I1155" s="69"/>
      <c r="L1155" s="64"/>
    </row>
    <row r="1156">
      <c r="A1156" s="2"/>
      <c r="B1156" s="69"/>
      <c r="C1156" s="69"/>
      <c r="D1156" s="69"/>
      <c r="E1156" s="69"/>
      <c r="F1156" s="69"/>
      <c r="G1156" s="2"/>
      <c r="H1156" s="2"/>
      <c r="I1156" s="69"/>
      <c r="L1156" s="64"/>
    </row>
    <row r="1157">
      <c r="A1157" s="2"/>
      <c r="B1157" s="69"/>
      <c r="C1157" s="69"/>
      <c r="D1157" s="69"/>
      <c r="E1157" s="69"/>
      <c r="F1157" s="69"/>
      <c r="G1157" s="2"/>
      <c r="H1157" s="2"/>
      <c r="I1157" s="69"/>
      <c r="L1157" s="64"/>
    </row>
    <row r="1158">
      <c r="A1158" s="2"/>
      <c r="B1158" s="69"/>
      <c r="C1158" s="69"/>
      <c r="D1158" s="69"/>
      <c r="E1158" s="69"/>
      <c r="F1158" s="69"/>
      <c r="G1158" s="2"/>
      <c r="H1158" s="2"/>
      <c r="I1158" s="69"/>
      <c r="L1158" s="64"/>
    </row>
    <row r="1159">
      <c r="A1159" s="2"/>
      <c r="B1159" s="69"/>
      <c r="C1159" s="69"/>
      <c r="D1159" s="69"/>
      <c r="E1159" s="69"/>
      <c r="F1159" s="69"/>
      <c r="G1159" s="2"/>
      <c r="H1159" s="2"/>
      <c r="I1159" s="69"/>
      <c r="L1159" s="64"/>
    </row>
    <row r="1160">
      <c r="A1160" s="2"/>
      <c r="B1160" s="69"/>
      <c r="C1160" s="69"/>
      <c r="D1160" s="69"/>
      <c r="E1160" s="69"/>
      <c r="F1160" s="69"/>
      <c r="G1160" s="2"/>
      <c r="H1160" s="2"/>
      <c r="I1160" s="69"/>
      <c r="L1160" s="64"/>
    </row>
    <row r="1161">
      <c r="A1161" s="2"/>
      <c r="B1161" s="69"/>
      <c r="C1161" s="69"/>
      <c r="D1161" s="69"/>
      <c r="E1161" s="69"/>
      <c r="F1161" s="69"/>
      <c r="G1161" s="2"/>
      <c r="H1161" s="2"/>
      <c r="I1161" s="69"/>
      <c r="L1161" s="64"/>
    </row>
    <row r="1162">
      <c r="A1162" s="2"/>
      <c r="B1162" s="69"/>
      <c r="C1162" s="69"/>
      <c r="D1162" s="69"/>
      <c r="E1162" s="69"/>
      <c r="F1162" s="69"/>
      <c r="G1162" s="2"/>
      <c r="H1162" s="2"/>
      <c r="I1162" s="69"/>
      <c r="L1162" s="64"/>
    </row>
    <row r="1163">
      <c r="A1163" s="2"/>
      <c r="B1163" s="69"/>
      <c r="C1163" s="69"/>
      <c r="D1163" s="69"/>
      <c r="E1163" s="69"/>
      <c r="F1163" s="69"/>
      <c r="G1163" s="2"/>
      <c r="H1163" s="2"/>
      <c r="I1163" s="69"/>
      <c r="L1163" s="64"/>
    </row>
    <row r="1164">
      <c r="A1164" s="2"/>
      <c r="B1164" s="69"/>
      <c r="C1164" s="69"/>
      <c r="D1164" s="69"/>
      <c r="E1164" s="69"/>
      <c r="F1164" s="69"/>
      <c r="G1164" s="2"/>
      <c r="H1164" s="2"/>
      <c r="I1164" s="69"/>
      <c r="L1164" s="64"/>
    </row>
    <row r="1165">
      <c r="A1165" s="2"/>
      <c r="B1165" s="69"/>
      <c r="C1165" s="69"/>
      <c r="D1165" s="69"/>
      <c r="E1165" s="69"/>
      <c r="F1165" s="69"/>
      <c r="G1165" s="2"/>
      <c r="H1165" s="2"/>
      <c r="I1165" s="69"/>
      <c r="L1165" s="64"/>
    </row>
    <row r="1166">
      <c r="A1166" s="2"/>
      <c r="B1166" s="69"/>
      <c r="C1166" s="69"/>
      <c r="D1166" s="69"/>
      <c r="E1166" s="69"/>
      <c r="F1166" s="69"/>
      <c r="G1166" s="2"/>
      <c r="H1166" s="2"/>
      <c r="I1166" s="69"/>
      <c r="L1166" s="64"/>
    </row>
    <row r="1167">
      <c r="A1167" s="2"/>
      <c r="B1167" s="69"/>
      <c r="C1167" s="69"/>
      <c r="D1167" s="69"/>
      <c r="E1167" s="69"/>
      <c r="F1167" s="69"/>
      <c r="G1167" s="2"/>
      <c r="H1167" s="2"/>
      <c r="I1167" s="69"/>
      <c r="L1167" s="64"/>
    </row>
    <row r="1168">
      <c r="A1168" s="2"/>
      <c r="B1168" s="69"/>
      <c r="C1168" s="69"/>
      <c r="D1168" s="69"/>
      <c r="E1168" s="69"/>
      <c r="F1168" s="69"/>
      <c r="G1168" s="2"/>
      <c r="H1168" s="2"/>
      <c r="I1168" s="69"/>
      <c r="L1168" s="64"/>
    </row>
    <row r="1169">
      <c r="A1169" s="2"/>
      <c r="B1169" s="69"/>
      <c r="C1169" s="69"/>
      <c r="D1169" s="69"/>
      <c r="E1169" s="69"/>
      <c r="F1169" s="69"/>
      <c r="G1169" s="2"/>
      <c r="H1169" s="2"/>
      <c r="I1169" s="69"/>
      <c r="L1169" s="64"/>
    </row>
    <row r="1170">
      <c r="A1170" s="2"/>
      <c r="B1170" s="69"/>
      <c r="C1170" s="69"/>
      <c r="D1170" s="69"/>
      <c r="E1170" s="69"/>
      <c r="F1170" s="69"/>
      <c r="G1170" s="2"/>
      <c r="H1170" s="2"/>
      <c r="I1170" s="69"/>
      <c r="L1170" s="64"/>
    </row>
    <row r="1171">
      <c r="A1171" s="2"/>
      <c r="B1171" s="69"/>
      <c r="C1171" s="69"/>
      <c r="D1171" s="69"/>
      <c r="E1171" s="69"/>
      <c r="F1171" s="69"/>
      <c r="G1171" s="2"/>
      <c r="H1171" s="2"/>
      <c r="I1171" s="69"/>
      <c r="L1171" s="64"/>
    </row>
    <row r="1172">
      <c r="A1172" s="2"/>
      <c r="B1172" s="69"/>
      <c r="C1172" s="69"/>
      <c r="D1172" s="69"/>
      <c r="E1172" s="69"/>
      <c r="F1172" s="69"/>
      <c r="G1172" s="2"/>
      <c r="H1172" s="2"/>
      <c r="I1172" s="69"/>
      <c r="L1172" s="64"/>
    </row>
    <row r="1173">
      <c r="A1173" s="2"/>
      <c r="B1173" s="69"/>
      <c r="C1173" s="69"/>
      <c r="D1173" s="69"/>
      <c r="E1173" s="69"/>
      <c r="F1173" s="69"/>
      <c r="G1173" s="2"/>
      <c r="H1173" s="2"/>
      <c r="I1173" s="69"/>
      <c r="L1173" s="64"/>
    </row>
    <row r="1174">
      <c r="A1174" s="2"/>
      <c r="B1174" s="69"/>
      <c r="C1174" s="69"/>
      <c r="D1174" s="69"/>
      <c r="E1174" s="69"/>
      <c r="F1174" s="69"/>
      <c r="G1174" s="2"/>
      <c r="H1174" s="2"/>
      <c r="I1174" s="69"/>
      <c r="L1174" s="64"/>
    </row>
    <row r="1175">
      <c r="A1175" s="2"/>
      <c r="B1175" s="69"/>
      <c r="C1175" s="69"/>
      <c r="D1175" s="69"/>
      <c r="E1175" s="69"/>
      <c r="F1175" s="69"/>
      <c r="G1175" s="2"/>
      <c r="H1175" s="2"/>
      <c r="I1175" s="69"/>
      <c r="L1175" s="64"/>
    </row>
    <row r="1176">
      <c r="A1176" s="2"/>
      <c r="B1176" s="69"/>
      <c r="C1176" s="69"/>
      <c r="D1176" s="69"/>
      <c r="E1176" s="69"/>
      <c r="F1176" s="69"/>
      <c r="G1176" s="2"/>
      <c r="H1176" s="2"/>
      <c r="I1176" s="69"/>
      <c r="L1176" s="64"/>
    </row>
    <row r="1177">
      <c r="A1177" s="2"/>
      <c r="B1177" s="69"/>
      <c r="C1177" s="69"/>
      <c r="D1177" s="69"/>
      <c r="E1177" s="69"/>
      <c r="F1177" s="69"/>
      <c r="G1177" s="2"/>
      <c r="H1177" s="2"/>
      <c r="I1177" s="69"/>
      <c r="L1177" s="64"/>
    </row>
    <row r="1178">
      <c r="A1178" s="2"/>
      <c r="B1178" s="69"/>
      <c r="C1178" s="69"/>
      <c r="D1178" s="69"/>
      <c r="E1178" s="69"/>
      <c r="F1178" s="69"/>
      <c r="G1178" s="2"/>
      <c r="H1178" s="2"/>
      <c r="I1178" s="69"/>
      <c r="L1178" s="64"/>
    </row>
    <row r="1179">
      <c r="A1179" s="2"/>
      <c r="B1179" s="69"/>
      <c r="C1179" s="69"/>
      <c r="D1179" s="69"/>
      <c r="E1179" s="69"/>
      <c r="F1179" s="69"/>
      <c r="G1179" s="2"/>
      <c r="H1179" s="2"/>
      <c r="I1179" s="69"/>
      <c r="L1179" s="64"/>
    </row>
    <row r="1180">
      <c r="A1180" s="2"/>
      <c r="B1180" s="69"/>
      <c r="C1180" s="69"/>
      <c r="D1180" s="69"/>
      <c r="E1180" s="69"/>
      <c r="F1180" s="69"/>
      <c r="G1180" s="2"/>
      <c r="H1180" s="2"/>
      <c r="I1180" s="69"/>
      <c r="L1180" s="64"/>
    </row>
    <row r="1181">
      <c r="A1181" s="2"/>
      <c r="B1181" s="69"/>
      <c r="C1181" s="69"/>
      <c r="D1181" s="69"/>
      <c r="E1181" s="69"/>
      <c r="F1181" s="69"/>
      <c r="G1181" s="2"/>
      <c r="H1181" s="2"/>
      <c r="I1181" s="69"/>
      <c r="L1181" s="64"/>
    </row>
    <row r="1182">
      <c r="A1182" s="2"/>
      <c r="B1182" s="69"/>
      <c r="C1182" s="69"/>
      <c r="D1182" s="69"/>
      <c r="E1182" s="69"/>
      <c r="F1182" s="69"/>
      <c r="G1182" s="2"/>
      <c r="H1182" s="2"/>
      <c r="I1182" s="69"/>
      <c r="L1182" s="64"/>
    </row>
    <row r="1183">
      <c r="A1183" s="2"/>
      <c r="B1183" s="69"/>
      <c r="C1183" s="69"/>
      <c r="D1183" s="69"/>
      <c r="E1183" s="69"/>
      <c r="F1183" s="69"/>
      <c r="G1183" s="2"/>
      <c r="H1183" s="2"/>
      <c r="I1183" s="69"/>
      <c r="L1183" s="64"/>
    </row>
    <row r="1184">
      <c r="A1184" s="2"/>
      <c r="B1184" s="69"/>
      <c r="C1184" s="69"/>
      <c r="D1184" s="69"/>
      <c r="E1184" s="69"/>
      <c r="F1184" s="69"/>
      <c r="G1184" s="2"/>
      <c r="H1184" s="2"/>
      <c r="I1184" s="69"/>
      <c r="L1184" s="64"/>
    </row>
    <row r="1185">
      <c r="A1185" s="2"/>
      <c r="B1185" s="69"/>
      <c r="C1185" s="69"/>
      <c r="D1185" s="69"/>
      <c r="E1185" s="69"/>
      <c r="F1185" s="69"/>
      <c r="G1185" s="2"/>
      <c r="H1185" s="2"/>
      <c r="I1185" s="69"/>
      <c r="L1185" s="64"/>
    </row>
    <row r="1186">
      <c r="A1186" s="2"/>
      <c r="B1186" s="69"/>
      <c r="C1186" s="69"/>
      <c r="D1186" s="69"/>
      <c r="E1186" s="69"/>
      <c r="F1186" s="69"/>
      <c r="G1186" s="2"/>
      <c r="H1186" s="2"/>
      <c r="I1186" s="69"/>
      <c r="L1186" s="64"/>
    </row>
    <row r="1187">
      <c r="A1187" s="2"/>
      <c r="B1187" s="69"/>
      <c r="C1187" s="69"/>
      <c r="D1187" s="69"/>
      <c r="E1187" s="69"/>
      <c r="F1187" s="69"/>
      <c r="G1187" s="2"/>
      <c r="H1187" s="2"/>
      <c r="I1187" s="69"/>
      <c r="L1187" s="64"/>
    </row>
    <row r="1188">
      <c r="A1188" s="2"/>
      <c r="B1188" s="69"/>
      <c r="C1188" s="69"/>
      <c r="D1188" s="69"/>
      <c r="E1188" s="69"/>
      <c r="F1188" s="69"/>
      <c r="G1188" s="2"/>
      <c r="H1188" s="2"/>
      <c r="I1188" s="69"/>
      <c r="L1188" s="64"/>
    </row>
    <row r="1189">
      <c r="A1189" s="2"/>
      <c r="B1189" s="69"/>
      <c r="C1189" s="69"/>
      <c r="D1189" s="69"/>
      <c r="E1189" s="69"/>
      <c r="F1189" s="69"/>
      <c r="G1189" s="2"/>
      <c r="H1189" s="2"/>
      <c r="I1189" s="69"/>
      <c r="L1189" s="64"/>
    </row>
    <row r="1190">
      <c r="A1190" s="2"/>
      <c r="B1190" s="69"/>
      <c r="C1190" s="69"/>
      <c r="D1190" s="69"/>
      <c r="E1190" s="69"/>
      <c r="F1190" s="69"/>
      <c r="G1190" s="2"/>
      <c r="H1190" s="2"/>
      <c r="I1190" s="69"/>
      <c r="L1190" s="64"/>
    </row>
    <row r="1191">
      <c r="A1191" s="2"/>
      <c r="B1191" s="69"/>
      <c r="C1191" s="69"/>
      <c r="D1191" s="69"/>
      <c r="E1191" s="69"/>
      <c r="F1191" s="69"/>
      <c r="G1191" s="2"/>
      <c r="H1191" s="2"/>
      <c r="I1191" s="69"/>
      <c r="L1191" s="64"/>
    </row>
    <row r="1192">
      <c r="A1192" s="2"/>
      <c r="B1192" s="69"/>
      <c r="C1192" s="69"/>
      <c r="D1192" s="69"/>
      <c r="E1192" s="69"/>
      <c r="F1192" s="69"/>
      <c r="G1192" s="2"/>
      <c r="H1192" s="2"/>
      <c r="I1192" s="69"/>
      <c r="L1192" s="64"/>
    </row>
    <row r="1193">
      <c r="A1193" s="2"/>
      <c r="B1193" s="69"/>
      <c r="C1193" s="69"/>
      <c r="D1193" s="69"/>
      <c r="E1193" s="69"/>
      <c r="F1193" s="69"/>
      <c r="G1193" s="2"/>
      <c r="H1193" s="2"/>
      <c r="I1193" s="69"/>
      <c r="L1193" s="64"/>
    </row>
    <row r="1194">
      <c r="A1194" s="2"/>
      <c r="B1194" s="69"/>
      <c r="C1194" s="69"/>
      <c r="D1194" s="69"/>
      <c r="E1194" s="69"/>
      <c r="F1194" s="69"/>
      <c r="G1194" s="2"/>
      <c r="H1194" s="2"/>
      <c r="I1194" s="69"/>
      <c r="L1194" s="64"/>
    </row>
    <row r="1195">
      <c r="A1195" s="2"/>
      <c r="B1195" s="69"/>
      <c r="C1195" s="69"/>
      <c r="D1195" s="69"/>
      <c r="E1195" s="69"/>
      <c r="F1195" s="69"/>
      <c r="G1195" s="2"/>
      <c r="H1195" s="2"/>
      <c r="I1195" s="69"/>
      <c r="L1195" s="64"/>
    </row>
    <row r="1196">
      <c r="A1196" s="2"/>
      <c r="B1196" s="69"/>
      <c r="C1196" s="69"/>
      <c r="D1196" s="69"/>
      <c r="E1196" s="69"/>
      <c r="F1196" s="69"/>
      <c r="G1196" s="2"/>
      <c r="H1196" s="2"/>
      <c r="I1196" s="69"/>
      <c r="L1196" s="64"/>
    </row>
    <row r="1197">
      <c r="A1197" s="2"/>
      <c r="B1197" s="69"/>
      <c r="C1197" s="69"/>
      <c r="D1197" s="69"/>
      <c r="E1197" s="69"/>
      <c r="F1197" s="69"/>
      <c r="G1197" s="2"/>
      <c r="H1197" s="2"/>
      <c r="I1197" s="69"/>
      <c r="L1197" s="64"/>
    </row>
    <row r="1198">
      <c r="A1198" s="2"/>
      <c r="B1198" s="69"/>
      <c r="C1198" s="69"/>
      <c r="D1198" s="69"/>
      <c r="E1198" s="69"/>
      <c r="F1198" s="69"/>
      <c r="G1198" s="2"/>
      <c r="H1198" s="2"/>
      <c r="I1198" s="69"/>
      <c r="L1198" s="64"/>
    </row>
    <row r="1199">
      <c r="A1199" s="2"/>
      <c r="B1199" s="69"/>
      <c r="C1199" s="69"/>
      <c r="D1199" s="69"/>
      <c r="E1199" s="69"/>
      <c r="F1199" s="69"/>
      <c r="G1199" s="2"/>
      <c r="H1199" s="2"/>
      <c r="I1199" s="69"/>
      <c r="L1199" s="64"/>
    </row>
    <row r="1200">
      <c r="A1200" s="2"/>
      <c r="B1200" s="69"/>
      <c r="C1200" s="69"/>
      <c r="D1200" s="69"/>
      <c r="E1200" s="69"/>
      <c r="F1200" s="69"/>
      <c r="G1200" s="2"/>
      <c r="H1200" s="2"/>
      <c r="I1200" s="69"/>
      <c r="L1200" s="64"/>
    </row>
    <row r="1201">
      <c r="A1201" s="2"/>
      <c r="B1201" s="69"/>
      <c r="C1201" s="69"/>
      <c r="D1201" s="69"/>
      <c r="E1201" s="69"/>
      <c r="F1201" s="69"/>
      <c r="G1201" s="2"/>
      <c r="H1201" s="2"/>
      <c r="I1201" s="69"/>
      <c r="L1201" s="64"/>
    </row>
    <row r="1202">
      <c r="A1202" s="2"/>
      <c r="B1202" s="69"/>
      <c r="C1202" s="69"/>
      <c r="D1202" s="69"/>
      <c r="E1202" s="69"/>
      <c r="F1202" s="69"/>
      <c r="G1202" s="2"/>
      <c r="H1202" s="2"/>
      <c r="I1202" s="69"/>
      <c r="L1202" s="64"/>
    </row>
    <row r="1203">
      <c r="A1203" s="2"/>
      <c r="B1203" s="69"/>
      <c r="C1203" s="69"/>
      <c r="D1203" s="69"/>
      <c r="E1203" s="69"/>
      <c r="F1203" s="69"/>
      <c r="G1203" s="2"/>
      <c r="H1203" s="2"/>
      <c r="I1203" s="69"/>
      <c r="L1203" s="64"/>
    </row>
    <row r="1204">
      <c r="A1204" s="2"/>
      <c r="B1204" s="69"/>
      <c r="C1204" s="69"/>
      <c r="D1204" s="69"/>
      <c r="E1204" s="69"/>
      <c r="F1204" s="69"/>
      <c r="G1204" s="2"/>
      <c r="H1204" s="2"/>
      <c r="I1204" s="69"/>
      <c r="L1204" s="64"/>
    </row>
    <row r="1205">
      <c r="A1205" s="2"/>
      <c r="B1205" s="69"/>
      <c r="C1205" s="69"/>
      <c r="D1205" s="69"/>
      <c r="E1205" s="69"/>
      <c r="F1205" s="69"/>
      <c r="G1205" s="2"/>
      <c r="H1205" s="2"/>
      <c r="I1205" s="69"/>
      <c r="L1205" s="64"/>
    </row>
    <row r="1206">
      <c r="A1206" s="2"/>
      <c r="B1206" s="69"/>
      <c r="C1206" s="69"/>
      <c r="D1206" s="69"/>
      <c r="E1206" s="69"/>
      <c r="F1206" s="69"/>
      <c r="G1206" s="2"/>
      <c r="H1206" s="2"/>
      <c r="I1206" s="69"/>
      <c r="L1206" s="64"/>
    </row>
    <row r="1207">
      <c r="A1207" s="2"/>
      <c r="B1207" s="69"/>
      <c r="C1207" s="69"/>
      <c r="D1207" s="69"/>
      <c r="E1207" s="69"/>
      <c r="F1207" s="69"/>
      <c r="G1207" s="2"/>
      <c r="H1207" s="2"/>
      <c r="I1207" s="69"/>
      <c r="L1207" s="64"/>
    </row>
    <row r="1208">
      <c r="A1208" s="2"/>
      <c r="B1208" s="69"/>
      <c r="C1208" s="69"/>
      <c r="D1208" s="69"/>
      <c r="E1208" s="69"/>
      <c r="F1208" s="69"/>
      <c r="G1208" s="2"/>
      <c r="H1208" s="2"/>
      <c r="I1208" s="69"/>
      <c r="L1208" s="64"/>
    </row>
    <row r="1209">
      <c r="A1209" s="2"/>
      <c r="B1209" s="69"/>
      <c r="C1209" s="69"/>
      <c r="D1209" s="69"/>
      <c r="E1209" s="69"/>
      <c r="F1209" s="69"/>
      <c r="G1209" s="2"/>
      <c r="H1209" s="2"/>
      <c r="I1209" s="69"/>
      <c r="L1209" s="64"/>
    </row>
    <row r="1210">
      <c r="A1210" s="2"/>
      <c r="B1210" s="69"/>
      <c r="C1210" s="69"/>
      <c r="D1210" s="69"/>
      <c r="E1210" s="69"/>
      <c r="F1210" s="69"/>
      <c r="G1210" s="2"/>
      <c r="H1210" s="2"/>
      <c r="I1210" s="69"/>
      <c r="L1210" s="64"/>
    </row>
    <row r="1211">
      <c r="A1211" s="2"/>
      <c r="B1211" s="69"/>
      <c r="C1211" s="69"/>
      <c r="D1211" s="69"/>
      <c r="E1211" s="69"/>
      <c r="F1211" s="69"/>
      <c r="G1211" s="2"/>
      <c r="H1211" s="2"/>
      <c r="I1211" s="69"/>
      <c r="L1211" s="64"/>
    </row>
    <row r="1212">
      <c r="A1212" s="2"/>
      <c r="B1212" s="69"/>
      <c r="C1212" s="69"/>
      <c r="D1212" s="69"/>
      <c r="E1212" s="69"/>
      <c r="F1212" s="69"/>
      <c r="G1212" s="2"/>
      <c r="H1212" s="2"/>
      <c r="I1212" s="69"/>
      <c r="L1212" s="64"/>
    </row>
    <row r="1213">
      <c r="A1213" s="2"/>
      <c r="B1213" s="69"/>
      <c r="C1213" s="69"/>
      <c r="D1213" s="69"/>
      <c r="E1213" s="69"/>
      <c r="F1213" s="69"/>
      <c r="G1213" s="2"/>
      <c r="H1213" s="2"/>
      <c r="I1213" s="69"/>
      <c r="L1213" s="64"/>
    </row>
    <row r="1214">
      <c r="A1214" s="2"/>
      <c r="B1214" s="69"/>
      <c r="C1214" s="69"/>
      <c r="D1214" s="69"/>
      <c r="E1214" s="69"/>
      <c r="F1214" s="69"/>
      <c r="G1214" s="2"/>
      <c r="H1214" s="2"/>
      <c r="I1214" s="69"/>
      <c r="L1214" s="64"/>
    </row>
    <row r="1215">
      <c r="A1215" s="2"/>
      <c r="B1215" s="69"/>
      <c r="C1215" s="69"/>
      <c r="D1215" s="69"/>
      <c r="E1215" s="69"/>
      <c r="F1215" s="69"/>
      <c r="G1215" s="2"/>
      <c r="H1215" s="2"/>
      <c r="I1215" s="69"/>
      <c r="L1215" s="64"/>
    </row>
    <row r="1216">
      <c r="A1216" s="2"/>
      <c r="B1216" s="69"/>
      <c r="C1216" s="69"/>
      <c r="D1216" s="69"/>
      <c r="E1216" s="69"/>
      <c r="F1216" s="69"/>
      <c r="G1216" s="2"/>
      <c r="H1216" s="2"/>
      <c r="I1216" s="69"/>
      <c r="L1216" s="64"/>
    </row>
    <row r="1217">
      <c r="A1217" s="2"/>
      <c r="B1217" s="69"/>
      <c r="C1217" s="69"/>
      <c r="D1217" s="69"/>
      <c r="E1217" s="69"/>
      <c r="F1217" s="69"/>
      <c r="G1217" s="2"/>
      <c r="H1217" s="2"/>
      <c r="I1217" s="69"/>
      <c r="L1217" s="64"/>
    </row>
    <row r="1218">
      <c r="A1218" s="2"/>
      <c r="B1218" s="69"/>
      <c r="C1218" s="69"/>
      <c r="D1218" s="69"/>
      <c r="E1218" s="69"/>
      <c r="F1218" s="69"/>
      <c r="G1218" s="2"/>
      <c r="H1218" s="2"/>
      <c r="I1218" s="69"/>
      <c r="L1218" s="64"/>
    </row>
    <row r="1219">
      <c r="A1219" s="2"/>
      <c r="B1219" s="69"/>
      <c r="C1219" s="69"/>
      <c r="D1219" s="69"/>
      <c r="E1219" s="69"/>
      <c r="F1219" s="69"/>
      <c r="G1219" s="2"/>
      <c r="H1219" s="2"/>
      <c r="I1219" s="69"/>
      <c r="L1219" s="64"/>
    </row>
    <row r="1220">
      <c r="A1220" s="2"/>
      <c r="B1220" s="69"/>
      <c r="C1220" s="69"/>
      <c r="D1220" s="69"/>
      <c r="E1220" s="69"/>
      <c r="F1220" s="69"/>
      <c r="G1220" s="2"/>
      <c r="H1220" s="2"/>
      <c r="I1220" s="69"/>
      <c r="L1220" s="64"/>
    </row>
    <row r="1221">
      <c r="A1221" s="2"/>
      <c r="B1221" s="69"/>
      <c r="C1221" s="69"/>
      <c r="D1221" s="69"/>
      <c r="E1221" s="69"/>
      <c r="F1221" s="69"/>
      <c r="G1221" s="2"/>
      <c r="H1221" s="2"/>
      <c r="I1221" s="69"/>
      <c r="L1221" s="64"/>
    </row>
    <row r="1222">
      <c r="A1222" s="2"/>
      <c r="B1222" s="69"/>
      <c r="C1222" s="69"/>
      <c r="D1222" s="69"/>
      <c r="E1222" s="69"/>
      <c r="F1222" s="69"/>
      <c r="G1222" s="2"/>
      <c r="H1222" s="2"/>
      <c r="I1222" s="69"/>
      <c r="L1222" s="64"/>
    </row>
    <row r="1223">
      <c r="A1223" s="2"/>
      <c r="B1223" s="69"/>
      <c r="C1223" s="69"/>
      <c r="D1223" s="69"/>
      <c r="E1223" s="69"/>
      <c r="F1223" s="69"/>
      <c r="G1223" s="2"/>
      <c r="H1223" s="2"/>
      <c r="I1223" s="69"/>
      <c r="L1223" s="64"/>
    </row>
    <row r="1224">
      <c r="A1224" s="2"/>
      <c r="B1224" s="69"/>
      <c r="C1224" s="69"/>
      <c r="D1224" s="69"/>
      <c r="E1224" s="69"/>
      <c r="F1224" s="69"/>
      <c r="G1224" s="2"/>
      <c r="H1224" s="2"/>
      <c r="I1224" s="69"/>
      <c r="L1224" s="64"/>
    </row>
    <row r="1225">
      <c r="A1225" s="2"/>
      <c r="B1225" s="69"/>
      <c r="C1225" s="69"/>
      <c r="D1225" s="69"/>
      <c r="E1225" s="69"/>
      <c r="F1225" s="69"/>
      <c r="G1225" s="2"/>
      <c r="H1225" s="2"/>
      <c r="I1225" s="69"/>
      <c r="L1225" s="64"/>
    </row>
    <row r="1226">
      <c r="A1226" s="2"/>
      <c r="B1226" s="69"/>
      <c r="C1226" s="69"/>
      <c r="D1226" s="69"/>
      <c r="E1226" s="69"/>
      <c r="F1226" s="69"/>
      <c r="G1226" s="2"/>
      <c r="H1226" s="2"/>
      <c r="I1226" s="69"/>
      <c r="L1226" s="64"/>
    </row>
    <row r="1227">
      <c r="A1227" s="2"/>
      <c r="B1227" s="69"/>
      <c r="C1227" s="69"/>
      <c r="D1227" s="69"/>
      <c r="E1227" s="69"/>
      <c r="F1227" s="69"/>
      <c r="G1227" s="2"/>
      <c r="H1227" s="2"/>
      <c r="I1227" s="69"/>
      <c r="L1227" s="64"/>
    </row>
    <row r="1228">
      <c r="A1228" s="2"/>
      <c r="B1228" s="69"/>
      <c r="C1228" s="69"/>
      <c r="D1228" s="69"/>
      <c r="E1228" s="69"/>
      <c r="F1228" s="69"/>
      <c r="G1228" s="2"/>
      <c r="H1228" s="2"/>
      <c r="I1228" s="69"/>
      <c r="L1228" s="64"/>
    </row>
    <row r="1229">
      <c r="A1229" s="2"/>
      <c r="B1229" s="69"/>
      <c r="C1229" s="69"/>
      <c r="D1229" s="69"/>
      <c r="E1229" s="69"/>
      <c r="F1229" s="69"/>
      <c r="G1229" s="2"/>
      <c r="H1229" s="2"/>
      <c r="I1229" s="69"/>
      <c r="L1229" s="64"/>
    </row>
    <row r="1230">
      <c r="A1230" s="2"/>
      <c r="B1230" s="69"/>
      <c r="C1230" s="69"/>
      <c r="D1230" s="69"/>
      <c r="E1230" s="69"/>
      <c r="F1230" s="69"/>
      <c r="G1230" s="2"/>
      <c r="H1230" s="2"/>
      <c r="I1230" s="69"/>
      <c r="L1230" s="64"/>
    </row>
    <row r="1231">
      <c r="A1231" s="2"/>
      <c r="B1231" s="69"/>
      <c r="C1231" s="69"/>
      <c r="D1231" s="69"/>
      <c r="E1231" s="69"/>
      <c r="F1231" s="69"/>
      <c r="G1231" s="2"/>
      <c r="H1231" s="2"/>
      <c r="I1231" s="69"/>
      <c r="L1231" s="64"/>
    </row>
    <row r="1232">
      <c r="A1232" s="2"/>
      <c r="B1232" s="69"/>
      <c r="C1232" s="69"/>
      <c r="D1232" s="69"/>
      <c r="E1232" s="69"/>
      <c r="F1232" s="69"/>
      <c r="G1232" s="2"/>
      <c r="H1232" s="2"/>
      <c r="I1232" s="69"/>
      <c r="L1232" s="64"/>
    </row>
    <row r="1233">
      <c r="A1233" s="2"/>
      <c r="B1233" s="69"/>
      <c r="C1233" s="69"/>
      <c r="D1233" s="69"/>
      <c r="E1233" s="69"/>
      <c r="F1233" s="69"/>
      <c r="G1233" s="2"/>
      <c r="H1233" s="2"/>
      <c r="I1233" s="69"/>
      <c r="L1233" s="64"/>
    </row>
    <row r="1234">
      <c r="A1234" s="2"/>
      <c r="B1234" s="69"/>
      <c r="C1234" s="69"/>
      <c r="D1234" s="69"/>
      <c r="E1234" s="69"/>
      <c r="F1234" s="69"/>
      <c r="G1234" s="2"/>
      <c r="H1234" s="2"/>
      <c r="I1234" s="69"/>
      <c r="L1234" s="64"/>
    </row>
    <row r="1235">
      <c r="A1235" s="2"/>
      <c r="B1235" s="69"/>
      <c r="C1235" s="69"/>
      <c r="D1235" s="69"/>
      <c r="E1235" s="69"/>
      <c r="F1235" s="69"/>
      <c r="G1235" s="2"/>
      <c r="H1235" s="2"/>
      <c r="I1235" s="69"/>
      <c r="L1235" s="64"/>
    </row>
    <row r="1236">
      <c r="A1236" s="2"/>
      <c r="B1236" s="69"/>
      <c r="C1236" s="69"/>
      <c r="D1236" s="69"/>
      <c r="E1236" s="69"/>
      <c r="F1236" s="69"/>
      <c r="G1236" s="2"/>
      <c r="H1236" s="2"/>
      <c r="I1236" s="69"/>
      <c r="L1236" s="64"/>
    </row>
    <row r="1237">
      <c r="A1237" s="2"/>
      <c r="B1237" s="69"/>
      <c r="C1237" s="69"/>
      <c r="D1237" s="69"/>
      <c r="E1237" s="69"/>
      <c r="F1237" s="69"/>
      <c r="G1237" s="2"/>
      <c r="H1237" s="2"/>
      <c r="I1237" s="69"/>
      <c r="L1237" s="64"/>
    </row>
    <row r="1238">
      <c r="A1238" s="2"/>
      <c r="B1238" s="69"/>
      <c r="C1238" s="69"/>
      <c r="D1238" s="69"/>
      <c r="E1238" s="69"/>
      <c r="F1238" s="69"/>
      <c r="G1238" s="2"/>
      <c r="H1238" s="2"/>
      <c r="I1238" s="69"/>
      <c r="L1238" s="64"/>
    </row>
    <row r="1239">
      <c r="A1239" s="2"/>
      <c r="B1239" s="69"/>
      <c r="C1239" s="69"/>
      <c r="D1239" s="69"/>
      <c r="E1239" s="69"/>
      <c r="F1239" s="69"/>
      <c r="G1239" s="2"/>
      <c r="H1239" s="2"/>
      <c r="I1239" s="69"/>
      <c r="L1239" s="64"/>
    </row>
    <row r="1240">
      <c r="A1240" s="2"/>
      <c r="B1240" s="69"/>
      <c r="C1240" s="69"/>
      <c r="D1240" s="69"/>
      <c r="E1240" s="69"/>
      <c r="F1240" s="69"/>
      <c r="G1240" s="2"/>
      <c r="H1240" s="2"/>
      <c r="I1240" s="69"/>
      <c r="L1240" s="64"/>
    </row>
    <row r="1241">
      <c r="A1241" s="2"/>
      <c r="B1241" s="69"/>
      <c r="C1241" s="69"/>
      <c r="D1241" s="69"/>
      <c r="E1241" s="69"/>
      <c r="F1241" s="69"/>
      <c r="G1241" s="2"/>
      <c r="H1241" s="2"/>
      <c r="I1241" s="69"/>
      <c r="L1241" s="64"/>
    </row>
    <row r="1242">
      <c r="A1242" s="2"/>
      <c r="B1242" s="69"/>
      <c r="C1242" s="69"/>
      <c r="D1242" s="69"/>
      <c r="E1242" s="69"/>
      <c r="F1242" s="69"/>
      <c r="G1242" s="2"/>
      <c r="H1242" s="2"/>
      <c r="I1242" s="69"/>
      <c r="L1242" s="64"/>
    </row>
    <row r="1243">
      <c r="A1243" s="2"/>
      <c r="B1243" s="69"/>
      <c r="C1243" s="69"/>
      <c r="D1243" s="69"/>
      <c r="E1243" s="69"/>
      <c r="F1243" s="69"/>
      <c r="G1243" s="2"/>
      <c r="H1243" s="2"/>
      <c r="I1243" s="69"/>
      <c r="L1243" s="64"/>
    </row>
    <row r="1244">
      <c r="A1244" s="2"/>
      <c r="B1244" s="69"/>
      <c r="C1244" s="69"/>
      <c r="D1244" s="69"/>
      <c r="E1244" s="69"/>
      <c r="F1244" s="69"/>
      <c r="G1244" s="2"/>
      <c r="H1244" s="2"/>
      <c r="I1244" s="69"/>
      <c r="L1244" s="64"/>
    </row>
    <row r="1245">
      <c r="A1245" s="2"/>
      <c r="B1245" s="69"/>
      <c r="C1245" s="69"/>
      <c r="D1245" s="69"/>
      <c r="E1245" s="69"/>
      <c r="F1245" s="69"/>
      <c r="G1245" s="2"/>
      <c r="H1245" s="2"/>
      <c r="I1245" s="69"/>
      <c r="L1245" s="64"/>
    </row>
    <row r="1246">
      <c r="A1246" s="2"/>
      <c r="B1246" s="69"/>
      <c r="C1246" s="69"/>
      <c r="D1246" s="69"/>
      <c r="E1246" s="69"/>
      <c r="F1246" s="69"/>
      <c r="G1246" s="2"/>
      <c r="H1246" s="2"/>
      <c r="I1246" s="69"/>
      <c r="L1246" s="64"/>
    </row>
    <row r="1247">
      <c r="A1247" s="2"/>
      <c r="B1247" s="69"/>
      <c r="C1247" s="69"/>
      <c r="D1247" s="69"/>
      <c r="E1247" s="69"/>
      <c r="F1247" s="69"/>
      <c r="G1247" s="2"/>
      <c r="H1247" s="2"/>
      <c r="I1247" s="69"/>
      <c r="L1247" s="64"/>
    </row>
    <row r="1248">
      <c r="A1248" s="2"/>
      <c r="B1248" s="69"/>
      <c r="C1248" s="69"/>
      <c r="D1248" s="69"/>
      <c r="E1248" s="69"/>
      <c r="F1248" s="69"/>
      <c r="G1248" s="2"/>
      <c r="H1248" s="2"/>
      <c r="I1248" s="69"/>
      <c r="L1248" s="64"/>
    </row>
    <row r="1249">
      <c r="A1249" s="2"/>
      <c r="B1249" s="69"/>
      <c r="C1249" s="69"/>
      <c r="D1249" s="69"/>
      <c r="E1249" s="69"/>
      <c r="F1249" s="69"/>
      <c r="G1249" s="2"/>
      <c r="H1249" s="2"/>
      <c r="I1249" s="69"/>
      <c r="L1249" s="64"/>
    </row>
    <row r="1250">
      <c r="A1250" s="2"/>
      <c r="B1250" s="69"/>
      <c r="C1250" s="69"/>
      <c r="D1250" s="69"/>
      <c r="E1250" s="69"/>
      <c r="F1250" s="69"/>
      <c r="G1250" s="2"/>
      <c r="H1250" s="2"/>
      <c r="I1250" s="69"/>
      <c r="L1250" s="64"/>
    </row>
    <row r="1251">
      <c r="A1251" s="2"/>
      <c r="B1251" s="69"/>
      <c r="C1251" s="69"/>
      <c r="D1251" s="69"/>
      <c r="E1251" s="69"/>
      <c r="F1251" s="69"/>
      <c r="G1251" s="2"/>
      <c r="H1251" s="2"/>
      <c r="I1251" s="69"/>
      <c r="L1251" s="64"/>
    </row>
    <row r="1252">
      <c r="A1252" s="2"/>
      <c r="B1252" s="69"/>
      <c r="C1252" s="69"/>
      <c r="D1252" s="69"/>
      <c r="E1252" s="69"/>
      <c r="F1252" s="69"/>
      <c r="G1252" s="2"/>
      <c r="H1252" s="2"/>
      <c r="I1252" s="69"/>
      <c r="L1252" s="64"/>
    </row>
    <row r="1253">
      <c r="A1253" s="2"/>
      <c r="B1253" s="69"/>
      <c r="C1253" s="69"/>
      <c r="D1253" s="69"/>
      <c r="E1253" s="69"/>
      <c r="F1253" s="69"/>
      <c r="G1253" s="2"/>
      <c r="H1253" s="2"/>
      <c r="I1253" s="69"/>
      <c r="L1253" s="64"/>
    </row>
    <row r="1254">
      <c r="A1254" s="2"/>
      <c r="B1254" s="69"/>
      <c r="C1254" s="69"/>
      <c r="D1254" s="69"/>
      <c r="E1254" s="69"/>
      <c r="F1254" s="69"/>
      <c r="G1254" s="2"/>
      <c r="H1254" s="2"/>
      <c r="I1254" s="69"/>
      <c r="L1254" s="64"/>
    </row>
    <row r="1255">
      <c r="A1255" s="2"/>
      <c r="B1255" s="69"/>
      <c r="C1255" s="69"/>
      <c r="D1255" s="69"/>
      <c r="E1255" s="69"/>
      <c r="F1255" s="69"/>
      <c r="G1255" s="2"/>
      <c r="H1255" s="2"/>
      <c r="I1255" s="69"/>
      <c r="L1255" s="64"/>
    </row>
    <row r="1256">
      <c r="A1256" s="2"/>
      <c r="B1256" s="69"/>
      <c r="C1256" s="69"/>
      <c r="D1256" s="69"/>
      <c r="E1256" s="69"/>
      <c r="F1256" s="69"/>
      <c r="G1256" s="2"/>
      <c r="H1256" s="2"/>
      <c r="I1256" s="69"/>
      <c r="L1256" s="64"/>
    </row>
    <row r="1257">
      <c r="A1257" s="2"/>
      <c r="B1257" s="69"/>
      <c r="C1257" s="69"/>
      <c r="D1257" s="69"/>
      <c r="E1257" s="69"/>
      <c r="F1257" s="69"/>
      <c r="G1257" s="2"/>
      <c r="H1257" s="2"/>
      <c r="I1257" s="69"/>
      <c r="L1257" s="64"/>
    </row>
    <row r="1258">
      <c r="A1258" s="2"/>
      <c r="B1258" s="69"/>
      <c r="C1258" s="69"/>
      <c r="D1258" s="69"/>
      <c r="E1258" s="69"/>
      <c r="F1258" s="69"/>
      <c r="G1258" s="2"/>
      <c r="H1258" s="2"/>
      <c r="I1258" s="69"/>
      <c r="L1258" s="64"/>
    </row>
    <row r="1259">
      <c r="A1259" s="2"/>
      <c r="B1259" s="69"/>
      <c r="C1259" s="69"/>
      <c r="D1259" s="69"/>
      <c r="E1259" s="69"/>
      <c r="F1259" s="69"/>
      <c r="G1259" s="2"/>
      <c r="H1259" s="2"/>
      <c r="I1259" s="69"/>
      <c r="L1259" s="64"/>
    </row>
    <row r="1260">
      <c r="A1260" s="2"/>
      <c r="B1260" s="69"/>
      <c r="C1260" s="69"/>
      <c r="D1260" s="69"/>
      <c r="E1260" s="69"/>
      <c r="F1260" s="69"/>
      <c r="G1260" s="2"/>
      <c r="H1260" s="2"/>
      <c r="I1260" s="69"/>
      <c r="L1260" s="64"/>
    </row>
    <row r="1261">
      <c r="A1261" s="2"/>
      <c r="B1261" s="69"/>
      <c r="C1261" s="69"/>
      <c r="D1261" s="69"/>
      <c r="E1261" s="69"/>
      <c r="F1261" s="69"/>
      <c r="G1261" s="2"/>
      <c r="H1261" s="2"/>
      <c r="I1261" s="69"/>
      <c r="L1261" s="64"/>
    </row>
    <row r="1262">
      <c r="A1262" s="2"/>
      <c r="B1262" s="69"/>
      <c r="C1262" s="69"/>
      <c r="D1262" s="69"/>
      <c r="E1262" s="69"/>
      <c r="F1262" s="69"/>
      <c r="G1262" s="2"/>
      <c r="H1262" s="2"/>
      <c r="I1262" s="69"/>
      <c r="L1262" s="64"/>
    </row>
    <row r="1263">
      <c r="A1263" s="2"/>
      <c r="B1263" s="69"/>
      <c r="C1263" s="69"/>
      <c r="D1263" s="69"/>
      <c r="E1263" s="69"/>
      <c r="F1263" s="69"/>
      <c r="G1263" s="2"/>
      <c r="H1263" s="2"/>
      <c r="I1263" s="69"/>
      <c r="L1263" s="64"/>
    </row>
    <row r="1264">
      <c r="A1264" s="2"/>
      <c r="B1264" s="69"/>
      <c r="C1264" s="69"/>
      <c r="D1264" s="69"/>
      <c r="E1264" s="69"/>
      <c r="F1264" s="69"/>
      <c r="G1264" s="2"/>
      <c r="H1264" s="2"/>
      <c r="I1264" s="69"/>
      <c r="L1264" s="64"/>
    </row>
    <row r="1265">
      <c r="A1265" s="2"/>
      <c r="B1265" s="69"/>
      <c r="C1265" s="69"/>
      <c r="D1265" s="69"/>
      <c r="E1265" s="69"/>
      <c r="F1265" s="69"/>
      <c r="G1265" s="2"/>
      <c r="H1265" s="2"/>
      <c r="I1265" s="69"/>
      <c r="L1265" s="64"/>
    </row>
    <row r="1266">
      <c r="A1266" s="2"/>
      <c r="B1266" s="69"/>
      <c r="C1266" s="69"/>
      <c r="D1266" s="69"/>
      <c r="E1266" s="69"/>
      <c r="F1266" s="69"/>
      <c r="G1266" s="2"/>
      <c r="H1266" s="2"/>
      <c r="I1266" s="69"/>
      <c r="L1266" s="64"/>
    </row>
    <row r="1267">
      <c r="A1267" s="2"/>
      <c r="B1267" s="69"/>
      <c r="C1267" s="69"/>
      <c r="D1267" s="69"/>
      <c r="E1267" s="69"/>
      <c r="F1267" s="69"/>
      <c r="G1267" s="2"/>
      <c r="H1267" s="2"/>
      <c r="I1267" s="69"/>
      <c r="L1267" s="64"/>
    </row>
    <row r="1268">
      <c r="A1268" s="2"/>
      <c r="B1268" s="69"/>
      <c r="C1268" s="69"/>
      <c r="D1268" s="69"/>
      <c r="E1268" s="69"/>
      <c r="F1268" s="69"/>
      <c r="G1268" s="2"/>
      <c r="H1268" s="2"/>
      <c r="I1268" s="69"/>
      <c r="L1268" s="64"/>
    </row>
    <row r="1269">
      <c r="A1269" s="2"/>
      <c r="B1269" s="69"/>
      <c r="C1269" s="69"/>
      <c r="D1269" s="69"/>
      <c r="E1269" s="69"/>
      <c r="F1269" s="69"/>
      <c r="G1269" s="2"/>
      <c r="H1269" s="2"/>
      <c r="I1269" s="69"/>
      <c r="L1269" s="64"/>
    </row>
    <row r="1270">
      <c r="A1270" s="2"/>
      <c r="B1270" s="69"/>
      <c r="C1270" s="69"/>
      <c r="D1270" s="69"/>
      <c r="E1270" s="69"/>
      <c r="F1270" s="69"/>
      <c r="G1270" s="2"/>
      <c r="H1270" s="2"/>
      <c r="I1270" s="69"/>
      <c r="L1270" s="64"/>
    </row>
    <row r="1271">
      <c r="A1271" s="2"/>
      <c r="B1271" s="69"/>
      <c r="C1271" s="69"/>
      <c r="D1271" s="69"/>
      <c r="E1271" s="69"/>
      <c r="F1271" s="69"/>
      <c r="G1271" s="2"/>
      <c r="H1271" s="2"/>
      <c r="I1271" s="69"/>
      <c r="L1271" s="64"/>
    </row>
    <row r="1272">
      <c r="A1272" s="2"/>
      <c r="B1272" s="69"/>
      <c r="C1272" s="69"/>
      <c r="D1272" s="69"/>
      <c r="E1272" s="69"/>
      <c r="F1272" s="69"/>
      <c r="G1272" s="2"/>
      <c r="H1272" s="2"/>
      <c r="I1272" s="69"/>
      <c r="L1272" s="64"/>
    </row>
    <row r="1273">
      <c r="A1273" s="2"/>
      <c r="B1273" s="69"/>
      <c r="C1273" s="69"/>
      <c r="D1273" s="69"/>
      <c r="E1273" s="69"/>
      <c r="F1273" s="69"/>
      <c r="G1273" s="2"/>
      <c r="H1273" s="2"/>
      <c r="I1273" s="69"/>
      <c r="L1273" s="64"/>
    </row>
    <row r="1274">
      <c r="A1274" s="2"/>
      <c r="B1274" s="69"/>
      <c r="C1274" s="69"/>
      <c r="D1274" s="69"/>
      <c r="E1274" s="69"/>
      <c r="F1274" s="69"/>
      <c r="G1274" s="2"/>
      <c r="H1274" s="2"/>
      <c r="I1274" s="69"/>
      <c r="L1274" s="64"/>
    </row>
    <row r="1275">
      <c r="A1275" s="2"/>
      <c r="B1275" s="69"/>
      <c r="C1275" s="69"/>
      <c r="D1275" s="69"/>
      <c r="E1275" s="69"/>
      <c r="F1275" s="69"/>
      <c r="G1275" s="2"/>
      <c r="H1275" s="2"/>
      <c r="I1275" s="69"/>
      <c r="L1275" s="64"/>
    </row>
    <row r="1276">
      <c r="A1276" s="2"/>
      <c r="B1276" s="69"/>
      <c r="C1276" s="69"/>
      <c r="D1276" s="69"/>
      <c r="E1276" s="69"/>
      <c r="F1276" s="69"/>
      <c r="G1276" s="2"/>
      <c r="H1276" s="2"/>
      <c r="I1276" s="69"/>
      <c r="L1276" s="64"/>
    </row>
    <row r="1277">
      <c r="A1277" s="2"/>
      <c r="B1277" s="69"/>
      <c r="C1277" s="69"/>
      <c r="D1277" s="69"/>
      <c r="E1277" s="69"/>
      <c r="F1277" s="69"/>
      <c r="G1277" s="2"/>
      <c r="H1277" s="2"/>
      <c r="I1277" s="69"/>
      <c r="L1277" s="64"/>
    </row>
    <row r="1278">
      <c r="A1278" s="2"/>
      <c r="B1278" s="69"/>
      <c r="C1278" s="69"/>
      <c r="D1278" s="69"/>
      <c r="E1278" s="69"/>
      <c r="F1278" s="69"/>
      <c r="G1278" s="2"/>
      <c r="H1278" s="2"/>
      <c r="I1278" s="69"/>
      <c r="L1278" s="64"/>
    </row>
    <row r="1279">
      <c r="A1279" s="2"/>
      <c r="B1279" s="69"/>
      <c r="C1279" s="69"/>
      <c r="D1279" s="69"/>
      <c r="E1279" s="69"/>
      <c r="F1279" s="69"/>
      <c r="G1279" s="2"/>
      <c r="H1279" s="2"/>
      <c r="I1279" s="69"/>
      <c r="L1279" s="64"/>
    </row>
    <row r="1280">
      <c r="A1280" s="2"/>
      <c r="B1280" s="69"/>
      <c r="C1280" s="69"/>
      <c r="D1280" s="69"/>
      <c r="E1280" s="69"/>
      <c r="F1280" s="69"/>
      <c r="G1280" s="2"/>
      <c r="H1280" s="2"/>
      <c r="I1280" s="69"/>
      <c r="L1280" s="64"/>
    </row>
    <row r="1281">
      <c r="A1281" s="2"/>
      <c r="B1281" s="69"/>
      <c r="C1281" s="69"/>
      <c r="D1281" s="69"/>
      <c r="E1281" s="69"/>
      <c r="F1281" s="69"/>
      <c r="G1281" s="2"/>
      <c r="H1281" s="2"/>
      <c r="I1281" s="69"/>
      <c r="L1281" s="64"/>
    </row>
    <row r="1282">
      <c r="A1282" s="2"/>
      <c r="B1282" s="69"/>
      <c r="C1282" s="69"/>
      <c r="D1282" s="69"/>
      <c r="E1282" s="69"/>
      <c r="F1282" s="69"/>
      <c r="G1282" s="2"/>
      <c r="H1282" s="2"/>
      <c r="I1282" s="69"/>
      <c r="L1282" s="64"/>
    </row>
    <row r="1283">
      <c r="A1283" s="2"/>
      <c r="B1283" s="69"/>
      <c r="C1283" s="69"/>
      <c r="D1283" s="69"/>
      <c r="E1283" s="69"/>
      <c r="F1283" s="69"/>
      <c r="G1283" s="2"/>
      <c r="H1283" s="2"/>
      <c r="I1283" s="69"/>
      <c r="L1283" s="64"/>
    </row>
    <row r="1284">
      <c r="A1284" s="2"/>
      <c r="B1284" s="69"/>
      <c r="C1284" s="69"/>
      <c r="D1284" s="69"/>
      <c r="E1284" s="69"/>
      <c r="F1284" s="69"/>
      <c r="G1284" s="2"/>
      <c r="H1284" s="2"/>
      <c r="I1284" s="69"/>
      <c r="L1284" s="64"/>
    </row>
    <row r="1285">
      <c r="A1285" s="2"/>
      <c r="B1285" s="69"/>
      <c r="C1285" s="69"/>
      <c r="D1285" s="69"/>
      <c r="E1285" s="69"/>
      <c r="F1285" s="69"/>
      <c r="G1285" s="2"/>
      <c r="H1285" s="2"/>
      <c r="I1285" s="69"/>
      <c r="L1285" s="64"/>
    </row>
    <row r="1286">
      <c r="A1286" s="2"/>
      <c r="B1286" s="69"/>
      <c r="C1286" s="69"/>
      <c r="D1286" s="69"/>
      <c r="E1286" s="69"/>
      <c r="F1286" s="69"/>
      <c r="G1286" s="2"/>
      <c r="H1286" s="2"/>
      <c r="I1286" s="69"/>
      <c r="L1286" s="64"/>
    </row>
    <row r="1287">
      <c r="A1287" s="2"/>
      <c r="B1287" s="69"/>
      <c r="C1287" s="69"/>
      <c r="D1287" s="69"/>
      <c r="E1287" s="69"/>
      <c r="F1287" s="69"/>
      <c r="G1287" s="2"/>
      <c r="H1287" s="2"/>
      <c r="I1287" s="69"/>
      <c r="L1287" s="64"/>
    </row>
    <row r="1288">
      <c r="A1288" s="2"/>
      <c r="B1288" s="69"/>
      <c r="C1288" s="69"/>
      <c r="D1288" s="69"/>
      <c r="E1288" s="69"/>
      <c r="F1288" s="69"/>
      <c r="G1288" s="2"/>
      <c r="H1288" s="2"/>
      <c r="I1288" s="69"/>
      <c r="L1288" s="64"/>
    </row>
    <row r="1289">
      <c r="A1289" s="2"/>
      <c r="B1289" s="69"/>
      <c r="C1289" s="69"/>
      <c r="D1289" s="69"/>
      <c r="E1289" s="69"/>
      <c r="F1289" s="69"/>
      <c r="G1289" s="2"/>
      <c r="H1289" s="2"/>
      <c r="I1289" s="69"/>
      <c r="L1289" s="64"/>
    </row>
    <row r="1290">
      <c r="A1290" s="2"/>
      <c r="B1290" s="69"/>
      <c r="C1290" s="69"/>
      <c r="D1290" s="69"/>
      <c r="E1290" s="69"/>
      <c r="F1290" s="69"/>
      <c r="G1290" s="2"/>
      <c r="H1290" s="2"/>
      <c r="I1290" s="69"/>
      <c r="L1290" s="64"/>
    </row>
    <row r="1291">
      <c r="A1291" s="2"/>
      <c r="B1291" s="69"/>
      <c r="C1291" s="69"/>
      <c r="D1291" s="69"/>
      <c r="E1291" s="69"/>
      <c r="F1291" s="69"/>
      <c r="G1291" s="2"/>
      <c r="H1291" s="2"/>
      <c r="I1291" s="69"/>
      <c r="L1291" s="64"/>
    </row>
    <row r="1292">
      <c r="A1292" s="2"/>
      <c r="B1292" s="69"/>
      <c r="C1292" s="69"/>
      <c r="D1292" s="69"/>
      <c r="E1292" s="69"/>
      <c r="F1292" s="69"/>
      <c r="G1292" s="2"/>
      <c r="H1292" s="2"/>
      <c r="I1292" s="69"/>
      <c r="L1292" s="64"/>
    </row>
    <row r="1293">
      <c r="A1293" s="2"/>
      <c r="B1293" s="69"/>
      <c r="C1293" s="69"/>
      <c r="D1293" s="69"/>
      <c r="E1293" s="69"/>
      <c r="F1293" s="69"/>
      <c r="G1293" s="2"/>
      <c r="H1293" s="2"/>
      <c r="I1293" s="69"/>
      <c r="L1293" s="64"/>
    </row>
    <row r="1294">
      <c r="A1294" s="2"/>
      <c r="B1294" s="69"/>
      <c r="C1294" s="69"/>
      <c r="D1294" s="69"/>
      <c r="E1294" s="69"/>
      <c r="F1294" s="69"/>
      <c r="G1294" s="2"/>
      <c r="H1294" s="2"/>
      <c r="I1294" s="69"/>
      <c r="L1294" s="64"/>
    </row>
    <row r="1295">
      <c r="A1295" s="2"/>
      <c r="B1295" s="69"/>
      <c r="C1295" s="69"/>
      <c r="D1295" s="69"/>
      <c r="E1295" s="69"/>
      <c r="F1295" s="69"/>
      <c r="G1295" s="2"/>
      <c r="H1295" s="2"/>
      <c r="I1295" s="69"/>
      <c r="L1295" s="64"/>
    </row>
    <row r="1296">
      <c r="A1296" s="2"/>
      <c r="B1296" s="69"/>
      <c r="C1296" s="69"/>
      <c r="D1296" s="69"/>
      <c r="E1296" s="69"/>
      <c r="F1296" s="69"/>
      <c r="G1296" s="2"/>
      <c r="H1296" s="2"/>
      <c r="I1296" s="69"/>
      <c r="L1296" s="64"/>
    </row>
    <row r="1297">
      <c r="A1297" s="2"/>
      <c r="B1297" s="69"/>
      <c r="C1297" s="69"/>
      <c r="D1297" s="69"/>
      <c r="E1297" s="69"/>
      <c r="F1297" s="69"/>
      <c r="G1297" s="2"/>
      <c r="H1297" s="2"/>
      <c r="I1297" s="69"/>
      <c r="L1297" s="64"/>
    </row>
    <row r="1298">
      <c r="A1298" s="2"/>
      <c r="B1298" s="69"/>
      <c r="C1298" s="69"/>
      <c r="D1298" s="69"/>
      <c r="E1298" s="69"/>
      <c r="F1298" s="69"/>
      <c r="G1298" s="2"/>
      <c r="H1298" s="2"/>
      <c r="I1298" s="69"/>
      <c r="L1298" s="64"/>
    </row>
    <row r="1299">
      <c r="A1299" s="2"/>
      <c r="B1299" s="69"/>
      <c r="C1299" s="69"/>
      <c r="D1299" s="69"/>
      <c r="E1299" s="69"/>
      <c r="F1299" s="69"/>
      <c r="G1299" s="2"/>
      <c r="H1299" s="2"/>
      <c r="I1299" s="69"/>
      <c r="L1299" s="64"/>
    </row>
    <row r="1300">
      <c r="A1300" s="2"/>
      <c r="B1300" s="69"/>
      <c r="C1300" s="69"/>
      <c r="D1300" s="69"/>
      <c r="E1300" s="69"/>
      <c r="F1300" s="69"/>
      <c r="G1300" s="2"/>
      <c r="H1300" s="2"/>
      <c r="I1300" s="69"/>
      <c r="L1300" s="64"/>
    </row>
    <row r="1301">
      <c r="A1301" s="2"/>
      <c r="B1301" s="69"/>
      <c r="C1301" s="69"/>
      <c r="D1301" s="69"/>
      <c r="E1301" s="69"/>
      <c r="F1301" s="69"/>
      <c r="G1301" s="2"/>
      <c r="H1301" s="2"/>
      <c r="I1301" s="69"/>
      <c r="L1301" s="64"/>
    </row>
    <row r="1302">
      <c r="A1302" s="2"/>
      <c r="B1302" s="69"/>
      <c r="C1302" s="69"/>
      <c r="D1302" s="69"/>
      <c r="E1302" s="69"/>
      <c r="F1302" s="69"/>
      <c r="G1302" s="2"/>
      <c r="H1302" s="2"/>
      <c r="I1302" s="69"/>
      <c r="L1302" s="64"/>
    </row>
    <row r="1303">
      <c r="A1303" s="2"/>
      <c r="B1303" s="69"/>
      <c r="C1303" s="69"/>
      <c r="D1303" s="69"/>
      <c r="E1303" s="69"/>
      <c r="F1303" s="69"/>
      <c r="G1303" s="2"/>
      <c r="H1303" s="2"/>
      <c r="I1303" s="69"/>
      <c r="L1303" s="64"/>
    </row>
    <row r="1304">
      <c r="A1304" s="2"/>
      <c r="B1304" s="69"/>
      <c r="C1304" s="69"/>
      <c r="D1304" s="69"/>
      <c r="E1304" s="69"/>
      <c r="F1304" s="69"/>
      <c r="G1304" s="2"/>
      <c r="H1304" s="2"/>
      <c r="I1304" s="69"/>
      <c r="L1304" s="64"/>
    </row>
    <row r="1305">
      <c r="A1305" s="2"/>
      <c r="B1305" s="69"/>
      <c r="C1305" s="69"/>
      <c r="D1305" s="69"/>
      <c r="E1305" s="69"/>
      <c r="F1305" s="69"/>
      <c r="G1305" s="2"/>
      <c r="H1305" s="2"/>
      <c r="I1305" s="69"/>
      <c r="L1305" s="64"/>
    </row>
    <row r="1306">
      <c r="A1306" s="2"/>
      <c r="B1306" s="69"/>
      <c r="C1306" s="69"/>
      <c r="D1306" s="69"/>
      <c r="E1306" s="69"/>
      <c r="F1306" s="69"/>
      <c r="G1306" s="2"/>
      <c r="H1306" s="2"/>
      <c r="I1306" s="69"/>
      <c r="L1306" s="64"/>
    </row>
    <row r="1307">
      <c r="A1307" s="2"/>
      <c r="B1307" s="69"/>
      <c r="C1307" s="69"/>
      <c r="D1307" s="69"/>
      <c r="E1307" s="69"/>
      <c r="F1307" s="69"/>
      <c r="G1307" s="2"/>
      <c r="H1307" s="2"/>
      <c r="I1307" s="69"/>
      <c r="L1307" s="64"/>
    </row>
    <row r="1308">
      <c r="A1308" s="2"/>
      <c r="B1308" s="69"/>
      <c r="C1308" s="69"/>
      <c r="D1308" s="69"/>
      <c r="E1308" s="69"/>
      <c r="F1308" s="69"/>
      <c r="G1308" s="2"/>
      <c r="H1308" s="2"/>
      <c r="I1308" s="69"/>
      <c r="L1308" s="64"/>
    </row>
    <row r="1309">
      <c r="A1309" s="2"/>
      <c r="B1309" s="69"/>
      <c r="C1309" s="69"/>
      <c r="D1309" s="69"/>
      <c r="E1309" s="69"/>
      <c r="F1309" s="69"/>
      <c r="G1309" s="2"/>
      <c r="H1309" s="2"/>
      <c r="I1309" s="69"/>
      <c r="L1309" s="64"/>
    </row>
    <row r="1310">
      <c r="A1310" s="2"/>
      <c r="B1310" s="69"/>
      <c r="C1310" s="69"/>
      <c r="D1310" s="69"/>
      <c r="E1310" s="69"/>
      <c r="F1310" s="69"/>
      <c r="G1310" s="2"/>
      <c r="H1310" s="2"/>
      <c r="I1310" s="69"/>
      <c r="L1310" s="64"/>
    </row>
    <row r="1311">
      <c r="A1311" s="2"/>
      <c r="B1311" s="69"/>
      <c r="C1311" s="69"/>
      <c r="D1311" s="69"/>
      <c r="E1311" s="69"/>
      <c r="F1311" s="69"/>
      <c r="G1311" s="2"/>
      <c r="H1311" s="2"/>
      <c r="I1311" s="69"/>
      <c r="L1311" s="64"/>
    </row>
    <row r="1312">
      <c r="A1312" s="2"/>
      <c r="B1312" s="69"/>
      <c r="C1312" s="69"/>
      <c r="D1312" s="69"/>
      <c r="E1312" s="69"/>
      <c r="F1312" s="69"/>
      <c r="G1312" s="2"/>
      <c r="H1312" s="2"/>
      <c r="I1312" s="69"/>
      <c r="L1312" s="64"/>
    </row>
    <row r="1313">
      <c r="A1313" s="2"/>
      <c r="B1313" s="69"/>
      <c r="C1313" s="69"/>
      <c r="D1313" s="69"/>
      <c r="E1313" s="69"/>
      <c r="F1313" s="69"/>
      <c r="G1313" s="2"/>
      <c r="H1313" s="2"/>
      <c r="I1313" s="69"/>
      <c r="L1313" s="64"/>
    </row>
    <row r="1314">
      <c r="A1314" s="2"/>
      <c r="B1314" s="69"/>
      <c r="C1314" s="69"/>
      <c r="D1314" s="69"/>
      <c r="E1314" s="69"/>
      <c r="F1314" s="69"/>
      <c r="G1314" s="2"/>
      <c r="H1314" s="2"/>
      <c r="I1314" s="69"/>
      <c r="L1314" s="64"/>
    </row>
    <row r="1315">
      <c r="A1315" s="2"/>
      <c r="B1315" s="69"/>
      <c r="C1315" s="69"/>
      <c r="D1315" s="69"/>
      <c r="E1315" s="69"/>
      <c r="F1315" s="69"/>
      <c r="G1315" s="2"/>
      <c r="H1315" s="2"/>
      <c r="I1315" s="69"/>
      <c r="L1315" s="64"/>
    </row>
    <row r="1316">
      <c r="A1316" s="2"/>
      <c r="B1316" s="69"/>
      <c r="C1316" s="69"/>
      <c r="D1316" s="69"/>
      <c r="E1316" s="69"/>
      <c r="F1316" s="69"/>
      <c r="G1316" s="2"/>
      <c r="H1316" s="2"/>
      <c r="I1316" s="69"/>
      <c r="L1316" s="64"/>
    </row>
    <row r="1317">
      <c r="A1317" s="2"/>
      <c r="B1317" s="69"/>
      <c r="C1317" s="69"/>
      <c r="D1317" s="69"/>
      <c r="E1317" s="69"/>
      <c r="F1317" s="69"/>
      <c r="G1317" s="2"/>
      <c r="H1317" s="2"/>
      <c r="I1317" s="69"/>
      <c r="L1317" s="64"/>
    </row>
    <row r="1318">
      <c r="A1318" s="2"/>
      <c r="B1318" s="69"/>
      <c r="C1318" s="69"/>
      <c r="D1318" s="69"/>
      <c r="E1318" s="69"/>
      <c r="F1318" s="69"/>
      <c r="G1318" s="2"/>
      <c r="H1318" s="2"/>
      <c r="I1318" s="69"/>
      <c r="L1318" s="64"/>
    </row>
    <row r="1319">
      <c r="A1319" s="2"/>
      <c r="B1319" s="69"/>
      <c r="C1319" s="69"/>
      <c r="D1319" s="69"/>
      <c r="E1319" s="69"/>
      <c r="F1319" s="69"/>
      <c r="G1319" s="2"/>
      <c r="H1319" s="2"/>
      <c r="I1319" s="69"/>
      <c r="L1319" s="64"/>
    </row>
    <row r="1320">
      <c r="A1320" s="2"/>
      <c r="B1320" s="69"/>
      <c r="C1320" s="69"/>
      <c r="D1320" s="69"/>
      <c r="E1320" s="69"/>
      <c r="F1320" s="69"/>
      <c r="G1320" s="2"/>
      <c r="H1320" s="2"/>
      <c r="I1320" s="69"/>
      <c r="L1320" s="64"/>
    </row>
    <row r="1321">
      <c r="A1321" s="2"/>
      <c r="B1321" s="69"/>
      <c r="C1321" s="69"/>
      <c r="D1321" s="69"/>
      <c r="E1321" s="69"/>
      <c r="F1321" s="69"/>
      <c r="G1321" s="2"/>
      <c r="H1321" s="2"/>
      <c r="I1321" s="69"/>
      <c r="L1321" s="64"/>
    </row>
    <row r="1322">
      <c r="A1322" s="2"/>
      <c r="B1322" s="69"/>
      <c r="C1322" s="69"/>
      <c r="D1322" s="69"/>
      <c r="E1322" s="69"/>
      <c r="F1322" s="69"/>
      <c r="G1322" s="2"/>
      <c r="H1322" s="2"/>
      <c r="I1322" s="69"/>
      <c r="L1322" s="64"/>
    </row>
    <row r="1323">
      <c r="A1323" s="2"/>
      <c r="B1323" s="69"/>
      <c r="C1323" s="69"/>
      <c r="D1323" s="69"/>
      <c r="E1323" s="69"/>
      <c r="F1323" s="69"/>
      <c r="G1323" s="2"/>
      <c r="H1323" s="2"/>
      <c r="I1323" s="69"/>
      <c r="L1323" s="64"/>
    </row>
    <row r="1324">
      <c r="A1324" s="2"/>
      <c r="B1324" s="69"/>
      <c r="C1324" s="69"/>
      <c r="D1324" s="69"/>
      <c r="E1324" s="69"/>
      <c r="F1324" s="69"/>
      <c r="G1324" s="2"/>
      <c r="H1324" s="2"/>
      <c r="I1324" s="69"/>
      <c r="L1324" s="64"/>
    </row>
    <row r="1325">
      <c r="A1325" s="2"/>
      <c r="B1325" s="69"/>
      <c r="C1325" s="69"/>
      <c r="D1325" s="69"/>
      <c r="E1325" s="69"/>
      <c r="F1325" s="69"/>
      <c r="G1325" s="2"/>
      <c r="H1325" s="2"/>
      <c r="I1325" s="69"/>
      <c r="L1325" s="64"/>
    </row>
    <row r="1326">
      <c r="A1326" s="2"/>
      <c r="B1326" s="69"/>
      <c r="C1326" s="69"/>
      <c r="D1326" s="69"/>
      <c r="E1326" s="69"/>
      <c r="F1326" s="69"/>
      <c r="G1326" s="2"/>
      <c r="H1326" s="2"/>
      <c r="I1326" s="69"/>
      <c r="L1326" s="64"/>
    </row>
    <row r="1327">
      <c r="A1327" s="2"/>
      <c r="B1327" s="69"/>
      <c r="C1327" s="69"/>
      <c r="D1327" s="69"/>
      <c r="E1327" s="69"/>
      <c r="F1327" s="69"/>
      <c r="G1327" s="2"/>
      <c r="H1327" s="2"/>
      <c r="I1327" s="69"/>
      <c r="L1327" s="64"/>
    </row>
    <row r="1328">
      <c r="A1328" s="2"/>
      <c r="B1328" s="69"/>
      <c r="C1328" s="69"/>
      <c r="D1328" s="69"/>
      <c r="E1328" s="69"/>
      <c r="F1328" s="69"/>
      <c r="G1328" s="2"/>
      <c r="H1328" s="2"/>
      <c r="I1328" s="69"/>
      <c r="L1328" s="64"/>
    </row>
    <row r="1329">
      <c r="A1329" s="2"/>
      <c r="B1329" s="69"/>
      <c r="C1329" s="69"/>
      <c r="D1329" s="69"/>
      <c r="E1329" s="69"/>
      <c r="F1329" s="69"/>
      <c r="G1329" s="2"/>
      <c r="H1329" s="2"/>
      <c r="I1329" s="69"/>
      <c r="L1329" s="64"/>
    </row>
    <row r="1330">
      <c r="A1330" s="2"/>
      <c r="B1330" s="69"/>
      <c r="C1330" s="69"/>
      <c r="D1330" s="69"/>
      <c r="E1330" s="69"/>
      <c r="F1330" s="69"/>
      <c r="G1330" s="2"/>
      <c r="H1330" s="2"/>
      <c r="I1330" s="69"/>
      <c r="L1330" s="64"/>
    </row>
    <row r="1331">
      <c r="A1331" s="2"/>
      <c r="B1331" s="69"/>
      <c r="C1331" s="69"/>
      <c r="D1331" s="69"/>
      <c r="E1331" s="69"/>
      <c r="F1331" s="69"/>
      <c r="G1331" s="2"/>
      <c r="H1331" s="2"/>
      <c r="I1331" s="69"/>
      <c r="L1331" s="64"/>
    </row>
    <row r="1332">
      <c r="A1332" s="2"/>
      <c r="B1332" s="69"/>
      <c r="C1332" s="69"/>
      <c r="D1332" s="69"/>
      <c r="E1332" s="69"/>
      <c r="F1332" s="69"/>
      <c r="G1332" s="2"/>
      <c r="H1332" s="2"/>
      <c r="I1332" s="69"/>
      <c r="L1332" s="64"/>
    </row>
    <row r="1333">
      <c r="A1333" s="2"/>
      <c r="B1333" s="69"/>
      <c r="C1333" s="69"/>
      <c r="D1333" s="69"/>
      <c r="E1333" s="69"/>
      <c r="F1333" s="69"/>
      <c r="G1333" s="2"/>
      <c r="H1333" s="2"/>
      <c r="I1333" s="69"/>
      <c r="L1333" s="64"/>
    </row>
    <row r="1334">
      <c r="A1334" s="2"/>
      <c r="B1334" s="69"/>
      <c r="C1334" s="69"/>
      <c r="D1334" s="69"/>
      <c r="E1334" s="69"/>
      <c r="F1334" s="69"/>
      <c r="G1334" s="2"/>
      <c r="H1334" s="2"/>
      <c r="I1334" s="69"/>
      <c r="L1334" s="64"/>
    </row>
    <row r="1335">
      <c r="A1335" s="2"/>
      <c r="B1335" s="69"/>
      <c r="C1335" s="69"/>
      <c r="D1335" s="69"/>
      <c r="E1335" s="69"/>
      <c r="F1335" s="69"/>
      <c r="G1335" s="2"/>
      <c r="H1335" s="2"/>
      <c r="I1335" s="69"/>
      <c r="L1335" s="64"/>
    </row>
    <row r="1336">
      <c r="A1336" s="2"/>
      <c r="B1336" s="69"/>
      <c r="C1336" s="69"/>
      <c r="D1336" s="69"/>
      <c r="E1336" s="69"/>
      <c r="F1336" s="69"/>
      <c r="G1336" s="2"/>
      <c r="H1336" s="2"/>
      <c r="I1336" s="69"/>
      <c r="L1336" s="64"/>
    </row>
    <row r="1337">
      <c r="A1337" s="2"/>
      <c r="B1337" s="69"/>
      <c r="C1337" s="69"/>
      <c r="D1337" s="69"/>
      <c r="E1337" s="69"/>
      <c r="F1337" s="69"/>
      <c r="G1337" s="2"/>
      <c r="H1337" s="2"/>
      <c r="I1337" s="69"/>
      <c r="L1337" s="64"/>
    </row>
    <row r="1338">
      <c r="A1338" s="2"/>
      <c r="B1338" s="69"/>
      <c r="C1338" s="69"/>
      <c r="D1338" s="69"/>
      <c r="E1338" s="69"/>
      <c r="F1338" s="69"/>
      <c r="G1338" s="2"/>
      <c r="H1338" s="2"/>
      <c r="I1338" s="69"/>
      <c r="L1338" s="64"/>
    </row>
    <row r="1339">
      <c r="A1339" s="2"/>
      <c r="B1339" s="69"/>
      <c r="C1339" s="69"/>
      <c r="D1339" s="69"/>
      <c r="E1339" s="69"/>
      <c r="F1339" s="69"/>
      <c r="G1339" s="2"/>
      <c r="H1339" s="2"/>
      <c r="I1339" s="69"/>
      <c r="L1339" s="64"/>
    </row>
    <row r="1340">
      <c r="A1340" s="2"/>
      <c r="B1340" s="69"/>
      <c r="C1340" s="69"/>
      <c r="D1340" s="69"/>
      <c r="E1340" s="69"/>
      <c r="F1340" s="69"/>
      <c r="G1340" s="2"/>
      <c r="H1340" s="2"/>
      <c r="I1340" s="69"/>
      <c r="L1340" s="64"/>
    </row>
    <row r="1341">
      <c r="A1341" s="2"/>
      <c r="B1341" s="69"/>
      <c r="C1341" s="69"/>
      <c r="D1341" s="69"/>
      <c r="E1341" s="69"/>
      <c r="F1341" s="69"/>
      <c r="G1341" s="2"/>
      <c r="H1341" s="2"/>
      <c r="I1341" s="69"/>
      <c r="L1341" s="64"/>
    </row>
    <row r="1342">
      <c r="A1342" s="2"/>
      <c r="B1342" s="69"/>
      <c r="C1342" s="69"/>
      <c r="D1342" s="69"/>
      <c r="E1342" s="69"/>
      <c r="F1342" s="69"/>
      <c r="G1342" s="2"/>
      <c r="H1342" s="2"/>
      <c r="I1342" s="69"/>
      <c r="L1342" s="64"/>
    </row>
    <row r="1343">
      <c r="A1343" s="2"/>
      <c r="B1343" s="69"/>
      <c r="C1343" s="69"/>
      <c r="D1343" s="69"/>
      <c r="E1343" s="69"/>
      <c r="F1343" s="69"/>
      <c r="G1343" s="2"/>
      <c r="H1343" s="2"/>
      <c r="I1343" s="69"/>
      <c r="L1343" s="64"/>
    </row>
    <row r="1344">
      <c r="A1344" s="2"/>
      <c r="B1344" s="69"/>
      <c r="C1344" s="69"/>
      <c r="D1344" s="69"/>
      <c r="E1344" s="69"/>
      <c r="F1344" s="69"/>
      <c r="G1344" s="2"/>
      <c r="H1344" s="2"/>
      <c r="I1344" s="69"/>
      <c r="L1344" s="64"/>
    </row>
  </sheetData>
  <autoFilter ref="$A$1:$FQ$715">
    <filterColumn colId="3">
      <filters>
        <filter val="Yes"/>
      </filters>
    </filterColumn>
    <sortState ref="A1:FQ715">
      <sortCondition ref="A1:A715"/>
      <sortCondition ref="C1:C715"/>
    </sortState>
  </autoFilter>
  <conditionalFormatting sqref="E1:E1344">
    <cfRule type="containsText" dxfId="0" priority="1" operator="containsText" text="No">
      <formula>NOT(ISERROR(SEARCH(("No"),(E1))))</formula>
    </cfRule>
  </conditionalFormatting>
  <conditionalFormatting sqref="A1:F1344 H1:H1344 I1:I42 G2:G1344 I44:I325 K62 K83 J84 K290 J298:K298 I327 I329:I351 I353:I1344 K368 K392 K436 K450 K458 K467 K469 K510 K514 K516 K520 K532 K545 K551 K560 K575 K581 K635 K705:K709">
    <cfRule type="containsText" dxfId="1" priority="2" operator="containsText" text="Lost">
      <formula>NOT(ISERROR(SEARCH(("Lost"),(A1))))</formula>
    </cfRule>
  </conditionalFormatting>
  <conditionalFormatting sqref="A1:F1344 H1:H1344 I1:I42 G2:G1344 I44:I325 K62 K83 J84 K290 J298:K298 I327 I329:I351 I353:I1344 K368 K392 K436 K450 K458 K467 K469 K510 K514 K516 K520 K532 K545 K551 K560 K575 K581 K635 K705:K709">
    <cfRule type="containsText" dxfId="2" priority="3" operator="containsText" text="Continuous">
      <formula>NOT(ISERROR(SEARCH(("Continuous"),(A1))))</formula>
    </cfRule>
  </conditionalFormatting>
  <conditionalFormatting sqref="A1:F1344 H1:H1344 I1:I42 G2:G1344 I44:I325 K62 K83 J84 K290 J298:K298 I327 I329:I351 I353:I1344 K368 K392 K436 K450 K458 K467 K469 K510 K514 K516 K520 K532 K545 K551 K560 K575 K581 K635 K705:K709">
    <cfRule type="containsText" dxfId="1" priority="4" operator="containsText" text="Recycled">
      <formula>NOT(ISERROR(SEARCH(("Recycled"),(A1))))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7.29" defaultRowHeight="15.0"/>
  <cols>
    <col customWidth="1" min="1" max="1" width="35.0"/>
    <col customWidth="1" min="2" max="2" width="15.57"/>
    <col customWidth="1" min="3" max="3" width="0.43"/>
    <col customWidth="1" min="15" max="17" width="19.29"/>
  </cols>
  <sheetData>
    <row r="1">
      <c r="A1" s="103"/>
      <c r="B1" s="24"/>
      <c r="C1" s="24"/>
      <c r="D1" s="24"/>
      <c r="E1" s="24" t="s">
        <v>1630</v>
      </c>
      <c r="F1" s="24" t="s">
        <v>1630</v>
      </c>
      <c r="G1" s="24" t="s">
        <v>1630</v>
      </c>
      <c r="H1" s="24" t="s">
        <v>1630</v>
      </c>
      <c r="I1" s="24" t="s">
        <v>1631</v>
      </c>
      <c r="J1" s="24" t="s">
        <v>1631</v>
      </c>
      <c r="K1" s="24" t="s">
        <v>1631</v>
      </c>
      <c r="L1" s="24" t="s">
        <v>1631</v>
      </c>
      <c r="M1" s="24" t="s">
        <v>1632</v>
      </c>
      <c r="N1" s="24" t="s">
        <v>1632</v>
      </c>
      <c r="O1" s="24" t="s">
        <v>1632</v>
      </c>
      <c r="P1" s="24" t="s">
        <v>1632</v>
      </c>
      <c r="Q1" s="24" t="s">
        <v>647</v>
      </c>
      <c r="R1" s="24" t="s">
        <v>647</v>
      </c>
      <c r="S1" s="24" t="s">
        <v>647</v>
      </c>
      <c r="T1" s="24" t="s">
        <v>647</v>
      </c>
      <c r="U1" s="24" t="s">
        <v>1633</v>
      </c>
      <c r="V1" s="24" t="s">
        <v>1633</v>
      </c>
      <c r="W1" s="24" t="s">
        <v>1633</v>
      </c>
      <c r="X1" s="24" t="s">
        <v>1633</v>
      </c>
      <c r="Y1" s="24" t="s">
        <v>1634</v>
      </c>
      <c r="Z1" s="24" t="s">
        <v>1634</v>
      </c>
      <c r="AA1" s="24" t="s">
        <v>1634</v>
      </c>
      <c r="AB1" s="24" t="s">
        <v>1634</v>
      </c>
      <c r="AC1" s="24" t="s">
        <v>1635</v>
      </c>
      <c r="AD1" s="24" t="s">
        <v>1635</v>
      </c>
      <c r="AE1" s="24" t="s">
        <v>1635</v>
      </c>
      <c r="AF1" s="24" t="s">
        <v>1635</v>
      </c>
      <c r="AG1" s="24" t="s">
        <v>1636</v>
      </c>
      <c r="AH1" s="24" t="s">
        <v>1636</v>
      </c>
      <c r="AI1" s="24" t="s">
        <v>1636</v>
      </c>
      <c r="AJ1" s="24" t="s">
        <v>1636</v>
      </c>
    </row>
    <row r="2">
      <c r="A2" s="104" t="s">
        <v>600</v>
      </c>
      <c r="B2" s="105" t="s">
        <v>1637</v>
      </c>
      <c r="C2" s="105" t="s">
        <v>76</v>
      </c>
      <c r="D2" s="105" t="s">
        <v>601</v>
      </c>
      <c r="E2" s="105" t="s">
        <v>1638</v>
      </c>
      <c r="F2" s="105" t="s">
        <v>1639</v>
      </c>
      <c r="G2" s="105" t="s">
        <v>1640</v>
      </c>
      <c r="H2" s="105" t="s">
        <v>1641</v>
      </c>
      <c r="I2" s="105" t="s">
        <v>1638</v>
      </c>
      <c r="J2" s="105" t="s">
        <v>1639</v>
      </c>
      <c r="K2" s="105" t="s">
        <v>1640</v>
      </c>
      <c r="L2" s="105" t="s">
        <v>1641</v>
      </c>
      <c r="M2" s="105" t="s">
        <v>1638</v>
      </c>
      <c r="N2" s="105" t="s">
        <v>1639</v>
      </c>
      <c r="O2" s="105" t="s">
        <v>1640</v>
      </c>
      <c r="P2" s="105" t="s">
        <v>1641</v>
      </c>
      <c r="Q2" s="105" t="s">
        <v>1638</v>
      </c>
      <c r="R2" s="105" t="s">
        <v>1639</v>
      </c>
      <c r="S2" s="105" t="s">
        <v>1640</v>
      </c>
      <c r="T2" s="105" t="s">
        <v>1641</v>
      </c>
      <c r="U2" s="105" t="s">
        <v>1638</v>
      </c>
      <c r="V2" s="105" t="s">
        <v>1639</v>
      </c>
      <c r="W2" s="105" t="s">
        <v>1640</v>
      </c>
      <c r="X2" s="105" t="s">
        <v>1641</v>
      </c>
      <c r="Y2" s="105" t="s">
        <v>1638</v>
      </c>
      <c r="Z2" s="105" t="s">
        <v>1639</v>
      </c>
      <c r="AA2" s="105" t="s">
        <v>1640</v>
      </c>
      <c r="AB2" s="105" t="s">
        <v>1641</v>
      </c>
      <c r="AC2" s="105" t="s">
        <v>1638</v>
      </c>
      <c r="AD2" s="105" t="s">
        <v>1639</v>
      </c>
      <c r="AE2" s="105" t="s">
        <v>1640</v>
      </c>
      <c r="AF2" s="105" t="s">
        <v>1641</v>
      </c>
      <c r="AG2" s="105" t="s">
        <v>1638</v>
      </c>
      <c r="AH2" s="105" t="s">
        <v>1639</v>
      </c>
      <c r="AI2" s="105" t="s">
        <v>1640</v>
      </c>
      <c r="AJ2" s="105" t="s">
        <v>1641</v>
      </c>
    </row>
    <row r="3" hidden="1">
      <c r="A3" s="106" t="s">
        <v>1642</v>
      </c>
      <c r="B3" s="17" t="s">
        <v>1643</v>
      </c>
      <c r="C3" s="17" t="s">
        <v>654</v>
      </c>
      <c r="E3" s="66" t="s">
        <v>1133</v>
      </c>
      <c r="G3" s="66" t="s">
        <v>1133</v>
      </c>
      <c r="I3" s="66" t="s">
        <v>1133</v>
      </c>
      <c r="K3" s="66" t="s">
        <v>1133</v>
      </c>
      <c r="M3" s="107"/>
      <c r="O3" s="107"/>
      <c r="Q3" s="107"/>
      <c r="S3" s="107"/>
    </row>
    <row r="4">
      <c r="A4" s="106" t="s">
        <v>749</v>
      </c>
      <c r="B4" s="17" t="s">
        <v>1644</v>
      </c>
      <c r="C4" s="17" t="s">
        <v>654</v>
      </c>
      <c r="J4" s="65" t="s">
        <v>1645</v>
      </c>
      <c r="K4" s="65" t="s">
        <v>1645</v>
      </c>
      <c r="L4" s="65" t="s">
        <v>1645</v>
      </c>
      <c r="M4" s="65" t="s">
        <v>1645</v>
      </c>
      <c r="N4" s="65" t="s">
        <v>1645</v>
      </c>
      <c r="O4" s="65" t="s">
        <v>1645</v>
      </c>
      <c r="P4" s="65" t="s">
        <v>1645</v>
      </c>
      <c r="Q4" s="65" t="s">
        <v>1645</v>
      </c>
      <c r="R4" s="65" t="s">
        <v>1645</v>
      </c>
      <c r="T4" s="65" t="s">
        <v>1645</v>
      </c>
      <c r="X4" s="65" t="s">
        <v>1645</v>
      </c>
    </row>
    <row r="5">
      <c r="A5" s="106" t="s">
        <v>1646</v>
      </c>
      <c r="B5" s="17" t="s">
        <v>1647</v>
      </c>
      <c r="C5" s="17" t="s">
        <v>654</v>
      </c>
      <c r="F5" s="65" t="s">
        <v>1648</v>
      </c>
      <c r="J5" s="65" t="s">
        <v>1649</v>
      </c>
      <c r="K5" s="65" t="s">
        <v>1649</v>
      </c>
      <c r="L5" s="65" t="s">
        <v>1649</v>
      </c>
      <c r="M5" s="65" t="s">
        <v>1649</v>
      </c>
      <c r="N5" s="65" t="s">
        <v>1649</v>
      </c>
      <c r="O5" s="65" t="s">
        <v>1649</v>
      </c>
      <c r="P5" s="65" t="s">
        <v>1649</v>
      </c>
      <c r="Q5" s="65" t="s">
        <v>1649</v>
      </c>
      <c r="R5" s="65" t="s">
        <v>1648</v>
      </c>
      <c r="T5" s="65" t="s">
        <v>1649</v>
      </c>
      <c r="V5" s="65" t="s">
        <v>1649</v>
      </c>
      <c r="Z5" s="65" t="s">
        <v>1649</v>
      </c>
    </row>
    <row r="6">
      <c r="A6" s="106" t="s">
        <v>1650</v>
      </c>
      <c r="B6" s="17" t="s">
        <v>1651</v>
      </c>
      <c r="C6" s="17"/>
      <c r="D6" s="17"/>
      <c r="F6" s="65" t="s">
        <v>717</v>
      </c>
      <c r="J6" s="65" t="s">
        <v>717</v>
      </c>
      <c r="K6" s="65" t="s">
        <v>717</v>
      </c>
      <c r="L6" s="65" t="s">
        <v>717</v>
      </c>
      <c r="M6" s="65" t="s">
        <v>717</v>
      </c>
      <c r="N6" s="65" t="s">
        <v>717</v>
      </c>
      <c r="O6" s="65" t="s">
        <v>717</v>
      </c>
      <c r="P6" s="65" t="s">
        <v>717</v>
      </c>
      <c r="Q6" s="65" t="s">
        <v>717</v>
      </c>
      <c r="R6" s="65" t="s">
        <v>717</v>
      </c>
      <c r="T6" s="65" t="s">
        <v>717</v>
      </c>
      <c r="V6" s="65" t="s">
        <v>717</v>
      </c>
      <c r="Z6" s="65" t="s">
        <v>717</v>
      </c>
    </row>
    <row r="7">
      <c r="A7" s="106" t="s">
        <v>1652</v>
      </c>
      <c r="B7" s="17" t="s">
        <v>1653</v>
      </c>
      <c r="C7" s="17" t="s">
        <v>660</v>
      </c>
      <c r="D7" s="17" t="s">
        <v>1654</v>
      </c>
      <c r="K7" s="65" t="s">
        <v>1655</v>
      </c>
      <c r="L7" s="65" t="s">
        <v>1655</v>
      </c>
      <c r="M7" s="65" t="s">
        <v>1655</v>
      </c>
      <c r="N7" s="65" t="s">
        <v>1655</v>
      </c>
      <c r="O7" s="65" t="s">
        <v>1655</v>
      </c>
      <c r="P7" s="65" t="s">
        <v>1655</v>
      </c>
      <c r="Q7" s="65" t="s">
        <v>1655</v>
      </c>
      <c r="R7" s="65" t="s">
        <v>1655</v>
      </c>
      <c r="S7" s="65" t="s">
        <v>1655</v>
      </c>
      <c r="U7" s="65" t="s">
        <v>1655</v>
      </c>
      <c r="W7" s="65" t="s">
        <v>1655</v>
      </c>
      <c r="AA7" s="65" t="s">
        <v>1655</v>
      </c>
    </row>
    <row r="8">
      <c r="A8" s="106" t="s">
        <v>1656</v>
      </c>
      <c r="E8" s="66" t="s">
        <v>664</v>
      </c>
      <c r="I8" s="66" t="s">
        <v>664</v>
      </c>
      <c r="K8" s="66" t="s">
        <v>664</v>
      </c>
      <c r="M8" s="66" t="s">
        <v>664</v>
      </c>
      <c r="O8" s="66" t="s">
        <v>664</v>
      </c>
      <c r="Q8" s="66" t="s">
        <v>664</v>
      </c>
      <c r="T8" s="66" t="s">
        <v>664</v>
      </c>
      <c r="X8" s="66" t="s">
        <v>664</v>
      </c>
      <c r="AF8" s="66" t="s">
        <v>664</v>
      </c>
    </row>
    <row r="9">
      <c r="A9" s="106" t="s">
        <v>1657</v>
      </c>
      <c r="H9" s="66" t="s">
        <v>664</v>
      </c>
      <c r="M9" s="66" t="s">
        <v>664</v>
      </c>
      <c r="O9" s="66" t="s">
        <v>664</v>
      </c>
      <c r="Q9" s="66" t="s">
        <v>664</v>
      </c>
      <c r="T9" s="66" t="s">
        <v>664</v>
      </c>
      <c r="X9" s="66" t="s">
        <v>664</v>
      </c>
    </row>
    <row r="10">
      <c r="A10" s="106" t="s">
        <v>733</v>
      </c>
      <c r="H10" s="65" t="s">
        <v>1658</v>
      </c>
      <c r="W10" s="65" t="s">
        <v>1658</v>
      </c>
    </row>
    <row r="11">
      <c r="A11" s="106" t="s">
        <v>1659</v>
      </c>
      <c r="E11" s="65" t="s">
        <v>1660</v>
      </c>
      <c r="I11" s="66" t="s">
        <v>1661</v>
      </c>
      <c r="K11" s="66" t="s">
        <v>1662</v>
      </c>
      <c r="M11" s="65" t="s">
        <v>1663</v>
      </c>
      <c r="O11" s="65" t="s">
        <v>1664</v>
      </c>
      <c r="Q11" s="65" t="s">
        <v>1660</v>
      </c>
      <c r="T11" s="66" t="s">
        <v>664</v>
      </c>
      <c r="V11" s="66" t="s">
        <v>664</v>
      </c>
      <c r="Y11" s="65" t="s">
        <v>1660</v>
      </c>
      <c r="AA11" s="66" t="s">
        <v>664</v>
      </c>
      <c r="AC11" s="66" t="s">
        <v>664</v>
      </c>
    </row>
    <row r="12">
      <c r="A12" s="106" t="s">
        <v>1665</v>
      </c>
      <c r="E12" s="66" t="s">
        <v>1666</v>
      </c>
      <c r="Y12" s="108" t="s">
        <v>1667</v>
      </c>
    </row>
    <row r="13">
      <c r="A13" s="106" t="s">
        <v>741</v>
      </c>
      <c r="D13" s="17" t="s">
        <v>1668</v>
      </c>
      <c r="I13" s="66" t="s">
        <v>664</v>
      </c>
    </row>
    <row r="14">
      <c r="A14" s="109"/>
    </row>
    <row r="15">
      <c r="A15" s="109"/>
    </row>
    <row r="16">
      <c r="A16" s="109"/>
    </row>
    <row r="17">
      <c r="A17" s="109"/>
    </row>
    <row r="18">
      <c r="A18" s="109"/>
    </row>
    <row r="19">
      <c r="A19" s="109"/>
    </row>
    <row r="20">
      <c r="A20" s="109"/>
    </row>
    <row r="21">
      <c r="A21" s="109"/>
    </row>
    <row r="22">
      <c r="A22" s="109"/>
    </row>
    <row r="23">
      <c r="A23" s="109"/>
    </row>
    <row r="24">
      <c r="A24" s="109"/>
    </row>
    <row r="25">
      <c r="A25" s="109"/>
    </row>
    <row r="26">
      <c r="A26" s="109"/>
    </row>
    <row r="27">
      <c r="A27" s="109"/>
    </row>
    <row r="28">
      <c r="A28" s="109"/>
    </row>
    <row r="29">
      <c r="A29" s="109"/>
    </row>
    <row r="30">
      <c r="A30" s="109"/>
    </row>
    <row r="31">
      <c r="A31" s="109"/>
    </row>
    <row r="32">
      <c r="A32" s="109"/>
    </row>
    <row r="33">
      <c r="A33" s="109"/>
    </row>
    <row r="34">
      <c r="A34" s="109"/>
    </row>
    <row r="35">
      <c r="A35" s="109"/>
    </row>
    <row r="36">
      <c r="A36" s="109"/>
    </row>
    <row r="37">
      <c r="A37" s="109"/>
    </row>
    <row r="38">
      <c r="A38" s="109"/>
    </row>
    <row r="39">
      <c r="A39" s="109"/>
    </row>
    <row r="40">
      <c r="A40" s="109"/>
    </row>
    <row r="41">
      <c r="A41" s="109"/>
    </row>
    <row r="42">
      <c r="A42" s="109"/>
    </row>
    <row r="43">
      <c r="A43" s="109"/>
    </row>
    <row r="44">
      <c r="A44" s="109"/>
    </row>
    <row r="45">
      <c r="A45" s="109"/>
    </row>
    <row r="46">
      <c r="A46" s="109"/>
    </row>
    <row r="47">
      <c r="A47" s="109"/>
    </row>
    <row r="48">
      <c r="A48" s="109"/>
    </row>
    <row r="49">
      <c r="A49" s="109"/>
    </row>
    <row r="50">
      <c r="A50" s="109"/>
    </row>
    <row r="51">
      <c r="A51" s="109"/>
    </row>
    <row r="52">
      <c r="A52" s="109"/>
    </row>
    <row r="53">
      <c r="A53" s="109"/>
    </row>
    <row r="54">
      <c r="A54" s="109"/>
    </row>
    <row r="55">
      <c r="A55" s="109"/>
    </row>
    <row r="56">
      <c r="A56" s="109"/>
    </row>
    <row r="57">
      <c r="A57" s="109"/>
    </row>
    <row r="58">
      <c r="A58" s="109"/>
    </row>
    <row r="59">
      <c r="A59" s="109"/>
    </row>
    <row r="60">
      <c r="A60" s="109"/>
    </row>
    <row r="61">
      <c r="A61" s="109"/>
    </row>
    <row r="62">
      <c r="A62" s="109"/>
    </row>
    <row r="63">
      <c r="A63" s="109"/>
    </row>
    <row r="64">
      <c r="A64" s="109"/>
    </row>
    <row r="65">
      <c r="A65" s="109"/>
    </row>
    <row r="66">
      <c r="A66" s="109"/>
    </row>
    <row r="67">
      <c r="A67" s="109"/>
    </row>
    <row r="68">
      <c r="A68" s="109"/>
    </row>
    <row r="69">
      <c r="A69" s="109"/>
    </row>
    <row r="70">
      <c r="A70" s="109"/>
    </row>
    <row r="71">
      <c r="A71" s="109"/>
    </row>
    <row r="72">
      <c r="A72" s="109"/>
    </row>
    <row r="73">
      <c r="A73" s="109"/>
    </row>
    <row r="74">
      <c r="A74" s="109"/>
    </row>
    <row r="75">
      <c r="A75" s="109"/>
    </row>
    <row r="76">
      <c r="A76" s="109"/>
    </row>
    <row r="77">
      <c r="A77" s="109"/>
    </row>
    <row r="78">
      <c r="A78" s="109"/>
    </row>
    <row r="79">
      <c r="A79" s="109"/>
    </row>
    <row r="80">
      <c r="A80" s="109"/>
    </row>
    <row r="81">
      <c r="A81" s="109"/>
    </row>
    <row r="82">
      <c r="A82" s="109"/>
    </row>
    <row r="83">
      <c r="A83" s="109"/>
    </row>
    <row r="84">
      <c r="A84" s="109"/>
    </row>
    <row r="85">
      <c r="A85" s="109"/>
    </row>
    <row r="86">
      <c r="A86" s="109"/>
    </row>
    <row r="87">
      <c r="A87" s="109"/>
    </row>
    <row r="88">
      <c r="A88" s="109"/>
    </row>
    <row r="89">
      <c r="A89" s="109"/>
    </row>
    <row r="90">
      <c r="A90" s="109"/>
    </row>
    <row r="91">
      <c r="A91" s="109"/>
    </row>
    <row r="92">
      <c r="A92" s="109"/>
    </row>
    <row r="93">
      <c r="A93" s="109"/>
    </row>
    <row r="94">
      <c r="A94" s="109"/>
    </row>
    <row r="95">
      <c r="A95" s="109"/>
    </row>
    <row r="96">
      <c r="A96" s="109"/>
    </row>
    <row r="97">
      <c r="A97" s="109"/>
    </row>
    <row r="98">
      <c r="A98" s="109"/>
    </row>
    <row r="99">
      <c r="A99" s="109"/>
    </row>
    <row r="100">
      <c r="A100" s="109"/>
    </row>
    <row r="101">
      <c r="A101" s="109"/>
    </row>
    <row r="102">
      <c r="A102" s="109"/>
    </row>
    <row r="103">
      <c r="A103" s="109"/>
    </row>
    <row r="104">
      <c r="A104" s="109"/>
    </row>
    <row r="105">
      <c r="A105" s="109"/>
    </row>
    <row r="106">
      <c r="A106" s="109"/>
    </row>
    <row r="107">
      <c r="A107" s="109"/>
    </row>
    <row r="108">
      <c r="A108" s="109"/>
    </row>
    <row r="109">
      <c r="A109" s="109"/>
    </row>
    <row r="110">
      <c r="A110" s="109"/>
    </row>
    <row r="111">
      <c r="A111" s="109"/>
    </row>
    <row r="112">
      <c r="A112" s="109"/>
    </row>
    <row r="113">
      <c r="A113" s="109"/>
    </row>
    <row r="114">
      <c r="A114" s="109"/>
    </row>
    <row r="115">
      <c r="A115" s="109"/>
    </row>
    <row r="116">
      <c r="A116" s="109"/>
    </row>
    <row r="117">
      <c r="A117" s="109"/>
    </row>
    <row r="118">
      <c r="A118" s="109"/>
    </row>
    <row r="119">
      <c r="A119" s="109"/>
    </row>
    <row r="120">
      <c r="A120" s="109"/>
    </row>
    <row r="121">
      <c r="A121" s="109"/>
    </row>
    <row r="122">
      <c r="A122" s="109"/>
    </row>
    <row r="123">
      <c r="A123" s="109"/>
    </row>
    <row r="124">
      <c r="A124" s="109"/>
    </row>
    <row r="125">
      <c r="A125" s="109"/>
    </row>
    <row r="126">
      <c r="A126" s="109"/>
    </row>
    <row r="127">
      <c r="A127" s="109"/>
    </row>
    <row r="128">
      <c r="A128" s="109"/>
    </row>
    <row r="129">
      <c r="A129" s="109"/>
    </row>
    <row r="130">
      <c r="A130" s="109"/>
    </row>
    <row r="131">
      <c r="A131" s="109"/>
    </row>
    <row r="132">
      <c r="A132" s="109"/>
    </row>
    <row r="133">
      <c r="A133" s="109"/>
    </row>
    <row r="134">
      <c r="A134" s="109"/>
    </row>
    <row r="135">
      <c r="A135" s="109"/>
    </row>
    <row r="136">
      <c r="A136" s="109"/>
    </row>
    <row r="137">
      <c r="A137" s="109"/>
    </row>
    <row r="138">
      <c r="A138" s="109"/>
    </row>
    <row r="139">
      <c r="A139" s="109"/>
    </row>
    <row r="140">
      <c r="A140" s="109"/>
    </row>
    <row r="141">
      <c r="A141" s="109"/>
    </row>
    <row r="142">
      <c r="A142" s="109"/>
    </row>
    <row r="143">
      <c r="A143" s="109"/>
    </row>
    <row r="144">
      <c r="A144" s="109"/>
    </row>
    <row r="145">
      <c r="A145" s="109"/>
    </row>
    <row r="146">
      <c r="A146" s="109"/>
    </row>
    <row r="147">
      <c r="A147" s="109"/>
    </row>
    <row r="148">
      <c r="A148" s="109"/>
    </row>
    <row r="149">
      <c r="A149" s="109"/>
    </row>
    <row r="150">
      <c r="A150" s="109"/>
    </row>
    <row r="151">
      <c r="A151" s="109"/>
    </row>
    <row r="152">
      <c r="A152" s="109"/>
    </row>
    <row r="153">
      <c r="A153" s="109"/>
    </row>
    <row r="154">
      <c r="A154" s="109"/>
    </row>
    <row r="155">
      <c r="A155" s="109"/>
    </row>
    <row r="156">
      <c r="A156" s="109"/>
    </row>
    <row r="157">
      <c r="A157" s="109"/>
    </row>
    <row r="158">
      <c r="A158" s="109"/>
    </row>
    <row r="159">
      <c r="A159" s="109"/>
    </row>
    <row r="160">
      <c r="A160" s="109"/>
    </row>
    <row r="161">
      <c r="A161" s="109"/>
    </row>
    <row r="162">
      <c r="A162" s="109"/>
    </row>
    <row r="163">
      <c r="A163" s="109"/>
    </row>
    <row r="164">
      <c r="A164" s="109"/>
    </row>
    <row r="165">
      <c r="A165" s="109"/>
    </row>
    <row r="166">
      <c r="A166" s="109"/>
    </row>
    <row r="167">
      <c r="A167" s="109"/>
    </row>
    <row r="168">
      <c r="A168" s="109"/>
    </row>
    <row r="169">
      <c r="A169" s="109"/>
    </row>
    <row r="170">
      <c r="A170" s="109"/>
    </row>
    <row r="171">
      <c r="A171" s="109"/>
    </row>
    <row r="172">
      <c r="A172" s="109"/>
    </row>
    <row r="173">
      <c r="A173" s="109"/>
    </row>
    <row r="174">
      <c r="A174" s="109"/>
    </row>
    <row r="175">
      <c r="A175" s="109"/>
    </row>
    <row r="176">
      <c r="A176" s="109"/>
    </row>
    <row r="177">
      <c r="A177" s="109"/>
    </row>
    <row r="178">
      <c r="A178" s="109"/>
    </row>
    <row r="179">
      <c r="A179" s="109"/>
    </row>
    <row r="180">
      <c r="A180" s="109"/>
    </row>
    <row r="181">
      <c r="A181" s="109"/>
    </row>
    <row r="182">
      <c r="A182" s="109"/>
    </row>
    <row r="183">
      <c r="A183" s="109"/>
    </row>
    <row r="184">
      <c r="A184" s="109"/>
    </row>
    <row r="185">
      <c r="A185" s="109"/>
    </row>
    <row r="186">
      <c r="A186" s="109"/>
    </row>
    <row r="187">
      <c r="A187" s="109"/>
    </row>
    <row r="188">
      <c r="A188" s="109"/>
    </row>
    <row r="189">
      <c r="A189" s="109"/>
    </row>
    <row r="190">
      <c r="A190" s="109"/>
    </row>
    <row r="191">
      <c r="A191" s="109"/>
    </row>
    <row r="192">
      <c r="A192" s="109"/>
    </row>
    <row r="193">
      <c r="A193" s="109"/>
    </row>
    <row r="194">
      <c r="A194" s="109"/>
    </row>
    <row r="195">
      <c r="A195" s="109"/>
    </row>
    <row r="196">
      <c r="A196" s="109"/>
    </row>
    <row r="197">
      <c r="A197" s="109"/>
    </row>
    <row r="198">
      <c r="A198" s="109"/>
    </row>
    <row r="199">
      <c r="A199" s="109"/>
    </row>
    <row r="200">
      <c r="A200" s="109"/>
    </row>
    <row r="201">
      <c r="A201" s="109"/>
    </row>
    <row r="202">
      <c r="A202" s="109"/>
    </row>
    <row r="203">
      <c r="A203" s="109"/>
    </row>
    <row r="204">
      <c r="A204" s="109"/>
    </row>
    <row r="205">
      <c r="A205" s="109"/>
    </row>
    <row r="206">
      <c r="A206" s="109"/>
    </row>
    <row r="207">
      <c r="A207" s="109"/>
    </row>
    <row r="208">
      <c r="A208" s="109"/>
    </row>
    <row r="209">
      <c r="A209" s="109"/>
    </row>
    <row r="210">
      <c r="A210" s="109"/>
    </row>
    <row r="211">
      <c r="A211" s="109"/>
    </row>
    <row r="212">
      <c r="A212" s="109"/>
    </row>
    <row r="213">
      <c r="A213" s="109"/>
    </row>
    <row r="214">
      <c r="A214" s="109"/>
    </row>
    <row r="215">
      <c r="A215" s="109"/>
    </row>
    <row r="216">
      <c r="A216" s="109"/>
    </row>
    <row r="217">
      <c r="A217" s="109"/>
    </row>
    <row r="218">
      <c r="A218" s="109"/>
    </row>
    <row r="219">
      <c r="A219" s="109"/>
    </row>
    <row r="220">
      <c r="A220" s="109"/>
    </row>
    <row r="221">
      <c r="A221" s="109"/>
    </row>
    <row r="222">
      <c r="A222" s="109"/>
    </row>
    <row r="223">
      <c r="A223" s="109"/>
    </row>
    <row r="224">
      <c r="A224" s="109"/>
    </row>
    <row r="225">
      <c r="A225" s="109"/>
    </row>
    <row r="226">
      <c r="A226" s="109"/>
    </row>
    <row r="227">
      <c r="A227" s="109"/>
    </row>
    <row r="228">
      <c r="A228" s="109"/>
    </row>
    <row r="229">
      <c r="A229" s="109"/>
    </row>
    <row r="230">
      <c r="A230" s="109"/>
    </row>
    <row r="231">
      <c r="A231" s="109"/>
    </row>
    <row r="232">
      <c r="A232" s="109"/>
    </row>
    <row r="233">
      <c r="A233" s="109"/>
    </row>
    <row r="234">
      <c r="A234" s="109"/>
    </row>
    <row r="235">
      <c r="A235" s="109"/>
    </row>
    <row r="236">
      <c r="A236" s="109"/>
    </row>
    <row r="237">
      <c r="A237" s="109"/>
    </row>
    <row r="238">
      <c r="A238" s="109"/>
    </row>
    <row r="239">
      <c r="A239" s="109"/>
    </row>
    <row r="240">
      <c r="A240" s="109"/>
    </row>
    <row r="241">
      <c r="A241" s="109"/>
    </row>
    <row r="242">
      <c r="A242" s="109"/>
    </row>
    <row r="243">
      <c r="A243" s="109"/>
    </row>
    <row r="244">
      <c r="A244" s="109"/>
    </row>
    <row r="245">
      <c r="A245" s="109"/>
    </row>
    <row r="246">
      <c r="A246" s="109"/>
    </row>
    <row r="247">
      <c r="A247" s="109"/>
    </row>
    <row r="248">
      <c r="A248" s="109"/>
    </row>
    <row r="249">
      <c r="A249" s="109"/>
    </row>
    <row r="250">
      <c r="A250" s="109"/>
    </row>
    <row r="251">
      <c r="A251" s="109"/>
    </row>
    <row r="252">
      <c r="A252" s="109"/>
    </row>
    <row r="253">
      <c r="A253" s="109"/>
    </row>
    <row r="254">
      <c r="A254" s="109"/>
    </row>
    <row r="255">
      <c r="A255" s="109"/>
    </row>
    <row r="256">
      <c r="A256" s="109"/>
    </row>
    <row r="257">
      <c r="A257" s="109"/>
    </row>
    <row r="258">
      <c r="A258" s="109"/>
    </row>
    <row r="259">
      <c r="A259" s="109"/>
    </row>
    <row r="260">
      <c r="A260" s="109"/>
    </row>
    <row r="261">
      <c r="A261" s="109"/>
    </row>
    <row r="262">
      <c r="A262" s="109"/>
    </row>
    <row r="263">
      <c r="A263" s="109"/>
    </row>
    <row r="264">
      <c r="A264" s="109"/>
    </row>
    <row r="265">
      <c r="A265" s="109"/>
    </row>
    <row r="266">
      <c r="A266" s="109"/>
    </row>
    <row r="267">
      <c r="A267" s="109"/>
    </row>
    <row r="268">
      <c r="A268" s="109"/>
    </row>
    <row r="269">
      <c r="A269" s="109"/>
    </row>
    <row r="270">
      <c r="A270" s="109"/>
    </row>
    <row r="271">
      <c r="A271" s="109"/>
    </row>
    <row r="272">
      <c r="A272" s="109"/>
    </row>
    <row r="273">
      <c r="A273" s="109"/>
    </row>
    <row r="274">
      <c r="A274" s="109"/>
    </row>
    <row r="275">
      <c r="A275" s="109"/>
    </row>
    <row r="276">
      <c r="A276" s="109"/>
    </row>
    <row r="277">
      <c r="A277" s="109"/>
    </row>
    <row r="278">
      <c r="A278" s="109"/>
    </row>
    <row r="279">
      <c r="A279" s="109"/>
    </row>
    <row r="280">
      <c r="A280" s="109"/>
    </row>
    <row r="281">
      <c r="A281" s="109"/>
    </row>
    <row r="282">
      <c r="A282" s="109"/>
    </row>
    <row r="283">
      <c r="A283" s="109"/>
    </row>
    <row r="284">
      <c r="A284" s="109"/>
    </row>
    <row r="285">
      <c r="A285" s="109"/>
    </row>
    <row r="286">
      <c r="A286" s="109"/>
    </row>
    <row r="287">
      <c r="A287" s="109"/>
    </row>
    <row r="288">
      <c r="A288" s="109"/>
    </row>
    <row r="289">
      <c r="A289" s="109"/>
    </row>
    <row r="290">
      <c r="A290" s="109"/>
    </row>
    <row r="291">
      <c r="A291" s="109"/>
    </row>
    <row r="292">
      <c r="A292" s="109"/>
    </row>
    <row r="293">
      <c r="A293" s="109"/>
    </row>
    <row r="294">
      <c r="A294" s="109"/>
    </row>
    <row r="295">
      <c r="A295" s="109"/>
    </row>
    <row r="296">
      <c r="A296" s="109"/>
    </row>
    <row r="297">
      <c r="A297" s="109"/>
    </row>
    <row r="298">
      <c r="A298" s="109"/>
    </row>
    <row r="299">
      <c r="A299" s="109"/>
    </row>
    <row r="300">
      <c r="A300" s="109"/>
    </row>
    <row r="301">
      <c r="A301" s="109"/>
    </row>
    <row r="302">
      <c r="A302" s="109"/>
    </row>
    <row r="303">
      <c r="A303" s="109"/>
    </row>
    <row r="304">
      <c r="A304" s="109"/>
    </row>
    <row r="305">
      <c r="A305" s="109"/>
    </row>
    <row r="306">
      <c r="A306" s="109"/>
    </row>
    <row r="307">
      <c r="A307" s="109"/>
    </row>
    <row r="308">
      <c r="A308" s="109"/>
    </row>
    <row r="309">
      <c r="A309" s="109"/>
    </row>
    <row r="310">
      <c r="A310" s="109"/>
    </row>
    <row r="311">
      <c r="A311" s="109"/>
    </row>
    <row r="312">
      <c r="A312" s="109"/>
    </row>
    <row r="313">
      <c r="A313" s="109"/>
    </row>
    <row r="314">
      <c r="A314" s="109"/>
    </row>
    <row r="315">
      <c r="A315" s="109"/>
    </row>
    <row r="316">
      <c r="A316" s="109"/>
    </row>
    <row r="317">
      <c r="A317" s="109"/>
    </row>
    <row r="318">
      <c r="A318" s="109"/>
    </row>
    <row r="319">
      <c r="A319" s="109"/>
    </row>
    <row r="320">
      <c r="A320" s="109"/>
    </row>
    <row r="321">
      <c r="A321" s="109"/>
    </row>
    <row r="322">
      <c r="A322" s="109"/>
    </row>
    <row r="323">
      <c r="A323" s="109"/>
    </row>
    <row r="324">
      <c r="A324" s="109"/>
    </row>
    <row r="325">
      <c r="A325" s="109"/>
    </row>
    <row r="326">
      <c r="A326" s="109"/>
    </row>
    <row r="327">
      <c r="A327" s="109"/>
    </row>
    <row r="328">
      <c r="A328" s="109"/>
    </row>
    <row r="329">
      <c r="A329" s="109"/>
    </row>
    <row r="330">
      <c r="A330" s="109"/>
    </row>
    <row r="331">
      <c r="A331" s="109"/>
    </row>
    <row r="332">
      <c r="A332" s="109"/>
    </row>
    <row r="333">
      <c r="A333" s="109"/>
    </row>
    <row r="334">
      <c r="A334" s="109"/>
    </row>
    <row r="335">
      <c r="A335" s="109"/>
    </row>
    <row r="336">
      <c r="A336" s="109"/>
    </row>
    <row r="337">
      <c r="A337" s="109"/>
    </row>
    <row r="338">
      <c r="A338" s="109"/>
    </row>
    <row r="339">
      <c r="A339" s="109"/>
    </row>
    <row r="340">
      <c r="A340" s="109"/>
    </row>
    <row r="341">
      <c r="A341" s="109"/>
    </row>
    <row r="342">
      <c r="A342" s="109"/>
    </row>
    <row r="343">
      <c r="A343" s="109"/>
    </row>
    <row r="344">
      <c r="A344" s="109"/>
    </row>
    <row r="345">
      <c r="A345" s="109"/>
    </row>
    <row r="346">
      <c r="A346" s="109"/>
    </row>
    <row r="347">
      <c r="A347" s="109"/>
    </row>
    <row r="348">
      <c r="A348" s="109"/>
    </row>
    <row r="349">
      <c r="A349" s="109"/>
    </row>
    <row r="350">
      <c r="A350" s="109"/>
    </row>
    <row r="351">
      <c r="A351" s="109"/>
    </row>
    <row r="352">
      <c r="A352" s="109"/>
    </row>
    <row r="353">
      <c r="A353" s="109"/>
    </row>
    <row r="354">
      <c r="A354" s="109"/>
    </row>
    <row r="355">
      <c r="A355" s="109"/>
    </row>
    <row r="356">
      <c r="A356" s="109"/>
    </row>
    <row r="357">
      <c r="A357" s="109"/>
    </row>
    <row r="358">
      <c r="A358" s="109"/>
    </row>
    <row r="359">
      <c r="A359" s="109"/>
    </row>
    <row r="360">
      <c r="A360" s="109"/>
    </row>
    <row r="361">
      <c r="A361" s="109"/>
    </row>
    <row r="362">
      <c r="A362" s="109"/>
    </row>
    <row r="363">
      <c r="A363" s="109"/>
    </row>
    <row r="364">
      <c r="A364" s="109"/>
    </row>
    <row r="365">
      <c r="A365" s="109"/>
    </row>
    <row r="366">
      <c r="A366" s="109"/>
    </row>
    <row r="367">
      <c r="A367" s="109"/>
    </row>
    <row r="368">
      <c r="A368" s="109"/>
    </row>
    <row r="369">
      <c r="A369" s="109"/>
    </row>
    <row r="370">
      <c r="A370" s="109"/>
    </row>
    <row r="371">
      <c r="A371" s="109"/>
    </row>
    <row r="372">
      <c r="A372" s="109"/>
    </row>
    <row r="373">
      <c r="A373" s="109"/>
    </row>
    <row r="374">
      <c r="A374" s="109"/>
    </row>
    <row r="375">
      <c r="A375" s="109"/>
    </row>
    <row r="376">
      <c r="A376" s="109"/>
    </row>
    <row r="377">
      <c r="A377" s="109"/>
    </row>
    <row r="378">
      <c r="A378" s="109"/>
    </row>
    <row r="379">
      <c r="A379" s="109"/>
    </row>
    <row r="380">
      <c r="A380" s="109"/>
    </row>
    <row r="381">
      <c r="A381" s="109"/>
    </row>
    <row r="382">
      <c r="A382" s="109"/>
    </row>
    <row r="383">
      <c r="A383" s="109"/>
    </row>
    <row r="384">
      <c r="A384" s="109"/>
    </row>
    <row r="385">
      <c r="A385" s="109"/>
    </row>
    <row r="386">
      <c r="A386" s="109"/>
    </row>
    <row r="387">
      <c r="A387" s="109"/>
    </row>
    <row r="388">
      <c r="A388" s="109"/>
    </row>
    <row r="389">
      <c r="A389" s="109"/>
    </row>
    <row r="390">
      <c r="A390" s="109"/>
    </row>
    <row r="391">
      <c r="A391" s="109"/>
    </row>
    <row r="392">
      <c r="A392" s="109"/>
    </row>
    <row r="393">
      <c r="A393" s="109"/>
    </row>
    <row r="394">
      <c r="A394" s="109"/>
    </row>
    <row r="395">
      <c r="A395" s="109"/>
    </row>
    <row r="396">
      <c r="A396" s="109"/>
    </row>
    <row r="397">
      <c r="A397" s="109"/>
    </row>
    <row r="398">
      <c r="A398" s="109"/>
    </row>
    <row r="399">
      <c r="A399" s="109"/>
    </row>
    <row r="400">
      <c r="A400" s="109"/>
    </row>
    <row r="401">
      <c r="A401" s="109"/>
    </row>
    <row r="402">
      <c r="A402" s="109"/>
    </row>
    <row r="403">
      <c r="A403" s="109"/>
    </row>
    <row r="404">
      <c r="A404" s="109"/>
    </row>
    <row r="405">
      <c r="A405" s="109"/>
    </row>
    <row r="406">
      <c r="A406" s="109"/>
    </row>
    <row r="407">
      <c r="A407" s="109"/>
    </row>
    <row r="408">
      <c r="A408" s="109"/>
    </row>
    <row r="409">
      <c r="A409" s="109"/>
    </row>
    <row r="410">
      <c r="A410" s="109"/>
    </row>
    <row r="411">
      <c r="A411" s="109"/>
    </row>
    <row r="412">
      <c r="A412" s="109"/>
    </row>
    <row r="413">
      <c r="A413" s="109"/>
    </row>
    <row r="414">
      <c r="A414" s="109"/>
    </row>
    <row r="415">
      <c r="A415" s="109"/>
    </row>
    <row r="416">
      <c r="A416" s="109"/>
    </row>
    <row r="417">
      <c r="A417" s="109"/>
    </row>
    <row r="418">
      <c r="A418" s="109"/>
    </row>
    <row r="419">
      <c r="A419" s="109"/>
    </row>
    <row r="420">
      <c r="A420" s="109"/>
    </row>
    <row r="421">
      <c r="A421" s="109"/>
    </row>
    <row r="422">
      <c r="A422" s="109"/>
    </row>
    <row r="423">
      <c r="A423" s="109"/>
    </row>
    <row r="424">
      <c r="A424" s="109"/>
    </row>
    <row r="425">
      <c r="A425" s="109"/>
    </row>
    <row r="426">
      <c r="A426" s="109"/>
    </row>
    <row r="427">
      <c r="A427" s="109"/>
    </row>
    <row r="428">
      <c r="A428" s="109"/>
    </row>
    <row r="429">
      <c r="A429" s="109"/>
    </row>
    <row r="430">
      <c r="A430" s="109"/>
    </row>
    <row r="431">
      <c r="A431" s="109"/>
    </row>
    <row r="432">
      <c r="A432" s="109"/>
    </row>
    <row r="433">
      <c r="A433" s="109"/>
    </row>
    <row r="434">
      <c r="A434" s="109"/>
    </row>
    <row r="435">
      <c r="A435" s="109"/>
    </row>
    <row r="436">
      <c r="A436" s="109"/>
    </row>
    <row r="437">
      <c r="A437" s="109"/>
    </row>
    <row r="438">
      <c r="A438" s="109"/>
    </row>
    <row r="439">
      <c r="A439" s="109"/>
    </row>
    <row r="440">
      <c r="A440" s="109"/>
    </row>
    <row r="441">
      <c r="A441" s="109"/>
    </row>
    <row r="442">
      <c r="A442" s="109"/>
    </row>
    <row r="443">
      <c r="A443" s="109"/>
    </row>
    <row r="444">
      <c r="A444" s="109"/>
    </row>
    <row r="445">
      <c r="A445" s="109"/>
    </row>
    <row r="446">
      <c r="A446" s="109"/>
    </row>
    <row r="447">
      <c r="A447" s="109"/>
    </row>
    <row r="448">
      <c r="A448" s="109"/>
    </row>
    <row r="449">
      <c r="A449" s="109"/>
    </row>
    <row r="450">
      <c r="A450" s="109"/>
    </row>
    <row r="451">
      <c r="A451" s="109"/>
    </row>
    <row r="452">
      <c r="A452" s="109"/>
    </row>
    <row r="453">
      <c r="A453" s="109"/>
    </row>
    <row r="454">
      <c r="A454" s="109"/>
    </row>
    <row r="455">
      <c r="A455" s="109"/>
    </row>
    <row r="456">
      <c r="A456" s="109"/>
    </row>
    <row r="457">
      <c r="A457" s="109"/>
    </row>
    <row r="458">
      <c r="A458" s="109"/>
    </row>
    <row r="459">
      <c r="A459" s="109"/>
    </row>
    <row r="460">
      <c r="A460" s="109"/>
    </row>
    <row r="461">
      <c r="A461" s="109"/>
    </row>
    <row r="462">
      <c r="A462" s="109"/>
    </row>
    <row r="463">
      <c r="A463" s="109"/>
    </row>
    <row r="464">
      <c r="A464" s="109"/>
    </row>
    <row r="465">
      <c r="A465" s="109"/>
    </row>
    <row r="466">
      <c r="A466" s="109"/>
    </row>
    <row r="467">
      <c r="A467" s="109"/>
    </row>
    <row r="468">
      <c r="A468" s="109"/>
    </row>
    <row r="469">
      <c r="A469" s="109"/>
    </row>
    <row r="470">
      <c r="A470" s="109"/>
    </row>
    <row r="471">
      <c r="A471" s="109"/>
    </row>
    <row r="472">
      <c r="A472" s="109"/>
    </row>
    <row r="473">
      <c r="A473" s="109"/>
    </row>
    <row r="474">
      <c r="A474" s="109"/>
    </row>
    <row r="475">
      <c r="A475" s="109"/>
    </row>
    <row r="476">
      <c r="A476" s="109"/>
    </row>
    <row r="477">
      <c r="A477" s="109"/>
    </row>
    <row r="478">
      <c r="A478" s="109"/>
    </row>
    <row r="479">
      <c r="A479" s="109"/>
    </row>
    <row r="480">
      <c r="A480" s="109"/>
    </row>
    <row r="481">
      <c r="A481" s="109"/>
    </row>
    <row r="482">
      <c r="A482" s="109"/>
    </row>
    <row r="483">
      <c r="A483" s="109"/>
    </row>
    <row r="484">
      <c r="A484" s="109"/>
    </row>
    <row r="485">
      <c r="A485" s="109"/>
    </row>
    <row r="486">
      <c r="A486" s="109"/>
    </row>
    <row r="487">
      <c r="A487" s="109"/>
    </row>
    <row r="488">
      <c r="A488" s="109"/>
    </row>
    <row r="489">
      <c r="A489" s="109"/>
    </row>
    <row r="490">
      <c r="A490" s="109"/>
    </row>
    <row r="491">
      <c r="A491" s="109"/>
    </row>
    <row r="492">
      <c r="A492" s="109"/>
    </row>
    <row r="493">
      <c r="A493" s="109"/>
    </row>
    <row r="494">
      <c r="A494" s="109"/>
    </row>
    <row r="495">
      <c r="A495" s="109"/>
    </row>
    <row r="496">
      <c r="A496" s="109"/>
    </row>
    <row r="497">
      <c r="A497" s="109"/>
    </row>
    <row r="498">
      <c r="A498" s="109"/>
    </row>
    <row r="499">
      <c r="A499" s="109"/>
    </row>
    <row r="500">
      <c r="A500" s="109"/>
    </row>
    <row r="501">
      <c r="A501" s="109"/>
    </row>
    <row r="502">
      <c r="A502" s="109"/>
    </row>
    <row r="503">
      <c r="A503" s="109"/>
    </row>
    <row r="504">
      <c r="A504" s="109"/>
    </row>
    <row r="505">
      <c r="A505" s="109"/>
    </row>
    <row r="506">
      <c r="A506" s="109"/>
    </row>
    <row r="507">
      <c r="A507" s="109"/>
    </row>
    <row r="508">
      <c r="A508" s="109"/>
    </row>
    <row r="509">
      <c r="A509" s="109"/>
    </row>
    <row r="510">
      <c r="A510" s="109"/>
    </row>
    <row r="511">
      <c r="A511" s="109"/>
    </row>
    <row r="512">
      <c r="A512" s="109"/>
    </row>
    <row r="513">
      <c r="A513" s="109"/>
    </row>
    <row r="514">
      <c r="A514" s="109"/>
    </row>
    <row r="515">
      <c r="A515" s="109"/>
    </row>
    <row r="516">
      <c r="A516" s="109"/>
    </row>
    <row r="517">
      <c r="A517" s="109"/>
    </row>
    <row r="518">
      <c r="A518" s="109"/>
    </row>
    <row r="519">
      <c r="A519" s="109"/>
    </row>
    <row r="520">
      <c r="A520" s="109"/>
    </row>
    <row r="521">
      <c r="A521" s="109"/>
    </row>
    <row r="522">
      <c r="A522" s="109"/>
    </row>
    <row r="523">
      <c r="A523" s="109"/>
    </row>
    <row r="524">
      <c r="A524" s="109"/>
    </row>
    <row r="525">
      <c r="A525" s="109"/>
    </row>
    <row r="526">
      <c r="A526" s="109"/>
    </row>
    <row r="527">
      <c r="A527" s="109"/>
    </row>
    <row r="528">
      <c r="A528" s="109"/>
    </row>
    <row r="529">
      <c r="A529" s="109"/>
    </row>
    <row r="530">
      <c r="A530" s="109"/>
    </row>
    <row r="531">
      <c r="A531" s="109"/>
    </row>
    <row r="532">
      <c r="A532" s="109"/>
    </row>
    <row r="533">
      <c r="A533" s="109"/>
    </row>
    <row r="534">
      <c r="A534" s="109"/>
    </row>
    <row r="535">
      <c r="A535" s="109"/>
    </row>
    <row r="536">
      <c r="A536" s="109"/>
    </row>
    <row r="537">
      <c r="A537" s="109"/>
    </row>
    <row r="538">
      <c r="A538" s="109"/>
    </row>
    <row r="539">
      <c r="A539" s="109"/>
    </row>
    <row r="540">
      <c r="A540" s="109"/>
    </row>
    <row r="541">
      <c r="A541" s="109"/>
    </row>
    <row r="542">
      <c r="A542" s="109"/>
    </row>
    <row r="543">
      <c r="A543" s="109"/>
    </row>
    <row r="544">
      <c r="A544" s="109"/>
    </row>
    <row r="545">
      <c r="A545" s="109"/>
    </row>
    <row r="546">
      <c r="A546" s="109"/>
    </row>
    <row r="547">
      <c r="A547" s="109"/>
    </row>
    <row r="548">
      <c r="A548" s="109"/>
    </row>
    <row r="549">
      <c r="A549" s="109"/>
    </row>
    <row r="550">
      <c r="A550" s="109"/>
    </row>
    <row r="551">
      <c r="A551" s="109"/>
    </row>
    <row r="552">
      <c r="A552" s="109"/>
    </row>
    <row r="553">
      <c r="A553" s="109"/>
    </row>
    <row r="554">
      <c r="A554" s="109"/>
    </row>
    <row r="555">
      <c r="A555" s="109"/>
    </row>
    <row r="556">
      <c r="A556" s="109"/>
    </row>
    <row r="557">
      <c r="A557" s="109"/>
    </row>
    <row r="558">
      <c r="A558" s="109"/>
    </row>
    <row r="559">
      <c r="A559" s="109"/>
    </row>
    <row r="560">
      <c r="A560" s="109"/>
    </row>
    <row r="561">
      <c r="A561" s="109"/>
    </row>
    <row r="562">
      <c r="A562" s="109"/>
    </row>
    <row r="563">
      <c r="A563" s="109"/>
    </row>
    <row r="564">
      <c r="A564" s="109"/>
    </row>
    <row r="565">
      <c r="A565" s="109"/>
    </row>
    <row r="566">
      <c r="A566" s="109"/>
    </row>
    <row r="567">
      <c r="A567" s="109"/>
    </row>
    <row r="568">
      <c r="A568" s="109"/>
    </row>
    <row r="569">
      <c r="A569" s="109"/>
    </row>
    <row r="570">
      <c r="A570" s="109"/>
    </row>
    <row r="571">
      <c r="A571" s="109"/>
    </row>
    <row r="572">
      <c r="A572" s="109"/>
    </row>
    <row r="573">
      <c r="A573" s="109"/>
    </row>
    <row r="574">
      <c r="A574" s="109"/>
    </row>
    <row r="575">
      <c r="A575" s="109"/>
    </row>
    <row r="576">
      <c r="A576" s="109"/>
    </row>
    <row r="577">
      <c r="A577" s="109"/>
    </row>
    <row r="578">
      <c r="A578" s="109"/>
    </row>
    <row r="579">
      <c r="A579" s="109"/>
    </row>
    <row r="580">
      <c r="A580" s="109"/>
    </row>
    <row r="581">
      <c r="A581" s="109"/>
    </row>
    <row r="582">
      <c r="A582" s="109"/>
    </row>
    <row r="583">
      <c r="A583" s="109"/>
    </row>
    <row r="584">
      <c r="A584" s="109"/>
    </row>
    <row r="585">
      <c r="A585" s="109"/>
    </row>
    <row r="586">
      <c r="A586" s="109"/>
    </row>
    <row r="587">
      <c r="A587" s="109"/>
    </row>
    <row r="588">
      <c r="A588" s="109"/>
    </row>
    <row r="589">
      <c r="A589" s="109"/>
    </row>
    <row r="590">
      <c r="A590" s="109"/>
    </row>
    <row r="591">
      <c r="A591" s="109"/>
    </row>
    <row r="592">
      <c r="A592" s="109"/>
    </row>
    <row r="593">
      <c r="A593" s="109"/>
    </row>
    <row r="594">
      <c r="A594" s="109"/>
    </row>
    <row r="595">
      <c r="A595" s="109"/>
    </row>
    <row r="596">
      <c r="A596" s="109"/>
    </row>
    <row r="597">
      <c r="A597" s="109"/>
    </row>
    <row r="598">
      <c r="A598" s="109"/>
    </row>
    <row r="599">
      <c r="A599" s="109"/>
    </row>
    <row r="600">
      <c r="A600" s="109"/>
    </row>
    <row r="601">
      <c r="A601" s="109"/>
    </row>
    <row r="602">
      <c r="A602" s="109"/>
    </row>
    <row r="603">
      <c r="A603" s="109"/>
    </row>
    <row r="604">
      <c r="A604" s="109"/>
    </row>
    <row r="605">
      <c r="A605" s="109"/>
    </row>
    <row r="606">
      <c r="A606" s="109"/>
    </row>
    <row r="607">
      <c r="A607" s="109"/>
    </row>
    <row r="608">
      <c r="A608" s="109"/>
    </row>
    <row r="609">
      <c r="A609" s="109"/>
    </row>
    <row r="610">
      <c r="A610" s="109"/>
    </row>
    <row r="611">
      <c r="A611" s="109"/>
    </row>
    <row r="612">
      <c r="A612" s="109"/>
    </row>
    <row r="613">
      <c r="A613" s="109"/>
    </row>
    <row r="614">
      <c r="A614" s="109"/>
    </row>
    <row r="615">
      <c r="A615" s="109"/>
    </row>
    <row r="616">
      <c r="A616" s="109"/>
    </row>
    <row r="617">
      <c r="A617" s="109"/>
    </row>
    <row r="618">
      <c r="A618" s="109"/>
    </row>
    <row r="619">
      <c r="A619" s="109"/>
    </row>
    <row r="620">
      <c r="A620" s="109"/>
    </row>
    <row r="621">
      <c r="A621" s="109"/>
    </row>
    <row r="622">
      <c r="A622" s="109"/>
    </row>
    <row r="623">
      <c r="A623" s="109"/>
    </row>
    <row r="624">
      <c r="A624" s="109"/>
    </row>
    <row r="625">
      <c r="A625" s="109"/>
    </row>
    <row r="626">
      <c r="A626" s="109"/>
    </row>
    <row r="627">
      <c r="A627" s="109"/>
    </row>
    <row r="628">
      <c r="A628" s="109"/>
    </row>
    <row r="629">
      <c r="A629" s="109"/>
    </row>
    <row r="630">
      <c r="A630" s="109"/>
    </row>
    <row r="631">
      <c r="A631" s="109"/>
    </row>
    <row r="632">
      <c r="A632" s="109"/>
    </row>
    <row r="633">
      <c r="A633" s="109"/>
    </row>
    <row r="634">
      <c r="A634" s="109"/>
    </row>
    <row r="635">
      <c r="A635" s="109"/>
    </row>
    <row r="636">
      <c r="A636" s="109"/>
    </row>
    <row r="637">
      <c r="A637" s="109"/>
    </row>
    <row r="638">
      <c r="A638" s="109"/>
    </row>
    <row r="639">
      <c r="A639" s="109"/>
    </row>
    <row r="640">
      <c r="A640" s="109"/>
    </row>
    <row r="641">
      <c r="A641" s="109"/>
    </row>
    <row r="642">
      <c r="A642" s="109"/>
    </row>
    <row r="643">
      <c r="A643" s="109"/>
    </row>
    <row r="644">
      <c r="A644" s="109"/>
    </row>
    <row r="645">
      <c r="A645" s="109"/>
    </row>
    <row r="646">
      <c r="A646" s="109"/>
    </row>
    <row r="647">
      <c r="A647" s="109"/>
    </row>
    <row r="648">
      <c r="A648" s="109"/>
    </row>
    <row r="649">
      <c r="A649" s="109"/>
    </row>
    <row r="650">
      <c r="A650" s="109"/>
    </row>
    <row r="651">
      <c r="A651" s="109"/>
    </row>
    <row r="652">
      <c r="A652" s="109"/>
    </row>
    <row r="653">
      <c r="A653" s="109"/>
    </row>
    <row r="654">
      <c r="A654" s="109"/>
    </row>
    <row r="655">
      <c r="A655" s="109"/>
    </row>
    <row r="656">
      <c r="A656" s="109"/>
    </row>
    <row r="657">
      <c r="A657" s="109"/>
    </row>
    <row r="658">
      <c r="A658" s="109"/>
    </row>
    <row r="659">
      <c r="A659" s="109"/>
    </row>
    <row r="660">
      <c r="A660" s="109"/>
    </row>
    <row r="661">
      <c r="A661" s="109"/>
    </row>
    <row r="662">
      <c r="A662" s="109"/>
    </row>
    <row r="663">
      <c r="A663" s="109"/>
    </row>
    <row r="664">
      <c r="A664" s="109"/>
    </row>
    <row r="665">
      <c r="A665" s="109"/>
    </row>
    <row r="666">
      <c r="A666" s="109"/>
    </row>
    <row r="667">
      <c r="A667" s="109"/>
    </row>
    <row r="668">
      <c r="A668" s="109"/>
    </row>
    <row r="669">
      <c r="A669" s="109"/>
    </row>
    <row r="670">
      <c r="A670" s="109"/>
    </row>
    <row r="671">
      <c r="A671" s="109"/>
    </row>
    <row r="672">
      <c r="A672" s="109"/>
    </row>
    <row r="673">
      <c r="A673" s="109"/>
    </row>
    <row r="674">
      <c r="A674" s="109"/>
    </row>
    <row r="675">
      <c r="A675" s="109"/>
    </row>
    <row r="676">
      <c r="A676" s="109"/>
    </row>
    <row r="677">
      <c r="A677" s="109"/>
    </row>
    <row r="678">
      <c r="A678" s="109"/>
    </row>
    <row r="679">
      <c r="A679" s="109"/>
    </row>
    <row r="680">
      <c r="A680" s="109"/>
    </row>
    <row r="681">
      <c r="A681" s="109"/>
    </row>
    <row r="682">
      <c r="A682" s="109"/>
    </row>
    <row r="683">
      <c r="A683" s="109"/>
    </row>
    <row r="684">
      <c r="A684" s="109"/>
    </row>
    <row r="685">
      <c r="A685" s="109"/>
    </row>
    <row r="686">
      <c r="A686" s="109"/>
    </row>
    <row r="687">
      <c r="A687" s="109"/>
    </row>
    <row r="688">
      <c r="A688" s="109"/>
    </row>
    <row r="689">
      <c r="A689" s="109"/>
    </row>
    <row r="690">
      <c r="A690" s="109"/>
    </row>
    <row r="691">
      <c r="A691" s="109"/>
    </row>
    <row r="692">
      <c r="A692" s="109"/>
    </row>
    <row r="693">
      <c r="A693" s="109"/>
    </row>
    <row r="694">
      <c r="A694" s="109"/>
    </row>
    <row r="695">
      <c r="A695" s="109"/>
    </row>
    <row r="696">
      <c r="A696" s="109"/>
    </row>
    <row r="697">
      <c r="A697" s="109"/>
    </row>
    <row r="698">
      <c r="A698" s="109"/>
    </row>
    <row r="699">
      <c r="A699" s="109"/>
    </row>
    <row r="700">
      <c r="A700" s="109"/>
    </row>
    <row r="701">
      <c r="A701" s="109"/>
    </row>
    <row r="702">
      <c r="A702" s="109"/>
    </row>
    <row r="703">
      <c r="A703" s="109"/>
    </row>
    <row r="704">
      <c r="A704" s="109"/>
    </row>
    <row r="705">
      <c r="A705" s="109"/>
    </row>
    <row r="706">
      <c r="A706" s="109"/>
    </row>
    <row r="707">
      <c r="A707" s="109"/>
    </row>
    <row r="708">
      <c r="A708" s="109"/>
    </row>
    <row r="709">
      <c r="A709" s="109"/>
    </row>
    <row r="710">
      <c r="A710" s="109"/>
    </row>
    <row r="711">
      <c r="A711" s="109"/>
    </row>
    <row r="712">
      <c r="A712" s="109"/>
    </row>
    <row r="713">
      <c r="A713" s="109"/>
    </row>
    <row r="714">
      <c r="A714" s="109"/>
    </row>
    <row r="715">
      <c r="A715" s="109"/>
    </row>
    <row r="716">
      <c r="A716" s="109"/>
    </row>
    <row r="717">
      <c r="A717" s="109"/>
    </row>
    <row r="718">
      <c r="A718" s="109"/>
    </row>
    <row r="719">
      <c r="A719" s="109"/>
    </row>
    <row r="720">
      <c r="A720" s="109"/>
    </row>
    <row r="721">
      <c r="A721" s="109"/>
    </row>
    <row r="722">
      <c r="A722" s="109"/>
    </row>
    <row r="723">
      <c r="A723" s="109"/>
    </row>
    <row r="724">
      <c r="A724" s="109"/>
    </row>
    <row r="725">
      <c r="A725" s="109"/>
    </row>
    <row r="726">
      <c r="A726" s="109"/>
    </row>
    <row r="727">
      <c r="A727" s="109"/>
    </row>
    <row r="728">
      <c r="A728" s="109"/>
    </row>
    <row r="729">
      <c r="A729" s="109"/>
    </row>
    <row r="730">
      <c r="A730" s="109"/>
    </row>
    <row r="731">
      <c r="A731" s="109"/>
    </row>
    <row r="732">
      <c r="A732" s="109"/>
    </row>
    <row r="733">
      <c r="A733" s="109"/>
    </row>
    <row r="734">
      <c r="A734" s="109"/>
    </row>
    <row r="735">
      <c r="A735" s="109"/>
    </row>
    <row r="736">
      <c r="A736" s="109"/>
    </row>
    <row r="737">
      <c r="A737" s="109"/>
    </row>
    <row r="738">
      <c r="A738" s="109"/>
    </row>
    <row r="739">
      <c r="A739" s="109"/>
    </row>
    <row r="740">
      <c r="A740" s="109"/>
    </row>
    <row r="741">
      <c r="A741" s="109"/>
    </row>
    <row r="742">
      <c r="A742" s="109"/>
    </row>
    <row r="743">
      <c r="A743" s="109"/>
    </row>
    <row r="744">
      <c r="A744" s="109"/>
    </row>
    <row r="745">
      <c r="A745" s="109"/>
    </row>
    <row r="746">
      <c r="A746" s="109"/>
    </row>
    <row r="747">
      <c r="A747" s="109"/>
    </row>
    <row r="748">
      <c r="A748" s="109"/>
    </row>
    <row r="749">
      <c r="A749" s="109"/>
    </row>
    <row r="750">
      <c r="A750" s="109"/>
    </row>
    <row r="751">
      <c r="A751" s="109"/>
    </row>
    <row r="752">
      <c r="A752" s="109"/>
    </row>
    <row r="753">
      <c r="A753" s="109"/>
    </row>
    <row r="754">
      <c r="A754" s="109"/>
    </row>
    <row r="755">
      <c r="A755" s="109"/>
    </row>
    <row r="756">
      <c r="A756" s="109"/>
    </row>
    <row r="757">
      <c r="A757" s="109"/>
    </row>
    <row r="758">
      <c r="A758" s="109"/>
    </row>
    <row r="759">
      <c r="A759" s="109"/>
    </row>
    <row r="760">
      <c r="A760" s="109"/>
    </row>
    <row r="761">
      <c r="A761" s="109"/>
    </row>
    <row r="762">
      <c r="A762" s="109"/>
    </row>
    <row r="763">
      <c r="A763" s="109"/>
    </row>
    <row r="764">
      <c r="A764" s="109"/>
    </row>
    <row r="765">
      <c r="A765" s="109"/>
    </row>
    <row r="766">
      <c r="A766" s="109"/>
    </row>
    <row r="767">
      <c r="A767" s="109"/>
    </row>
    <row r="768">
      <c r="A768" s="109"/>
    </row>
    <row r="769">
      <c r="A769" s="109"/>
    </row>
    <row r="770">
      <c r="A770" s="109"/>
    </row>
    <row r="771">
      <c r="A771" s="109"/>
    </row>
    <row r="772">
      <c r="A772" s="109"/>
    </row>
    <row r="773">
      <c r="A773" s="109"/>
    </row>
    <row r="774">
      <c r="A774" s="109"/>
    </row>
    <row r="775">
      <c r="A775" s="109"/>
    </row>
    <row r="776">
      <c r="A776" s="109"/>
    </row>
    <row r="777">
      <c r="A777" s="109"/>
    </row>
    <row r="778">
      <c r="A778" s="109"/>
    </row>
    <row r="779">
      <c r="A779" s="109"/>
    </row>
    <row r="780">
      <c r="A780" s="109"/>
    </row>
    <row r="781">
      <c r="A781" s="109"/>
    </row>
    <row r="782">
      <c r="A782" s="109"/>
    </row>
    <row r="783">
      <c r="A783" s="109"/>
    </row>
    <row r="784">
      <c r="A784" s="109"/>
    </row>
    <row r="785">
      <c r="A785" s="109"/>
    </row>
    <row r="786">
      <c r="A786" s="109"/>
    </row>
    <row r="787">
      <c r="A787" s="109"/>
    </row>
    <row r="788">
      <c r="A788" s="109"/>
    </row>
    <row r="789">
      <c r="A789" s="109"/>
    </row>
    <row r="790">
      <c r="A790" s="109"/>
    </row>
    <row r="791">
      <c r="A791" s="109"/>
    </row>
    <row r="792">
      <c r="A792" s="109"/>
    </row>
    <row r="793">
      <c r="A793" s="109"/>
    </row>
    <row r="794">
      <c r="A794" s="109"/>
    </row>
    <row r="795">
      <c r="A795" s="109"/>
    </row>
    <row r="796">
      <c r="A796" s="109"/>
    </row>
    <row r="797">
      <c r="A797" s="109"/>
    </row>
    <row r="798">
      <c r="A798" s="109"/>
    </row>
    <row r="799">
      <c r="A799" s="109"/>
    </row>
    <row r="800">
      <c r="A800" s="109"/>
    </row>
    <row r="801">
      <c r="A801" s="109"/>
    </row>
    <row r="802">
      <c r="A802" s="109"/>
    </row>
    <row r="803">
      <c r="A803" s="109"/>
    </row>
    <row r="804">
      <c r="A804" s="109"/>
    </row>
    <row r="805">
      <c r="A805" s="109"/>
    </row>
    <row r="806">
      <c r="A806" s="109"/>
    </row>
    <row r="807">
      <c r="A807" s="109"/>
    </row>
    <row r="808">
      <c r="A808" s="109"/>
    </row>
    <row r="809">
      <c r="A809" s="109"/>
    </row>
    <row r="810">
      <c r="A810" s="109"/>
    </row>
    <row r="811">
      <c r="A811" s="109"/>
    </row>
    <row r="812">
      <c r="A812" s="109"/>
    </row>
    <row r="813">
      <c r="A813" s="109"/>
    </row>
    <row r="814">
      <c r="A814" s="109"/>
    </row>
    <row r="815">
      <c r="A815" s="109"/>
    </row>
    <row r="816">
      <c r="A816" s="109"/>
    </row>
    <row r="817">
      <c r="A817" s="109"/>
    </row>
    <row r="818">
      <c r="A818" s="109"/>
    </row>
    <row r="819">
      <c r="A819" s="109"/>
    </row>
    <row r="820">
      <c r="A820" s="109"/>
    </row>
    <row r="821">
      <c r="A821" s="109"/>
    </row>
    <row r="822">
      <c r="A822" s="109"/>
    </row>
    <row r="823">
      <c r="A823" s="109"/>
    </row>
    <row r="824">
      <c r="A824" s="109"/>
    </row>
    <row r="825">
      <c r="A825" s="109"/>
    </row>
    <row r="826">
      <c r="A826" s="109"/>
    </row>
    <row r="827">
      <c r="A827" s="109"/>
    </row>
    <row r="828">
      <c r="A828" s="109"/>
    </row>
    <row r="829">
      <c r="A829" s="109"/>
    </row>
    <row r="830">
      <c r="A830" s="109"/>
    </row>
    <row r="831">
      <c r="A831" s="109"/>
    </row>
    <row r="832">
      <c r="A832" s="109"/>
    </row>
    <row r="833">
      <c r="A833" s="109"/>
    </row>
    <row r="834">
      <c r="A834" s="109"/>
    </row>
    <row r="835">
      <c r="A835" s="109"/>
    </row>
    <row r="836">
      <c r="A836" s="109"/>
    </row>
    <row r="837">
      <c r="A837" s="109"/>
    </row>
    <row r="838">
      <c r="A838" s="109"/>
    </row>
    <row r="839">
      <c r="A839" s="109"/>
    </row>
    <row r="840">
      <c r="A840" s="109"/>
    </row>
    <row r="841">
      <c r="A841" s="109"/>
    </row>
    <row r="842">
      <c r="A842" s="109"/>
    </row>
    <row r="843">
      <c r="A843" s="109"/>
    </row>
    <row r="844">
      <c r="A844" s="109"/>
    </row>
    <row r="845">
      <c r="A845" s="109"/>
    </row>
    <row r="846">
      <c r="A846" s="109"/>
    </row>
    <row r="847">
      <c r="A847" s="109"/>
    </row>
    <row r="848">
      <c r="A848" s="109"/>
    </row>
    <row r="849">
      <c r="A849" s="109"/>
    </row>
    <row r="850">
      <c r="A850" s="109"/>
    </row>
    <row r="851">
      <c r="A851" s="109"/>
    </row>
    <row r="852">
      <c r="A852" s="109"/>
    </row>
    <row r="853">
      <c r="A853" s="109"/>
    </row>
    <row r="854">
      <c r="A854" s="109"/>
    </row>
    <row r="855">
      <c r="A855" s="109"/>
    </row>
    <row r="856">
      <c r="A856" s="109"/>
    </row>
    <row r="857">
      <c r="A857" s="109"/>
    </row>
    <row r="858">
      <c r="A858" s="109"/>
    </row>
    <row r="859">
      <c r="A859" s="109"/>
    </row>
    <row r="860">
      <c r="A860" s="109"/>
    </row>
    <row r="861">
      <c r="A861" s="109"/>
    </row>
    <row r="862">
      <c r="A862" s="109"/>
    </row>
    <row r="863">
      <c r="A863" s="109"/>
    </row>
    <row r="864">
      <c r="A864" s="109"/>
    </row>
    <row r="865">
      <c r="A865" s="109"/>
    </row>
    <row r="866">
      <c r="A866" s="109"/>
    </row>
    <row r="867">
      <c r="A867" s="109"/>
    </row>
    <row r="868">
      <c r="A868" s="109"/>
    </row>
    <row r="869">
      <c r="A869" s="109"/>
    </row>
    <row r="870">
      <c r="A870" s="109"/>
    </row>
    <row r="871">
      <c r="A871" s="109"/>
    </row>
    <row r="872">
      <c r="A872" s="109"/>
    </row>
    <row r="873">
      <c r="A873" s="109"/>
    </row>
    <row r="874">
      <c r="A874" s="109"/>
    </row>
    <row r="875">
      <c r="A875" s="109"/>
    </row>
    <row r="876">
      <c r="A876" s="109"/>
    </row>
    <row r="877">
      <c r="A877" s="109"/>
    </row>
    <row r="878">
      <c r="A878" s="109"/>
    </row>
    <row r="879">
      <c r="A879" s="109"/>
    </row>
    <row r="880">
      <c r="A880" s="109"/>
    </row>
    <row r="881">
      <c r="A881" s="109"/>
    </row>
    <row r="882">
      <c r="A882" s="109"/>
    </row>
    <row r="883">
      <c r="A883" s="109"/>
    </row>
    <row r="884">
      <c r="A884" s="109"/>
    </row>
    <row r="885">
      <c r="A885" s="109"/>
    </row>
    <row r="886">
      <c r="A886" s="109"/>
    </row>
    <row r="887">
      <c r="A887" s="109"/>
    </row>
    <row r="888">
      <c r="A888" s="109"/>
    </row>
    <row r="889">
      <c r="A889" s="109"/>
    </row>
    <row r="890">
      <c r="A890" s="109"/>
    </row>
    <row r="891">
      <c r="A891" s="109"/>
    </row>
    <row r="892">
      <c r="A892" s="109"/>
    </row>
    <row r="893">
      <c r="A893" s="109"/>
    </row>
    <row r="894">
      <c r="A894" s="109"/>
    </row>
    <row r="895">
      <c r="A895" s="109"/>
    </row>
    <row r="896">
      <c r="A896" s="109"/>
    </row>
    <row r="897">
      <c r="A897" s="109"/>
    </row>
    <row r="898">
      <c r="A898" s="109"/>
    </row>
    <row r="899">
      <c r="A899" s="109"/>
    </row>
    <row r="900">
      <c r="A900" s="109"/>
    </row>
    <row r="901">
      <c r="A901" s="109"/>
    </row>
    <row r="902">
      <c r="A902" s="109"/>
    </row>
    <row r="903">
      <c r="A903" s="109"/>
    </row>
    <row r="904">
      <c r="A904" s="109"/>
    </row>
    <row r="905">
      <c r="A905" s="109"/>
    </row>
    <row r="906">
      <c r="A906" s="109"/>
    </row>
    <row r="907">
      <c r="A907" s="109"/>
    </row>
    <row r="908">
      <c r="A908" s="109"/>
    </row>
    <row r="909">
      <c r="A909" s="109"/>
    </row>
    <row r="910">
      <c r="A910" s="109"/>
    </row>
    <row r="911">
      <c r="A911" s="109"/>
    </row>
    <row r="912">
      <c r="A912" s="109"/>
    </row>
    <row r="913">
      <c r="A913" s="109"/>
    </row>
    <row r="914">
      <c r="A914" s="109"/>
    </row>
    <row r="915">
      <c r="A915" s="109"/>
    </row>
    <row r="916">
      <c r="A916" s="109"/>
    </row>
    <row r="917">
      <c r="A917" s="109"/>
    </row>
    <row r="918">
      <c r="A918" s="109"/>
    </row>
    <row r="919">
      <c r="A919" s="109"/>
    </row>
    <row r="920">
      <c r="A920" s="109"/>
    </row>
    <row r="921">
      <c r="A921" s="109"/>
    </row>
    <row r="922">
      <c r="A922" s="109"/>
    </row>
    <row r="923">
      <c r="A923" s="109"/>
    </row>
    <row r="924">
      <c r="A924" s="109"/>
    </row>
    <row r="925">
      <c r="A925" s="109"/>
    </row>
    <row r="926">
      <c r="A926" s="109"/>
    </row>
    <row r="927">
      <c r="A927" s="109"/>
    </row>
    <row r="928">
      <c r="A928" s="109"/>
    </row>
    <row r="929">
      <c r="A929" s="109"/>
    </row>
    <row r="930">
      <c r="A930" s="109"/>
    </row>
    <row r="931">
      <c r="A931" s="109"/>
    </row>
    <row r="932">
      <c r="A932" s="109"/>
    </row>
    <row r="933">
      <c r="A933" s="109"/>
    </row>
    <row r="934">
      <c r="A934" s="109"/>
    </row>
    <row r="935">
      <c r="A935" s="109"/>
    </row>
    <row r="936">
      <c r="A936" s="109"/>
    </row>
    <row r="937">
      <c r="A937" s="109"/>
    </row>
    <row r="938">
      <c r="A938" s="109"/>
    </row>
    <row r="939">
      <c r="A939" s="109"/>
    </row>
    <row r="940">
      <c r="A940" s="109"/>
    </row>
    <row r="941">
      <c r="A941" s="109"/>
    </row>
    <row r="942">
      <c r="A942" s="109"/>
    </row>
    <row r="943">
      <c r="A943" s="109"/>
    </row>
    <row r="944">
      <c r="A944" s="109"/>
    </row>
    <row r="945">
      <c r="A945" s="109"/>
    </row>
    <row r="946">
      <c r="A946" s="109"/>
    </row>
    <row r="947">
      <c r="A947" s="109"/>
    </row>
    <row r="948">
      <c r="A948" s="109"/>
    </row>
    <row r="949">
      <c r="A949" s="109"/>
    </row>
    <row r="950">
      <c r="A950" s="109"/>
    </row>
    <row r="951">
      <c r="A951" s="109"/>
    </row>
    <row r="952">
      <c r="A952" s="109"/>
    </row>
    <row r="953">
      <c r="A953" s="109"/>
    </row>
    <row r="954">
      <c r="A954" s="109"/>
    </row>
    <row r="955">
      <c r="A955" s="109"/>
    </row>
    <row r="956">
      <c r="A956" s="109"/>
    </row>
    <row r="957">
      <c r="A957" s="109"/>
    </row>
    <row r="958">
      <c r="A958" s="109"/>
    </row>
    <row r="959">
      <c r="A959" s="109"/>
    </row>
    <row r="960">
      <c r="A960" s="109"/>
    </row>
    <row r="961">
      <c r="A961" s="109"/>
    </row>
    <row r="962">
      <c r="A962" s="109"/>
    </row>
    <row r="963">
      <c r="A963" s="109"/>
    </row>
    <row r="964">
      <c r="A964" s="109"/>
    </row>
    <row r="965">
      <c r="A965" s="109"/>
    </row>
    <row r="966">
      <c r="A966" s="109"/>
    </row>
    <row r="967">
      <c r="A967" s="109"/>
    </row>
    <row r="968">
      <c r="A968" s="109"/>
    </row>
    <row r="969">
      <c r="A969" s="109"/>
    </row>
    <row r="970">
      <c r="A970" s="109"/>
    </row>
    <row r="971">
      <c r="A971" s="109"/>
    </row>
    <row r="972">
      <c r="A972" s="109"/>
    </row>
    <row r="973">
      <c r="A973" s="109"/>
    </row>
    <row r="974">
      <c r="A974" s="109"/>
    </row>
    <row r="975">
      <c r="A975" s="109"/>
    </row>
    <row r="976">
      <c r="A976" s="109"/>
    </row>
    <row r="977">
      <c r="A977" s="109"/>
    </row>
    <row r="978">
      <c r="A978" s="109"/>
    </row>
    <row r="979">
      <c r="A979" s="109"/>
    </row>
    <row r="980">
      <c r="A980" s="109"/>
    </row>
    <row r="981">
      <c r="A981" s="109"/>
    </row>
    <row r="982">
      <c r="A982" s="109"/>
    </row>
    <row r="983">
      <c r="A983" s="109"/>
    </row>
    <row r="984">
      <c r="A984" s="109"/>
    </row>
    <row r="985">
      <c r="A985" s="109"/>
    </row>
    <row r="986">
      <c r="A986" s="109"/>
    </row>
    <row r="987">
      <c r="A987" s="109"/>
    </row>
    <row r="988">
      <c r="A988" s="109"/>
    </row>
    <row r="989">
      <c r="A989" s="109"/>
    </row>
    <row r="990">
      <c r="A990" s="109"/>
    </row>
    <row r="991">
      <c r="A991" s="109"/>
    </row>
    <row r="992">
      <c r="A992" s="109"/>
    </row>
    <row r="993">
      <c r="A993" s="109"/>
    </row>
    <row r="994">
      <c r="A994" s="109"/>
    </row>
    <row r="995">
      <c r="A995" s="109"/>
    </row>
    <row r="996">
      <c r="A996" s="109"/>
    </row>
    <row r="997">
      <c r="A997" s="109"/>
    </row>
    <row r="998">
      <c r="A998" s="109"/>
    </row>
    <row r="999">
      <c r="A999" s="109"/>
    </row>
    <row r="1000">
      <c r="A1000" s="109"/>
    </row>
    <row r="1001">
      <c r="A1001" s="109"/>
    </row>
    <row r="1002">
      <c r="A1002" s="109"/>
    </row>
  </sheetData>
  <autoFilter ref="$A$2:$AJ$1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7.29" defaultRowHeight="15.0"/>
  <cols>
    <col customWidth="1" min="5" max="5" width="54.14"/>
    <col customWidth="1" min="6" max="77" width="11.57"/>
  </cols>
  <sheetData>
    <row r="1" ht="27.0" customHeight="1">
      <c r="A1" s="24" t="s">
        <v>600</v>
      </c>
      <c r="B1" s="24" t="s">
        <v>76</v>
      </c>
      <c r="C1" s="57" t="s">
        <v>1669</v>
      </c>
      <c r="D1" s="57" t="s">
        <v>69</v>
      </c>
      <c r="E1" s="57" t="s">
        <v>601</v>
      </c>
      <c r="F1" s="58">
        <v>43831.0</v>
      </c>
      <c r="G1" s="59" t="s">
        <v>644</v>
      </c>
      <c r="H1" s="60" t="s">
        <v>645</v>
      </c>
      <c r="I1" s="62" t="s">
        <v>646</v>
      </c>
      <c r="J1" s="61" t="s">
        <v>647</v>
      </c>
      <c r="K1" s="59" t="s">
        <v>648</v>
      </c>
      <c r="L1" s="59" t="s">
        <v>649</v>
      </c>
      <c r="M1" s="59" t="s">
        <v>650</v>
      </c>
      <c r="N1" s="59" t="s">
        <v>651</v>
      </c>
      <c r="O1" s="59" t="s">
        <v>641</v>
      </c>
      <c r="P1" s="59" t="s">
        <v>642</v>
      </c>
      <c r="Q1" s="59" t="s">
        <v>643</v>
      </c>
      <c r="R1" s="58">
        <v>44197.0</v>
      </c>
      <c r="S1" s="59" t="s">
        <v>644</v>
      </c>
      <c r="T1" s="59" t="s">
        <v>645</v>
      </c>
      <c r="U1" s="61" t="s">
        <v>646</v>
      </c>
      <c r="V1" s="59" t="s">
        <v>647</v>
      </c>
      <c r="W1" s="59" t="s">
        <v>648</v>
      </c>
      <c r="X1" s="59" t="s">
        <v>649</v>
      </c>
      <c r="Y1" s="59" t="s">
        <v>650</v>
      </c>
      <c r="Z1" s="59" t="s">
        <v>651</v>
      </c>
      <c r="AA1" s="59" t="s">
        <v>641</v>
      </c>
      <c r="AB1" s="59" t="s">
        <v>642</v>
      </c>
      <c r="AC1" s="59" t="s">
        <v>643</v>
      </c>
      <c r="AD1" s="58">
        <v>44562.0</v>
      </c>
      <c r="AE1" s="59" t="s">
        <v>644</v>
      </c>
      <c r="AF1" s="59" t="s">
        <v>645</v>
      </c>
      <c r="AG1" s="60" t="s">
        <v>646</v>
      </c>
      <c r="AH1" s="61" t="s">
        <v>647</v>
      </c>
      <c r="AI1" s="59" t="s">
        <v>648</v>
      </c>
      <c r="AJ1" s="59" t="s">
        <v>649</v>
      </c>
      <c r="AK1" s="59" t="s">
        <v>650</v>
      </c>
      <c r="AL1" s="59" t="s">
        <v>651</v>
      </c>
      <c r="AM1" s="59" t="s">
        <v>641</v>
      </c>
      <c r="AN1" s="59" t="s">
        <v>642</v>
      </c>
      <c r="AO1" s="59" t="s">
        <v>643</v>
      </c>
      <c r="AP1" s="58">
        <v>44927.0</v>
      </c>
      <c r="AQ1" s="59" t="s">
        <v>644</v>
      </c>
      <c r="AR1" s="59" t="s">
        <v>645</v>
      </c>
      <c r="AS1" s="60" t="s">
        <v>646</v>
      </c>
      <c r="AT1" s="61" t="s">
        <v>647</v>
      </c>
      <c r="AU1" s="59" t="s">
        <v>648</v>
      </c>
      <c r="AV1" s="59" t="s">
        <v>649</v>
      </c>
      <c r="AW1" s="59" t="s">
        <v>650</v>
      </c>
      <c r="AX1" s="59" t="s">
        <v>651</v>
      </c>
      <c r="AY1" s="59" t="s">
        <v>641</v>
      </c>
      <c r="AZ1" s="59" t="s">
        <v>642</v>
      </c>
      <c r="BA1" s="59" t="s">
        <v>643</v>
      </c>
      <c r="BB1" s="58">
        <v>45292.0</v>
      </c>
      <c r="BC1" s="61" t="s">
        <v>644</v>
      </c>
      <c r="BD1" s="60" t="s">
        <v>645</v>
      </c>
      <c r="BE1" s="62" t="s">
        <v>646</v>
      </c>
      <c r="BF1" s="61" t="s">
        <v>647</v>
      </c>
      <c r="BG1" s="59" t="s">
        <v>648</v>
      </c>
      <c r="BH1" s="59" t="s">
        <v>649</v>
      </c>
      <c r="BI1" s="59" t="s">
        <v>650</v>
      </c>
      <c r="BJ1" s="59" t="s">
        <v>651</v>
      </c>
      <c r="BK1" s="59" t="s">
        <v>641</v>
      </c>
      <c r="BL1" s="59" t="s">
        <v>642</v>
      </c>
      <c r="BM1" s="59" t="s">
        <v>643</v>
      </c>
      <c r="BN1" s="58">
        <v>45658.0</v>
      </c>
      <c r="BO1" s="59" t="s">
        <v>644</v>
      </c>
      <c r="BP1" s="59" t="s">
        <v>645</v>
      </c>
      <c r="BQ1" s="59" t="s">
        <v>646</v>
      </c>
      <c r="BR1" s="59" t="s">
        <v>647</v>
      </c>
      <c r="BS1" s="59" t="s">
        <v>648</v>
      </c>
      <c r="BT1" s="59" t="s">
        <v>649</v>
      </c>
      <c r="BU1" s="59" t="s">
        <v>650</v>
      </c>
      <c r="BV1" s="59" t="s">
        <v>651</v>
      </c>
      <c r="BW1" s="59" t="s">
        <v>641</v>
      </c>
      <c r="BX1" s="59" t="s">
        <v>642</v>
      </c>
      <c r="BY1" s="59" t="s">
        <v>643</v>
      </c>
    </row>
    <row r="2">
      <c r="A2" s="17" t="s">
        <v>675</v>
      </c>
      <c r="B2" s="17" t="s">
        <v>660</v>
      </c>
      <c r="C2" s="17"/>
      <c r="D2" s="17" t="s">
        <v>1670</v>
      </c>
      <c r="E2" s="18" t="s">
        <v>1671</v>
      </c>
      <c r="F2" s="6"/>
      <c r="G2" s="6"/>
      <c r="H2" s="6"/>
      <c r="I2" s="67" t="s">
        <v>746</v>
      </c>
      <c r="J2" s="67" t="s">
        <v>746</v>
      </c>
      <c r="K2" s="67" t="s">
        <v>746</v>
      </c>
      <c r="L2" s="67" t="s">
        <v>746</v>
      </c>
      <c r="M2" s="67" t="s">
        <v>746</v>
      </c>
      <c r="N2" s="67" t="s">
        <v>746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110" t="s">
        <v>1672</v>
      </c>
      <c r="AZ2" s="110" t="s">
        <v>1672</v>
      </c>
      <c r="BA2" s="110" t="s">
        <v>1672</v>
      </c>
      <c r="BB2" s="110" t="s">
        <v>748</v>
      </c>
      <c r="BC2" s="110" t="s">
        <v>748</v>
      </c>
      <c r="BD2" s="110" t="s">
        <v>748</v>
      </c>
      <c r="BE2" s="110" t="s">
        <v>1672</v>
      </c>
      <c r="BF2" s="110" t="s">
        <v>1672</v>
      </c>
      <c r="BG2" s="110" t="s">
        <v>1672</v>
      </c>
      <c r="BH2" s="5"/>
      <c r="BI2" s="5"/>
      <c r="BJ2" s="5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</row>
    <row r="3">
      <c r="A3" s="17" t="s">
        <v>675</v>
      </c>
      <c r="B3" s="17" t="s">
        <v>660</v>
      </c>
      <c r="C3" s="17"/>
      <c r="D3" s="17" t="s">
        <v>1673</v>
      </c>
      <c r="E3" s="18" t="s">
        <v>1674</v>
      </c>
      <c r="F3" s="6"/>
      <c r="G3" s="6"/>
      <c r="H3" s="6"/>
      <c r="I3" s="67" t="s">
        <v>746</v>
      </c>
      <c r="J3" s="67" t="s">
        <v>746</v>
      </c>
      <c r="K3" s="67" t="s">
        <v>746</v>
      </c>
      <c r="L3" s="67" t="s">
        <v>746</v>
      </c>
      <c r="M3" s="67" t="s">
        <v>746</v>
      </c>
      <c r="N3" s="67" t="s">
        <v>746</v>
      </c>
      <c r="BB3" s="110" t="s">
        <v>748</v>
      </c>
      <c r="BC3" s="110" t="s">
        <v>748</v>
      </c>
      <c r="BD3" s="110" t="s">
        <v>748</v>
      </c>
    </row>
    <row r="4">
      <c r="A4" s="17" t="s">
        <v>1675</v>
      </c>
      <c r="B4" s="17" t="s">
        <v>1676</v>
      </c>
      <c r="C4" s="17">
        <v>10.0</v>
      </c>
      <c r="D4" s="17" t="s">
        <v>1670</v>
      </c>
      <c r="AY4" s="110" t="s">
        <v>748</v>
      </c>
      <c r="AZ4" s="110" t="s">
        <v>748</v>
      </c>
      <c r="BA4" s="110" t="s">
        <v>748</v>
      </c>
      <c r="BB4" s="110" t="s">
        <v>748</v>
      </c>
      <c r="BC4" s="110" t="s">
        <v>748</v>
      </c>
      <c r="BD4" s="110" t="s">
        <v>748</v>
      </c>
      <c r="BE4" s="110" t="s">
        <v>748</v>
      </c>
      <c r="BF4" s="110" t="s">
        <v>748</v>
      </c>
    </row>
    <row r="5">
      <c r="A5" s="17" t="s">
        <v>1675</v>
      </c>
      <c r="B5" s="17" t="s">
        <v>1677</v>
      </c>
      <c r="C5" s="17">
        <v>40.0</v>
      </c>
      <c r="D5" s="17" t="s">
        <v>1670</v>
      </c>
      <c r="E5" s="17" t="s">
        <v>1678</v>
      </c>
      <c r="AY5" s="111" t="s">
        <v>1679</v>
      </c>
      <c r="AZ5" s="111" t="s">
        <v>1679</v>
      </c>
      <c r="BA5" s="111" t="s">
        <v>1679</v>
      </c>
      <c r="BB5" s="111" t="s">
        <v>1679</v>
      </c>
      <c r="BC5" s="111" t="s">
        <v>1679</v>
      </c>
      <c r="BD5" s="111" t="s">
        <v>1679</v>
      </c>
      <c r="BE5" s="110" t="s">
        <v>748</v>
      </c>
      <c r="BF5" s="110" t="s">
        <v>748</v>
      </c>
      <c r="BG5" s="110" t="s">
        <v>748</v>
      </c>
      <c r="BK5" s="112" t="s">
        <v>748</v>
      </c>
      <c r="BL5" s="112" t="s">
        <v>748</v>
      </c>
      <c r="BM5" s="112" t="s">
        <v>748</v>
      </c>
      <c r="BN5" s="112" t="s">
        <v>748</v>
      </c>
      <c r="BO5" s="112" t="s">
        <v>748</v>
      </c>
      <c r="BP5" s="113" t="s">
        <v>748</v>
      </c>
      <c r="BQ5" s="113" t="s">
        <v>748</v>
      </c>
      <c r="BR5" s="113" t="s">
        <v>748</v>
      </c>
      <c r="BS5" s="113" t="s">
        <v>748</v>
      </c>
      <c r="BT5" s="113" t="s">
        <v>748</v>
      </c>
      <c r="BU5" s="113" t="s">
        <v>748</v>
      </c>
      <c r="BV5" s="113" t="s">
        <v>748</v>
      </c>
    </row>
    <row r="6">
      <c r="A6" s="17" t="s">
        <v>1005</v>
      </c>
      <c r="B6" s="17" t="s">
        <v>654</v>
      </c>
      <c r="D6" s="17" t="s">
        <v>1673</v>
      </c>
      <c r="E6" s="17" t="s">
        <v>1680</v>
      </c>
      <c r="G6" s="67" t="s">
        <v>746</v>
      </c>
      <c r="H6" s="67" t="s">
        <v>745</v>
      </c>
      <c r="I6" s="67" t="s">
        <v>746</v>
      </c>
      <c r="J6" s="67" t="s">
        <v>746</v>
      </c>
      <c r="K6" s="67" t="s">
        <v>746</v>
      </c>
      <c r="L6" s="67" t="s">
        <v>746</v>
      </c>
      <c r="M6" s="67" t="s">
        <v>746</v>
      </c>
      <c r="N6" s="67" t="s">
        <v>746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110" t="s">
        <v>748</v>
      </c>
      <c r="AZ6" s="110" t="s">
        <v>748</v>
      </c>
      <c r="BA6" s="110" t="s">
        <v>748</v>
      </c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</row>
    <row r="7">
      <c r="A7" s="17" t="s">
        <v>1005</v>
      </c>
      <c r="B7" s="17" t="s">
        <v>654</v>
      </c>
      <c r="D7" s="17" t="s">
        <v>1670</v>
      </c>
      <c r="E7" s="17" t="s">
        <v>1681</v>
      </c>
      <c r="F7" s="6"/>
      <c r="G7" s="67" t="s">
        <v>746</v>
      </c>
      <c r="H7" s="67" t="s">
        <v>745</v>
      </c>
      <c r="I7" s="67" t="s">
        <v>746</v>
      </c>
      <c r="J7" s="67" t="s">
        <v>746</v>
      </c>
      <c r="K7" s="67" t="s">
        <v>746</v>
      </c>
      <c r="L7" s="67" t="s">
        <v>746</v>
      </c>
      <c r="M7" s="67" t="s">
        <v>746</v>
      </c>
      <c r="N7" s="67" t="s">
        <v>746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7" t="s">
        <v>747</v>
      </c>
      <c r="AI7" s="67" t="s">
        <v>747</v>
      </c>
      <c r="AJ7" s="67" t="s">
        <v>747</v>
      </c>
      <c r="AK7" s="67" t="s">
        <v>747</v>
      </c>
      <c r="AL7" s="67" t="s">
        <v>747</v>
      </c>
      <c r="AM7" s="67" t="s">
        <v>1682</v>
      </c>
      <c r="AN7" s="67" t="s">
        <v>747</v>
      </c>
      <c r="AO7" s="67" t="s">
        <v>747</v>
      </c>
      <c r="AP7" s="67" t="s">
        <v>747</v>
      </c>
      <c r="AQ7" s="67" t="s">
        <v>747</v>
      </c>
      <c r="AR7" s="67" t="s">
        <v>747</v>
      </c>
      <c r="AS7" s="67" t="s">
        <v>747</v>
      </c>
      <c r="AT7" s="67" t="s">
        <v>747</v>
      </c>
      <c r="AU7" s="67" t="s">
        <v>747</v>
      </c>
      <c r="AV7" s="67" t="s">
        <v>747</v>
      </c>
      <c r="AW7" s="67" t="s">
        <v>747</v>
      </c>
      <c r="AX7" s="6"/>
      <c r="AY7" s="110" t="s">
        <v>748</v>
      </c>
      <c r="AZ7" s="110" t="s">
        <v>748</v>
      </c>
      <c r="BA7" s="110" t="s">
        <v>748</v>
      </c>
      <c r="BB7" s="111" t="s">
        <v>1679</v>
      </c>
      <c r="BC7" s="111" t="s">
        <v>1679</v>
      </c>
      <c r="BD7" s="111" t="s">
        <v>1679</v>
      </c>
      <c r="BE7" s="111" t="s">
        <v>1679</v>
      </c>
      <c r="BF7" s="111" t="s">
        <v>1679</v>
      </c>
      <c r="BG7" s="67" t="s">
        <v>1683</v>
      </c>
      <c r="BH7" s="67" t="s">
        <v>1683</v>
      </c>
      <c r="BI7" s="67" t="s">
        <v>1683</v>
      </c>
      <c r="BJ7" s="67" t="s">
        <v>1683</v>
      </c>
      <c r="BK7" s="112" t="s">
        <v>748</v>
      </c>
      <c r="BL7" s="112" t="s">
        <v>748</v>
      </c>
      <c r="BM7" s="112" t="s">
        <v>748</v>
      </c>
      <c r="BN7" s="112" t="s">
        <v>748</v>
      </c>
      <c r="BO7" s="112" t="s">
        <v>748</v>
      </c>
      <c r="BP7" s="113" t="s">
        <v>748</v>
      </c>
      <c r="BQ7" s="113" t="s">
        <v>748</v>
      </c>
      <c r="BR7" s="113" t="s">
        <v>748</v>
      </c>
      <c r="BS7" s="113" t="s">
        <v>748</v>
      </c>
      <c r="BT7" s="113" t="s">
        <v>748</v>
      </c>
      <c r="BU7" s="113" t="s">
        <v>748</v>
      </c>
      <c r="BV7" s="113" t="s">
        <v>748</v>
      </c>
      <c r="BW7" s="6"/>
      <c r="BX7" s="6"/>
      <c r="BY7" s="6"/>
    </row>
    <row r="8">
      <c r="A8" s="17" t="s">
        <v>1684</v>
      </c>
      <c r="B8" s="17" t="s">
        <v>654</v>
      </c>
      <c r="C8" s="17">
        <v>2.0</v>
      </c>
      <c r="D8" s="17" t="s">
        <v>1670</v>
      </c>
      <c r="E8" s="17" t="s">
        <v>1685</v>
      </c>
      <c r="H8" s="67" t="s">
        <v>745</v>
      </c>
      <c r="I8" s="67" t="s">
        <v>745</v>
      </c>
    </row>
    <row r="9">
      <c r="A9" s="17" t="s">
        <v>1005</v>
      </c>
      <c r="B9" s="17" t="s">
        <v>1686</v>
      </c>
      <c r="C9" s="17">
        <v>0.0</v>
      </c>
      <c r="D9" s="17" t="s">
        <v>1670</v>
      </c>
      <c r="E9" s="17" t="s">
        <v>1687</v>
      </c>
      <c r="AY9" s="111" t="s">
        <v>1679</v>
      </c>
      <c r="AZ9" s="111" t="s">
        <v>1679</v>
      </c>
      <c r="BA9" s="111" t="s">
        <v>1679</v>
      </c>
      <c r="BB9" s="111" t="s">
        <v>1679</v>
      </c>
      <c r="BC9" s="111" t="s">
        <v>1679</v>
      </c>
      <c r="BD9" s="111" t="s">
        <v>1679</v>
      </c>
      <c r="BE9" s="111" t="s">
        <v>1679</v>
      </c>
      <c r="BF9" s="111" t="s">
        <v>1679</v>
      </c>
      <c r="BK9" s="112" t="s">
        <v>1688</v>
      </c>
      <c r="BL9" s="112" t="s">
        <v>1688</v>
      </c>
      <c r="BM9" s="112" t="s">
        <v>1689</v>
      </c>
      <c r="BN9" s="112" t="s">
        <v>1689</v>
      </c>
      <c r="BO9" s="112" t="s">
        <v>1689</v>
      </c>
      <c r="BP9" s="112" t="s">
        <v>1689</v>
      </c>
      <c r="BQ9" s="112" t="s">
        <v>1690</v>
      </c>
      <c r="BR9" s="112" t="s">
        <v>1690</v>
      </c>
      <c r="BS9" s="113" t="s">
        <v>1690</v>
      </c>
      <c r="BT9" s="113" t="s">
        <v>1690</v>
      </c>
      <c r="BU9" s="113" t="s">
        <v>1690</v>
      </c>
      <c r="BV9" s="113" t="s">
        <v>1690</v>
      </c>
    </row>
    <row r="10">
      <c r="A10" s="17" t="s">
        <v>1691</v>
      </c>
      <c r="B10" s="17" t="s">
        <v>1692</v>
      </c>
      <c r="D10" s="17" t="s">
        <v>1670</v>
      </c>
      <c r="BE10" s="110" t="s">
        <v>748</v>
      </c>
      <c r="BF10" s="110" t="s">
        <v>748</v>
      </c>
      <c r="BG10" s="110" t="s">
        <v>748</v>
      </c>
      <c r="BH10" s="110" t="s">
        <v>748</v>
      </c>
      <c r="BI10" s="110" t="s">
        <v>748</v>
      </c>
      <c r="BJ10" s="110" t="s">
        <v>748</v>
      </c>
      <c r="BK10" s="110" t="s">
        <v>748</v>
      </c>
    </row>
    <row r="11">
      <c r="A11" s="17" t="s">
        <v>1691</v>
      </c>
      <c r="B11" s="17" t="s">
        <v>1692</v>
      </c>
      <c r="D11" s="17" t="s">
        <v>1673</v>
      </c>
      <c r="BE11" s="110" t="s">
        <v>748</v>
      </c>
      <c r="BF11" s="110" t="s">
        <v>748</v>
      </c>
      <c r="BG11" s="110" t="s">
        <v>748</v>
      </c>
      <c r="BH11" s="110" t="s">
        <v>748</v>
      </c>
      <c r="BI11" s="110" t="s">
        <v>748</v>
      </c>
      <c r="BJ11" s="110" t="s">
        <v>748</v>
      </c>
      <c r="BK11" s="110" t="s">
        <v>748</v>
      </c>
    </row>
  </sheetData>
  <autoFilter ref="$A$1:$BY$1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hidden="1" min="2" max="2" width="22.29"/>
    <col customWidth="1" min="3" max="3" width="22.29"/>
    <col hidden="1" min="6" max="6" width="17.29"/>
  </cols>
  <sheetData>
    <row r="1">
      <c r="A1" s="27" t="s">
        <v>1693</v>
      </c>
      <c r="B1" s="24" t="s">
        <v>594</v>
      </c>
      <c r="C1" s="24" t="s">
        <v>1694</v>
      </c>
      <c r="D1" s="24" t="s">
        <v>1695</v>
      </c>
      <c r="E1" s="24" t="s">
        <v>1696</v>
      </c>
      <c r="F1" s="24" t="s">
        <v>1697</v>
      </c>
    </row>
    <row r="2">
      <c r="A2" s="35">
        <v>42339.0</v>
      </c>
      <c r="B2" s="17" t="str">
        <f t="shared" ref="B2:B1002" si="1">IF(ISBLANK(A2), "", YEAR(A2)&amp;"_Tot")</f>
        <v>2015_Tot</v>
      </c>
      <c r="C2" s="17">
        <v>3.0</v>
      </c>
      <c r="D2" s="17">
        <v>3.0</v>
      </c>
      <c r="E2" s="17">
        <v>3.0</v>
      </c>
      <c r="F2" s="17">
        <f t="shared" ref="F2:F1002" si="2">SUM(C2:E2)</f>
        <v>9</v>
      </c>
    </row>
    <row r="3">
      <c r="A3" s="35">
        <v>42705.0</v>
      </c>
      <c r="B3" s="17" t="str">
        <f t="shared" si="1"/>
        <v>2016_Tot</v>
      </c>
      <c r="C3" s="17">
        <v>9.0</v>
      </c>
      <c r="D3" s="17">
        <v>6.0</v>
      </c>
      <c r="E3" s="17">
        <v>0.0</v>
      </c>
      <c r="F3" s="17">
        <f t="shared" si="2"/>
        <v>15</v>
      </c>
    </row>
    <row r="4">
      <c r="A4" s="35">
        <v>42767.0</v>
      </c>
      <c r="B4" s="17" t="str">
        <f t="shared" si="1"/>
        <v>2017_Tot</v>
      </c>
      <c r="C4" s="17">
        <v>17.0</v>
      </c>
      <c r="D4" s="17">
        <v>7.0</v>
      </c>
      <c r="E4" s="17">
        <v>0.0</v>
      </c>
      <c r="F4" s="17">
        <f t="shared" si="2"/>
        <v>24</v>
      </c>
    </row>
    <row r="5">
      <c r="A5" s="35">
        <v>42795.0</v>
      </c>
      <c r="B5" s="17" t="str">
        <f t="shared" si="1"/>
        <v>2017_Tot</v>
      </c>
      <c r="C5" s="17">
        <v>27.0</v>
      </c>
      <c r="D5" s="17">
        <v>7.0</v>
      </c>
      <c r="E5" s="17">
        <v>0.0</v>
      </c>
      <c r="F5" s="17">
        <f t="shared" si="2"/>
        <v>34</v>
      </c>
    </row>
    <row r="6">
      <c r="A6" s="35">
        <v>42826.0</v>
      </c>
      <c r="B6" s="17" t="str">
        <f t="shared" si="1"/>
        <v>2017_Tot</v>
      </c>
      <c r="C6" s="17">
        <v>32.0</v>
      </c>
      <c r="D6" s="17">
        <v>7.0</v>
      </c>
      <c r="E6" s="17">
        <v>0.0</v>
      </c>
      <c r="F6" s="17">
        <f t="shared" si="2"/>
        <v>39</v>
      </c>
    </row>
    <row r="7">
      <c r="A7" s="35">
        <v>42856.0</v>
      </c>
      <c r="B7" s="17" t="str">
        <f t="shared" si="1"/>
        <v>2017_Tot</v>
      </c>
      <c r="C7" s="17">
        <v>32.0</v>
      </c>
      <c r="D7" s="17">
        <v>7.0</v>
      </c>
      <c r="E7" s="17">
        <v>0.0</v>
      </c>
      <c r="F7" s="17">
        <f t="shared" si="2"/>
        <v>39</v>
      </c>
    </row>
    <row r="8">
      <c r="A8" s="35">
        <v>42887.0</v>
      </c>
      <c r="B8" s="17" t="str">
        <f t="shared" si="1"/>
        <v>2017_Tot</v>
      </c>
      <c r="C8" s="17">
        <v>33.0</v>
      </c>
      <c r="D8" s="17">
        <v>7.0</v>
      </c>
      <c r="E8" s="17">
        <v>0.0</v>
      </c>
      <c r="F8" s="17">
        <f t="shared" si="2"/>
        <v>40</v>
      </c>
    </row>
    <row r="9">
      <c r="A9" s="35">
        <v>42948.0</v>
      </c>
      <c r="B9" s="17" t="str">
        <f t="shared" si="1"/>
        <v>2017_Tot</v>
      </c>
      <c r="C9" s="17">
        <v>32.0</v>
      </c>
      <c r="D9" s="17">
        <v>7.0</v>
      </c>
      <c r="E9" s="17">
        <v>0.0</v>
      </c>
      <c r="F9" s="17">
        <f t="shared" si="2"/>
        <v>39</v>
      </c>
    </row>
    <row r="10">
      <c r="A10" s="35">
        <v>42979.0</v>
      </c>
      <c r="B10" s="17" t="str">
        <f t="shared" si="1"/>
        <v>2017_Tot</v>
      </c>
      <c r="C10" s="17">
        <v>31.0</v>
      </c>
      <c r="D10" s="17">
        <v>7.0</v>
      </c>
      <c r="E10" s="17">
        <v>0.0</v>
      </c>
      <c r="F10" s="17">
        <f t="shared" si="2"/>
        <v>38</v>
      </c>
    </row>
    <row r="11">
      <c r="A11" s="35">
        <v>43009.0</v>
      </c>
      <c r="B11" s="17" t="str">
        <f t="shared" si="1"/>
        <v>2017_Tot</v>
      </c>
      <c r="C11" s="17">
        <v>31.0</v>
      </c>
      <c r="D11" s="17">
        <v>7.0</v>
      </c>
      <c r="E11" s="17">
        <v>0.0</v>
      </c>
      <c r="F11" s="17">
        <f t="shared" si="2"/>
        <v>38</v>
      </c>
    </row>
    <row r="12">
      <c r="A12" s="35">
        <v>43040.0</v>
      </c>
      <c r="B12" s="17" t="str">
        <f t="shared" si="1"/>
        <v>2017_Tot</v>
      </c>
      <c r="C12" s="17">
        <v>33.0</v>
      </c>
      <c r="D12" s="17">
        <v>7.0</v>
      </c>
      <c r="E12" s="17">
        <v>0.0</v>
      </c>
      <c r="F12" s="17">
        <f t="shared" si="2"/>
        <v>40</v>
      </c>
    </row>
    <row r="13">
      <c r="A13" s="35">
        <v>43070.0</v>
      </c>
      <c r="B13" s="17" t="str">
        <f t="shared" si="1"/>
        <v>2017_Tot</v>
      </c>
      <c r="C13" s="17">
        <v>33.0</v>
      </c>
      <c r="D13" s="17">
        <v>7.0</v>
      </c>
      <c r="E13" s="17">
        <v>0.0</v>
      </c>
      <c r="F13" s="17">
        <f t="shared" si="2"/>
        <v>40</v>
      </c>
    </row>
    <row r="14">
      <c r="A14" s="35">
        <v>43132.0</v>
      </c>
      <c r="B14" s="17" t="str">
        <f t="shared" si="1"/>
        <v>2018_Tot</v>
      </c>
      <c r="C14" s="17">
        <v>35.0</v>
      </c>
      <c r="D14" s="17">
        <v>7.0</v>
      </c>
      <c r="E14" s="17">
        <v>0.0</v>
      </c>
      <c r="F14" s="17">
        <f t="shared" si="2"/>
        <v>42</v>
      </c>
    </row>
    <row r="15">
      <c r="A15" s="35">
        <v>43160.0</v>
      </c>
      <c r="B15" s="17" t="str">
        <f t="shared" si="1"/>
        <v>2018_Tot</v>
      </c>
      <c r="C15" s="17">
        <v>46.0</v>
      </c>
      <c r="D15" s="17">
        <v>6.0</v>
      </c>
      <c r="E15" s="17">
        <v>0.0</v>
      </c>
      <c r="F15" s="17">
        <f t="shared" si="2"/>
        <v>52</v>
      </c>
    </row>
    <row r="16">
      <c r="A16" s="35">
        <v>43191.0</v>
      </c>
      <c r="B16" s="17" t="str">
        <f t="shared" si="1"/>
        <v>2018_Tot</v>
      </c>
      <c r="C16" s="17">
        <v>46.0</v>
      </c>
      <c r="D16" s="17">
        <v>6.0</v>
      </c>
      <c r="E16" s="17">
        <v>0.0</v>
      </c>
      <c r="F16" s="17">
        <f t="shared" si="2"/>
        <v>52</v>
      </c>
    </row>
    <row r="17">
      <c r="A17" s="35">
        <v>43221.0</v>
      </c>
      <c r="B17" s="17" t="str">
        <f t="shared" si="1"/>
        <v>2018_Tot</v>
      </c>
      <c r="C17" s="17">
        <v>46.0</v>
      </c>
      <c r="D17" s="17">
        <v>6.0</v>
      </c>
      <c r="E17" s="17">
        <v>0.0</v>
      </c>
      <c r="F17" s="17">
        <f t="shared" si="2"/>
        <v>52</v>
      </c>
    </row>
    <row r="18">
      <c r="A18" s="35">
        <v>43252.0</v>
      </c>
      <c r="B18" s="17" t="str">
        <f t="shared" si="1"/>
        <v>2018_Tot</v>
      </c>
      <c r="C18" s="17">
        <v>58.0</v>
      </c>
      <c r="D18" s="17">
        <v>6.0</v>
      </c>
      <c r="E18" s="17">
        <v>0.0</v>
      </c>
      <c r="F18" s="17">
        <f t="shared" si="2"/>
        <v>64</v>
      </c>
    </row>
    <row r="19">
      <c r="A19" s="35">
        <v>43282.0</v>
      </c>
      <c r="B19" s="17" t="str">
        <f t="shared" si="1"/>
        <v>2018_Tot</v>
      </c>
      <c r="C19" s="17">
        <v>66.0</v>
      </c>
      <c r="D19" s="17">
        <v>6.0</v>
      </c>
      <c r="E19" s="17">
        <v>0.0</v>
      </c>
      <c r="F19" s="17">
        <f t="shared" si="2"/>
        <v>72</v>
      </c>
    </row>
    <row r="20">
      <c r="A20" s="35">
        <v>43313.0</v>
      </c>
      <c r="B20" s="17" t="str">
        <f t="shared" si="1"/>
        <v>2018_Tot</v>
      </c>
      <c r="C20" s="17">
        <v>69.0</v>
      </c>
      <c r="D20" s="17">
        <v>6.0</v>
      </c>
      <c r="E20" s="17">
        <v>0.0</v>
      </c>
      <c r="F20" s="17">
        <f t="shared" si="2"/>
        <v>75</v>
      </c>
    </row>
    <row r="21">
      <c r="A21" s="35">
        <v>43344.0</v>
      </c>
      <c r="B21" s="17" t="str">
        <f t="shared" si="1"/>
        <v>2018_Tot</v>
      </c>
      <c r="C21" s="17">
        <v>77.0</v>
      </c>
      <c r="D21" s="17">
        <v>6.0</v>
      </c>
      <c r="E21" s="17">
        <v>0.0</v>
      </c>
      <c r="F21" s="17">
        <f t="shared" si="2"/>
        <v>83</v>
      </c>
    </row>
    <row r="22">
      <c r="A22" s="35">
        <v>43374.0</v>
      </c>
      <c r="B22" s="17" t="str">
        <f t="shared" si="1"/>
        <v>2018_Tot</v>
      </c>
      <c r="C22" s="17">
        <v>83.0</v>
      </c>
      <c r="D22" s="17">
        <v>5.0</v>
      </c>
      <c r="E22" s="17">
        <v>0.0</v>
      </c>
      <c r="F22" s="17">
        <f t="shared" si="2"/>
        <v>88</v>
      </c>
    </row>
    <row r="23">
      <c r="A23" s="35">
        <v>43405.0</v>
      </c>
      <c r="B23" s="17" t="str">
        <f t="shared" si="1"/>
        <v>2018_Tot</v>
      </c>
      <c r="C23" s="17">
        <v>78.0</v>
      </c>
      <c r="D23" s="17">
        <v>5.0</v>
      </c>
      <c r="E23" s="17">
        <v>0.0</v>
      </c>
      <c r="F23" s="17">
        <f t="shared" si="2"/>
        <v>83</v>
      </c>
    </row>
    <row r="24">
      <c r="A24" s="35">
        <v>43525.0</v>
      </c>
      <c r="B24" s="17" t="str">
        <f t="shared" si="1"/>
        <v>2019_Tot</v>
      </c>
      <c r="C24" s="17">
        <v>77.0</v>
      </c>
      <c r="D24" s="17">
        <v>5.0</v>
      </c>
      <c r="E24" s="17">
        <v>0.0</v>
      </c>
      <c r="F24" s="17">
        <f t="shared" si="2"/>
        <v>82</v>
      </c>
    </row>
    <row r="25">
      <c r="A25" s="35">
        <v>43556.0</v>
      </c>
      <c r="B25" s="17" t="str">
        <f t="shared" si="1"/>
        <v>2019_Tot</v>
      </c>
      <c r="C25" s="17">
        <v>64.0</v>
      </c>
      <c r="D25" s="17">
        <v>4.0</v>
      </c>
      <c r="E25" s="17">
        <v>0.0</v>
      </c>
      <c r="F25" s="17">
        <f t="shared" si="2"/>
        <v>68</v>
      </c>
    </row>
    <row r="26">
      <c r="A26" s="35">
        <v>43586.0</v>
      </c>
      <c r="B26" s="17" t="str">
        <f t="shared" si="1"/>
        <v>2019_Tot</v>
      </c>
      <c r="C26" s="17">
        <v>64.0</v>
      </c>
      <c r="D26" s="17">
        <v>4.0</v>
      </c>
      <c r="E26" s="17">
        <v>0.0</v>
      </c>
      <c r="F26" s="17">
        <f t="shared" si="2"/>
        <v>68</v>
      </c>
    </row>
    <row r="27">
      <c r="A27" s="35">
        <v>43709.0</v>
      </c>
      <c r="B27" s="17" t="str">
        <f t="shared" si="1"/>
        <v>2019_Tot</v>
      </c>
      <c r="C27" s="17">
        <v>84.0</v>
      </c>
      <c r="D27" s="17">
        <v>4.0</v>
      </c>
      <c r="E27" s="17">
        <v>2.0</v>
      </c>
      <c r="F27" s="17">
        <f t="shared" si="2"/>
        <v>90</v>
      </c>
    </row>
    <row r="28">
      <c r="A28" s="35">
        <v>43739.0</v>
      </c>
      <c r="B28" s="17" t="str">
        <f t="shared" si="1"/>
        <v>2019_Tot</v>
      </c>
      <c r="C28" s="17">
        <v>85.0</v>
      </c>
      <c r="D28" s="17">
        <v>4.0</v>
      </c>
      <c r="E28" s="17">
        <v>2.0</v>
      </c>
      <c r="F28" s="17">
        <f t="shared" si="2"/>
        <v>91</v>
      </c>
    </row>
    <row r="29">
      <c r="A29" s="35">
        <v>43800.0</v>
      </c>
      <c r="B29" s="17" t="str">
        <f t="shared" si="1"/>
        <v>2019_Tot</v>
      </c>
      <c r="C29" s="17">
        <v>89.0</v>
      </c>
      <c r="D29" s="17">
        <v>4.0</v>
      </c>
      <c r="E29" s="17">
        <v>2.0</v>
      </c>
      <c r="F29" s="17">
        <f t="shared" si="2"/>
        <v>95</v>
      </c>
    </row>
    <row r="30">
      <c r="A30" s="35">
        <v>43922.0</v>
      </c>
      <c r="B30" s="17" t="str">
        <f t="shared" si="1"/>
        <v>2020_Tot</v>
      </c>
      <c r="C30" s="17">
        <v>92.0</v>
      </c>
      <c r="D30" s="17">
        <v>4.0</v>
      </c>
      <c r="E30" s="17">
        <v>2.0</v>
      </c>
      <c r="F30" s="17">
        <f t="shared" si="2"/>
        <v>98</v>
      </c>
    </row>
    <row r="31">
      <c r="A31" s="35">
        <v>43952.0</v>
      </c>
      <c r="B31" s="17" t="str">
        <f t="shared" si="1"/>
        <v>2020_Tot</v>
      </c>
      <c r="C31" s="17">
        <v>92.0</v>
      </c>
      <c r="D31" s="17">
        <v>4.0</v>
      </c>
      <c r="E31" s="17">
        <v>2.0</v>
      </c>
      <c r="F31" s="17">
        <f t="shared" si="2"/>
        <v>98</v>
      </c>
    </row>
    <row r="32">
      <c r="A32" s="35">
        <v>43983.0</v>
      </c>
      <c r="B32" s="17" t="str">
        <f t="shared" si="1"/>
        <v>2020_Tot</v>
      </c>
      <c r="C32" s="17">
        <v>92.0</v>
      </c>
      <c r="D32" s="17">
        <v>4.0</v>
      </c>
      <c r="E32" s="17">
        <v>2.0</v>
      </c>
      <c r="F32" s="17">
        <f t="shared" si="2"/>
        <v>98</v>
      </c>
    </row>
    <row r="33">
      <c r="A33" s="35">
        <v>44013.0</v>
      </c>
      <c r="B33" s="17" t="str">
        <f t="shared" si="1"/>
        <v>2020_Tot</v>
      </c>
      <c r="C33" s="17">
        <v>92.0</v>
      </c>
      <c r="D33" s="17">
        <v>4.0</v>
      </c>
      <c r="E33" s="17">
        <v>2.0</v>
      </c>
      <c r="F33" s="17">
        <f t="shared" si="2"/>
        <v>98</v>
      </c>
    </row>
    <row r="34">
      <c r="A34" s="35">
        <v>44044.0</v>
      </c>
      <c r="B34" s="17" t="str">
        <f t="shared" si="1"/>
        <v>2020_Tot</v>
      </c>
      <c r="C34" s="17">
        <v>92.0</v>
      </c>
      <c r="D34" s="17">
        <v>4.0</v>
      </c>
      <c r="E34" s="17">
        <v>2.0</v>
      </c>
      <c r="F34" s="17">
        <f t="shared" si="2"/>
        <v>98</v>
      </c>
    </row>
    <row r="35">
      <c r="A35" s="35">
        <v>44075.0</v>
      </c>
      <c r="B35" s="17" t="str">
        <f t="shared" si="1"/>
        <v>2020_Tot</v>
      </c>
      <c r="C35" s="17">
        <v>92.0</v>
      </c>
      <c r="D35" s="17">
        <v>4.0</v>
      </c>
      <c r="E35" s="17">
        <v>2.0</v>
      </c>
      <c r="F35" s="17">
        <f t="shared" si="2"/>
        <v>98</v>
      </c>
    </row>
    <row r="36">
      <c r="A36" s="35">
        <v>44105.0</v>
      </c>
      <c r="B36" s="17" t="str">
        <f t="shared" si="1"/>
        <v>2020_Tot</v>
      </c>
      <c r="C36" s="17">
        <v>120.0</v>
      </c>
      <c r="D36" s="17">
        <v>4.0</v>
      </c>
      <c r="E36" s="17">
        <v>2.0</v>
      </c>
      <c r="F36" s="17">
        <f t="shared" si="2"/>
        <v>126</v>
      </c>
    </row>
    <row r="37">
      <c r="A37" s="35">
        <v>44228.0</v>
      </c>
      <c r="B37" s="17" t="str">
        <f t="shared" si="1"/>
        <v>2021_Tot</v>
      </c>
      <c r="C37" s="17">
        <v>129.0</v>
      </c>
      <c r="D37" s="17">
        <v>0.0</v>
      </c>
      <c r="E37" s="17">
        <v>3.0</v>
      </c>
      <c r="F37" s="17">
        <f t="shared" si="2"/>
        <v>132</v>
      </c>
    </row>
    <row r="38">
      <c r="A38" s="35">
        <v>44256.0</v>
      </c>
      <c r="B38" s="17" t="str">
        <f t="shared" si="1"/>
        <v>2021_Tot</v>
      </c>
      <c r="C38" s="17">
        <v>143.0</v>
      </c>
      <c r="D38" s="17">
        <v>0.0</v>
      </c>
      <c r="E38" s="17">
        <v>3.0</v>
      </c>
      <c r="F38" s="17">
        <f t="shared" si="2"/>
        <v>146</v>
      </c>
    </row>
    <row r="39">
      <c r="A39" s="35">
        <v>44287.0</v>
      </c>
      <c r="B39" s="17" t="str">
        <f t="shared" si="1"/>
        <v>2021_Tot</v>
      </c>
      <c r="C39" s="17">
        <v>143.0</v>
      </c>
      <c r="D39" s="17">
        <v>0.0</v>
      </c>
      <c r="E39" s="17">
        <v>3.0</v>
      </c>
      <c r="F39" s="17">
        <f t="shared" si="2"/>
        <v>146</v>
      </c>
    </row>
    <row r="40">
      <c r="A40" s="35">
        <v>44317.0</v>
      </c>
      <c r="B40" s="17" t="str">
        <f t="shared" si="1"/>
        <v>2021_Tot</v>
      </c>
      <c r="C40" s="17">
        <v>143.0</v>
      </c>
      <c r="D40" s="17">
        <v>0.0</v>
      </c>
      <c r="E40" s="17">
        <v>3.0</v>
      </c>
      <c r="F40" s="17">
        <f t="shared" si="2"/>
        <v>146</v>
      </c>
    </row>
    <row r="41">
      <c r="A41" s="35">
        <v>44348.0</v>
      </c>
      <c r="B41" s="17" t="str">
        <f t="shared" si="1"/>
        <v>2021_Tot</v>
      </c>
      <c r="C41" s="17">
        <v>167.0</v>
      </c>
      <c r="D41" s="17">
        <v>0.0</v>
      </c>
      <c r="E41" s="17">
        <v>2.0</v>
      </c>
      <c r="F41" s="17">
        <f t="shared" si="2"/>
        <v>169</v>
      </c>
    </row>
    <row r="42">
      <c r="A42" s="35">
        <v>44378.0</v>
      </c>
      <c r="B42" s="17" t="str">
        <f t="shared" si="1"/>
        <v>2021_Tot</v>
      </c>
      <c r="C42" s="17">
        <v>170.0</v>
      </c>
      <c r="D42" s="17">
        <v>0.0</v>
      </c>
      <c r="E42" s="17">
        <v>2.0</v>
      </c>
      <c r="F42" s="17">
        <f t="shared" si="2"/>
        <v>172</v>
      </c>
    </row>
    <row r="43">
      <c r="A43" s="35">
        <v>44562.0</v>
      </c>
      <c r="B43" s="17" t="str">
        <f t="shared" si="1"/>
        <v>2022_Tot</v>
      </c>
      <c r="C43" s="17">
        <v>167.0</v>
      </c>
      <c r="D43" s="17">
        <v>0.0</v>
      </c>
      <c r="E43" s="17">
        <v>5.0</v>
      </c>
      <c r="F43" s="17">
        <f t="shared" si="2"/>
        <v>172</v>
      </c>
    </row>
    <row r="44">
      <c r="A44" s="35">
        <v>44593.0</v>
      </c>
      <c r="B44" s="17" t="str">
        <f t="shared" si="1"/>
        <v>2022_Tot</v>
      </c>
      <c r="C44" s="17">
        <v>173.0</v>
      </c>
      <c r="D44" s="17">
        <v>0.0</v>
      </c>
      <c r="E44" s="17">
        <v>4.0</v>
      </c>
      <c r="F44" s="17">
        <f t="shared" si="2"/>
        <v>177</v>
      </c>
    </row>
    <row r="45">
      <c r="A45" s="35">
        <v>44621.0</v>
      </c>
      <c r="B45" s="17" t="str">
        <f t="shared" si="1"/>
        <v>2022_Tot</v>
      </c>
      <c r="C45" s="17">
        <v>198.0</v>
      </c>
      <c r="D45" s="17">
        <v>0.0</v>
      </c>
      <c r="E45" s="17">
        <v>4.0</v>
      </c>
      <c r="F45" s="17">
        <f t="shared" si="2"/>
        <v>202</v>
      </c>
    </row>
    <row r="46">
      <c r="A46" s="35">
        <v>44682.0</v>
      </c>
      <c r="B46" s="17" t="str">
        <f t="shared" si="1"/>
        <v>2022_Tot</v>
      </c>
      <c r="C46" s="17">
        <v>245.0</v>
      </c>
      <c r="D46" s="17">
        <v>0.0</v>
      </c>
      <c r="E46" s="17">
        <v>0.0</v>
      </c>
      <c r="F46" s="17">
        <f t="shared" si="2"/>
        <v>245</v>
      </c>
    </row>
    <row r="47">
      <c r="A47" s="35">
        <v>45261.0</v>
      </c>
      <c r="B47" s="17" t="str">
        <f t="shared" si="1"/>
        <v>2023_Tot</v>
      </c>
      <c r="C47" s="17">
        <v>241.0</v>
      </c>
      <c r="D47" s="17">
        <v>0.0</v>
      </c>
      <c r="E47" s="17">
        <v>0.0</v>
      </c>
      <c r="F47" s="17">
        <f t="shared" si="2"/>
        <v>241</v>
      </c>
    </row>
    <row r="48">
      <c r="A48" s="35">
        <v>44927.0</v>
      </c>
      <c r="B48" s="17" t="str">
        <f t="shared" si="1"/>
        <v>2023_Tot</v>
      </c>
      <c r="C48" s="17">
        <v>241.0</v>
      </c>
      <c r="D48" s="17">
        <v>0.0</v>
      </c>
      <c r="E48" s="17">
        <v>0.0</v>
      </c>
      <c r="F48" s="17">
        <f t="shared" si="2"/>
        <v>241</v>
      </c>
    </row>
    <row r="49">
      <c r="A49" s="35">
        <v>44958.0</v>
      </c>
      <c r="B49" s="17" t="str">
        <f t="shared" si="1"/>
        <v>2023_Tot</v>
      </c>
      <c r="C49" s="17">
        <v>241.0</v>
      </c>
      <c r="D49" s="17">
        <v>0.0</v>
      </c>
      <c r="E49" s="17">
        <v>0.0</v>
      </c>
      <c r="F49" s="17">
        <f t="shared" si="2"/>
        <v>241</v>
      </c>
    </row>
    <row r="50">
      <c r="A50" s="35">
        <v>44986.0</v>
      </c>
      <c r="B50" s="17" t="str">
        <f t="shared" si="1"/>
        <v>2023_Tot</v>
      </c>
      <c r="C50" s="17">
        <v>241.0</v>
      </c>
      <c r="D50" s="17">
        <v>0.0</v>
      </c>
      <c r="E50" s="17">
        <v>0.0</v>
      </c>
      <c r="F50" s="17">
        <f t="shared" si="2"/>
        <v>241</v>
      </c>
    </row>
    <row r="51">
      <c r="A51" s="35">
        <v>45017.0</v>
      </c>
      <c r="B51" s="17" t="str">
        <f t="shared" si="1"/>
        <v>2023_Tot</v>
      </c>
      <c r="C51" s="17">
        <v>241.0</v>
      </c>
      <c r="D51" s="17">
        <v>0.0</v>
      </c>
      <c r="E51" s="17">
        <v>0.0</v>
      </c>
      <c r="F51" s="17">
        <f t="shared" si="2"/>
        <v>241</v>
      </c>
    </row>
    <row r="52">
      <c r="A52" s="35">
        <v>45047.0</v>
      </c>
      <c r="B52" s="17" t="str">
        <f t="shared" si="1"/>
        <v>2023_Tot</v>
      </c>
      <c r="C52" s="17">
        <v>241.0</v>
      </c>
      <c r="D52" s="17">
        <v>0.0</v>
      </c>
      <c r="E52" s="17">
        <v>0.0</v>
      </c>
      <c r="F52" s="17">
        <f t="shared" si="2"/>
        <v>241</v>
      </c>
    </row>
    <row r="53">
      <c r="A53" s="35">
        <v>45078.0</v>
      </c>
      <c r="B53" s="17" t="str">
        <f t="shared" si="1"/>
        <v>2023_Tot</v>
      </c>
      <c r="C53" s="17">
        <v>241.0</v>
      </c>
      <c r="D53" s="17">
        <v>0.0</v>
      </c>
      <c r="E53" s="17">
        <v>0.0</v>
      </c>
      <c r="F53" s="17">
        <f t="shared" si="2"/>
        <v>241</v>
      </c>
    </row>
    <row r="54">
      <c r="A54" s="35">
        <v>45108.0</v>
      </c>
      <c r="B54" s="17" t="str">
        <f t="shared" si="1"/>
        <v>2023_Tot</v>
      </c>
      <c r="C54" s="17">
        <v>241.0</v>
      </c>
      <c r="D54" s="17">
        <v>0.0</v>
      </c>
      <c r="E54" s="17">
        <v>0.0</v>
      </c>
      <c r="F54" s="17">
        <f t="shared" si="2"/>
        <v>241</v>
      </c>
    </row>
    <row r="55">
      <c r="A55" s="35">
        <v>45139.0</v>
      </c>
      <c r="B55" s="17" t="str">
        <f t="shared" si="1"/>
        <v>2023_Tot</v>
      </c>
      <c r="C55" s="17">
        <v>241.0</v>
      </c>
      <c r="D55" s="17">
        <v>0.0</v>
      </c>
      <c r="E55" s="17">
        <v>0.0</v>
      </c>
      <c r="F55" s="17">
        <f t="shared" si="2"/>
        <v>241</v>
      </c>
    </row>
    <row r="56">
      <c r="A56" s="35">
        <v>45170.0</v>
      </c>
      <c r="B56" s="17" t="str">
        <f t="shared" si="1"/>
        <v>2023_Tot</v>
      </c>
      <c r="C56" s="17">
        <v>285.0</v>
      </c>
      <c r="D56" s="17">
        <v>0.0</v>
      </c>
      <c r="E56" s="17">
        <v>4.0</v>
      </c>
      <c r="F56" s="17">
        <f t="shared" si="2"/>
        <v>289</v>
      </c>
    </row>
    <row r="57">
      <c r="A57" s="35">
        <v>45200.0</v>
      </c>
      <c r="B57" s="17" t="str">
        <f t="shared" si="1"/>
        <v>2023_Tot</v>
      </c>
      <c r="C57" s="17">
        <v>285.0</v>
      </c>
      <c r="D57" s="17">
        <v>0.0</v>
      </c>
      <c r="E57" s="17">
        <v>4.0</v>
      </c>
      <c r="F57" s="17">
        <f t="shared" si="2"/>
        <v>289</v>
      </c>
    </row>
    <row r="58">
      <c r="A58" s="35">
        <v>45231.0</v>
      </c>
      <c r="B58" s="17" t="str">
        <f t="shared" si="1"/>
        <v>2023_Tot</v>
      </c>
      <c r="C58" s="17">
        <v>285.0</v>
      </c>
      <c r="D58" s="17">
        <v>0.0</v>
      </c>
      <c r="E58" s="17">
        <v>4.0</v>
      </c>
      <c r="F58" s="17">
        <f t="shared" si="2"/>
        <v>289</v>
      </c>
    </row>
    <row r="59">
      <c r="A59" s="35">
        <v>45261.0</v>
      </c>
      <c r="B59" s="17" t="str">
        <f t="shared" si="1"/>
        <v>2023_Tot</v>
      </c>
      <c r="C59" s="17">
        <v>285.0</v>
      </c>
      <c r="D59" s="17">
        <v>0.0</v>
      </c>
      <c r="E59" s="17">
        <v>4.0</v>
      </c>
      <c r="F59" s="17">
        <f t="shared" si="2"/>
        <v>289</v>
      </c>
    </row>
    <row r="60">
      <c r="A60" s="35">
        <v>45292.0</v>
      </c>
      <c r="B60" s="17" t="str">
        <f t="shared" si="1"/>
        <v>2024_Tot</v>
      </c>
      <c r="C60" s="17">
        <v>285.0</v>
      </c>
      <c r="D60" s="17">
        <v>0.0</v>
      </c>
      <c r="E60" s="17">
        <v>4.0</v>
      </c>
      <c r="F60" s="17">
        <f t="shared" si="2"/>
        <v>289</v>
      </c>
    </row>
    <row r="61">
      <c r="A61" s="35">
        <v>45323.0</v>
      </c>
      <c r="B61" s="17" t="str">
        <f t="shared" si="1"/>
        <v>2024_Tot</v>
      </c>
      <c r="C61" s="17">
        <v>285.0</v>
      </c>
      <c r="D61" s="17">
        <v>0.0</v>
      </c>
      <c r="E61" s="17">
        <v>4.0</v>
      </c>
      <c r="F61" s="17">
        <f t="shared" si="2"/>
        <v>289</v>
      </c>
    </row>
    <row r="62">
      <c r="A62" s="35">
        <v>45352.0</v>
      </c>
      <c r="B62" s="17" t="str">
        <f t="shared" si="1"/>
        <v>2024_Tot</v>
      </c>
      <c r="C62" s="17">
        <v>285.0</v>
      </c>
      <c r="D62" s="17">
        <v>0.0</v>
      </c>
      <c r="E62" s="17">
        <v>4.0</v>
      </c>
      <c r="F62" s="17">
        <f t="shared" si="2"/>
        <v>289</v>
      </c>
    </row>
    <row r="63">
      <c r="A63" s="35">
        <v>45383.0</v>
      </c>
      <c r="B63" s="17" t="str">
        <f t="shared" si="1"/>
        <v>2024_Tot</v>
      </c>
      <c r="C63" s="17">
        <v>285.0</v>
      </c>
      <c r="D63" s="17">
        <v>0.0</v>
      </c>
      <c r="E63" s="17">
        <v>4.0</v>
      </c>
      <c r="F63" s="17">
        <f t="shared" si="2"/>
        <v>289</v>
      </c>
    </row>
    <row r="64">
      <c r="A64" s="35">
        <v>45413.0</v>
      </c>
      <c r="B64" s="17" t="str">
        <f t="shared" si="1"/>
        <v>2024_Tot</v>
      </c>
      <c r="C64" s="17">
        <v>291.0</v>
      </c>
      <c r="D64" s="17">
        <v>0.0</v>
      </c>
      <c r="E64" s="17">
        <v>4.0</v>
      </c>
      <c r="F64" s="17">
        <f t="shared" si="2"/>
        <v>295</v>
      </c>
    </row>
    <row r="65">
      <c r="A65" s="35">
        <v>45444.0</v>
      </c>
      <c r="B65" s="17" t="str">
        <f t="shared" si="1"/>
        <v>2024_Tot</v>
      </c>
      <c r="C65" s="17">
        <v>65.0</v>
      </c>
      <c r="D65" s="17">
        <v>0.0</v>
      </c>
      <c r="E65" s="17">
        <v>0.0</v>
      </c>
      <c r="F65" s="17">
        <f t="shared" si="2"/>
        <v>65</v>
      </c>
    </row>
    <row r="66">
      <c r="A66" s="35">
        <v>45474.0</v>
      </c>
      <c r="B66" s="17" t="str">
        <f t="shared" si="1"/>
        <v>2024_Tot</v>
      </c>
      <c r="C66" s="17">
        <v>105.0</v>
      </c>
      <c r="D66" s="17">
        <v>0.0</v>
      </c>
      <c r="E66" s="17">
        <v>0.0</v>
      </c>
      <c r="F66" s="17">
        <f t="shared" si="2"/>
        <v>105</v>
      </c>
    </row>
    <row r="67">
      <c r="A67" s="35">
        <v>45505.0</v>
      </c>
      <c r="B67" s="17" t="str">
        <f t="shared" si="1"/>
        <v>2024_Tot</v>
      </c>
      <c r="C67" s="17">
        <v>145.0</v>
      </c>
      <c r="D67" s="17">
        <v>0.0</v>
      </c>
      <c r="E67" s="17">
        <v>0.0</v>
      </c>
      <c r="F67" s="17">
        <f t="shared" si="2"/>
        <v>145</v>
      </c>
    </row>
    <row r="68">
      <c r="A68" s="35">
        <v>45536.0</v>
      </c>
      <c r="B68" s="17" t="str">
        <f t="shared" si="1"/>
        <v>2024_Tot</v>
      </c>
      <c r="C68" s="17">
        <v>185.0</v>
      </c>
      <c r="D68" s="17">
        <v>0.0</v>
      </c>
      <c r="E68" s="17">
        <v>0.0</v>
      </c>
      <c r="F68" s="17">
        <f t="shared" si="2"/>
        <v>185</v>
      </c>
    </row>
    <row r="69">
      <c r="A69" s="35">
        <v>45566.0</v>
      </c>
      <c r="B69" s="17" t="str">
        <f t="shared" si="1"/>
        <v>2024_Tot</v>
      </c>
      <c r="C69" s="17">
        <v>225.0</v>
      </c>
      <c r="D69" s="17">
        <v>0.0</v>
      </c>
      <c r="E69" s="17">
        <v>0.0</v>
      </c>
      <c r="F69" s="17">
        <f t="shared" si="2"/>
        <v>225</v>
      </c>
    </row>
    <row r="70">
      <c r="A70" s="35">
        <v>45597.0</v>
      </c>
      <c r="B70" s="17" t="str">
        <f t="shared" si="1"/>
        <v>2024_Tot</v>
      </c>
      <c r="C70" s="17">
        <v>240.0</v>
      </c>
      <c r="D70" s="17">
        <v>0.0</v>
      </c>
      <c r="E70" s="17">
        <v>0.0</v>
      </c>
      <c r="F70" s="17">
        <f t="shared" si="2"/>
        <v>240</v>
      </c>
    </row>
    <row r="71">
      <c r="A71" s="35">
        <v>45627.0</v>
      </c>
      <c r="B71" s="17" t="str">
        <f t="shared" si="1"/>
        <v>2024_Tot</v>
      </c>
      <c r="C71" s="17">
        <v>254.0</v>
      </c>
      <c r="D71" s="17">
        <v>0.0</v>
      </c>
      <c r="E71" s="17">
        <v>0.0</v>
      </c>
      <c r="F71" s="17">
        <f t="shared" si="2"/>
        <v>254</v>
      </c>
    </row>
    <row r="72">
      <c r="A72" s="35">
        <v>45658.0</v>
      </c>
      <c r="B72" s="17" t="str">
        <f t="shared" si="1"/>
        <v>2025_Tot</v>
      </c>
      <c r="C72" s="17">
        <v>280.0</v>
      </c>
      <c r="D72" s="17">
        <v>0.0</v>
      </c>
      <c r="E72" s="17">
        <v>0.0</v>
      </c>
      <c r="F72" s="17">
        <f t="shared" si="2"/>
        <v>280</v>
      </c>
    </row>
    <row r="73">
      <c r="A73" s="35">
        <v>45689.0</v>
      </c>
      <c r="B73" s="17" t="str">
        <f t="shared" si="1"/>
        <v>2025_Tot</v>
      </c>
      <c r="C73" s="17">
        <v>300.0</v>
      </c>
      <c r="D73" s="17">
        <v>0.0</v>
      </c>
      <c r="E73" s="17">
        <v>0.0</v>
      </c>
      <c r="F73" s="17">
        <f t="shared" si="2"/>
        <v>300</v>
      </c>
    </row>
    <row r="74">
      <c r="A74" s="35">
        <v>45717.0</v>
      </c>
      <c r="B74" s="17" t="str">
        <f t="shared" si="1"/>
        <v>2025_Tot</v>
      </c>
      <c r="C74" s="17">
        <v>319.0</v>
      </c>
      <c r="D74" s="17">
        <v>0.0</v>
      </c>
      <c r="E74" s="17">
        <v>0.0</v>
      </c>
      <c r="F74" s="17">
        <f t="shared" si="2"/>
        <v>319</v>
      </c>
    </row>
    <row r="75">
      <c r="A75" s="35">
        <v>45748.0</v>
      </c>
      <c r="B75" s="17" t="str">
        <f t="shared" si="1"/>
        <v>2025_Tot</v>
      </c>
      <c r="C75" s="17">
        <v>319.0</v>
      </c>
      <c r="D75" s="17">
        <v>0.0</v>
      </c>
      <c r="E75" s="17">
        <v>0.0</v>
      </c>
      <c r="F75" s="17">
        <f t="shared" si="2"/>
        <v>319</v>
      </c>
    </row>
    <row r="76">
      <c r="A76" s="35">
        <v>45778.0</v>
      </c>
      <c r="B76" s="17" t="str">
        <f t="shared" si="1"/>
        <v>2025_Tot</v>
      </c>
      <c r="C76" s="17">
        <v>319.0</v>
      </c>
      <c r="D76" s="17">
        <v>0.0</v>
      </c>
      <c r="E76" s="17">
        <v>0.0</v>
      </c>
      <c r="F76" s="17">
        <f t="shared" si="2"/>
        <v>319</v>
      </c>
    </row>
    <row r="77">
      <c r="A77" s="35">
        <v>45809.0</v>
      </c>
      <c r="B77" s="17" t="str">
        <f t="shared" si="1"/>
        <v>2025_Tot</v>
      </c>
      <c r="F77" s="17">
        <f t="shared" si="2"/>
        <v>0</v>
      </c>
    </row>
    <row r="78">
      <c r="A78" s="35">
        <v>45839.0</v>
      </c>
      <c r="B78" s="17" t="str">
        <f t="shared" si="1"/>
        <v>2025_Tot</v>
      </c>
      <c r="F78" s="17">
        <f t="shared" si="2"/>
        <v>0</v>
      </c>
    </row>
    <row r="79">
      <c r="A79" s="35">
        <v>45870.0</v>
      </c>
      <c r="B79" s="17" t="str">
        <f t="shared" si="1"/>
        <v>2025_Tot</v>
      </c>
      <c r="F79" s="17">
        <f t="shared" si="2"/>
        <v>0</v>
      </c>
    </row>
    <row r="80">
      <c r="A80" s="35">
        <v>45901.0</v>
      </c>
      <c r="B80" s="17" t="str">
        <f t="shared" si="1"/>
        <v>2025_Tot</v>
      </c>
      <c r="F80" s="17">
        <f t="shared" si="2"/>
        <v>0</v>
      </c>
    </row>
    <row r="81">
      <c r="A81" s="35">
        <v>45931.0</v>
      </c>
      <c r="B81" s="17" t="str">
        <f t="shared" si="1"/>
        <v>2025_Tot</v>
      </c>
      <c r="F81" s="17">
        <f t="shared" si="2"/>
        <v>0</v>
      </c>
    </row>
    <row r="82">
      <c r="A82" s="35">
        <v>45962.0</v>
      </c>
      <c r="B82" s="17" t="str">
        <f t="shared" si="1"/>
        <v>2025_Tot</v>
      </c>
      <c r="F82" s="17">
        <f t="shared" si="2"/>
        <v>0</v>
      </c>
    </row>
    <row r="83">
      <c r="A83" s="35">
        <v>45992.0</v>
      </c>
      <c r="B83" s="17" t="str">
        <f t="shared" si="1"/>
        <v>2025_Tot</v>
      </c>
      <c r="F83" s="17">
        <f t="shared" si="2"/>
        <v>0</v>
      </c>
    </row>
    <row r="84">
      <c r="A84" s="39"/>
      <c r="B84" s="17" t="str">
        <f t="shared" si="1"/>
        <v/>
      </c>
      <c r="F84" s="17">
        <f t="shared" si="2"/>
        <v>0</v>
      </c>
    </row>
    <row r="85">
      <c r="A85" s="39"/>
      <c r="B85" s="17" t="str">
        <f t="shared" si="1"/>
        <v/>
      </c>
      <c r="F85" s="17">
        <f t="shared" si="2"/>
        <v>0</v>
      </c>
    </row>
    <row r="86">
      <c r="A86" s="39"/>
      <c r="B86" s="17" t="str">
        <f t="shared" si="1"/>
        <v/>
      </c>
      <c r="F86" s="17">
        <f t="shared" si="2"/>
        <v>0</v>
      </c>
    </row>
    <row r="87">
      <c r="A87" s="39"/>
      <c r="B87" s="17" t="str">
        <f t="shared" si="1"/>
        <v/>
      </c>
      <c r="F87" s="17">
        <f t="shared" si="2"/>
        <v>0</v>
      </c>
    </row>
    <row r="88">
      <c r="A88" s="39"/>
      <c r="B88" s="17" t="str">
        <f t="shared" si="1"/>
        <v/>
      </c>
      <c r="F88" s="17">
        <f t="shared" si="2"/>
        <v>0</v>
      </c>
    </row>
    <row r="89">
      <c r="A89" s="39"/>
      <c r="B89" s="17" t="str">
        <f t="shared" si="1"/>
        <v/>
      </c>
      <c r="F89" s="17">
        <f t="shared" si="2"/>
        <v>0</v>
      </c>
    </row>
    <row r="90">
      <c r="A90" s="39"/>
      <c r="B90" s="17" t="str">
        <f t="shared" si="1"/>
        <v/>
      </c>
      <c r="F90" s="17">
        <f t="shared" si="2"/>
        <v>0</v>
      </c>
    </row>
    <row r="91">
      <c r="A91" s="39"/>
      <c r="B91" s="17" t="str">
        <f t="shared" si="1"/>
        <v/>
      </c>
      <c r="F91" s="17">
        <f t="shared" si="2"/>
        <v>0</v>
      </c>
    </row>
    <row r="92">
      <c r="A92" s="39"/>
      <c r="B92" s="17" t="str">
        <f t="shared" si="1"/>
        <v/>
      </c>
      <c r="F92" s="17">
        <f t="shared" si="2"/>
        <v>0</v>
      </c>
    </row>
    <row r="93">
      <c r="A93" s="39"/>
      <c r="B93" s="17" t="str">
        <f t="shared" si="1"/>
        <v/>
      </c>
      <c r="F93" s="17">
        <f t="shared" si="2"/>
        <v>0</v>
      </c>
    </row>
    <row r="94">
      <c r="A94" s="39"/>
      <c r="B94" s="17" t="str">
        <f t="shared" si="1"/>
        <v/>
      </c>
      <c r="F94" s="17">
        <f t="shared" si="2"/>
        <v>0</v>
      </c>
    </row>
    <row r="95">
      <c r="A95" s="39"/>
      <c r="B95" s="17" t="str">
        <f t="shared" si="1"/>
        <v/>
      </c>
      <c r="F95" s="17">
        <f t="shared" si="2"/>
        <v>0</v>
      </c>
    </row>
    <row r="96">
      <c r="A96" s="39"/>
      <c r="B96" s="17" t="str">
        <f t="shared" si="1"/>
        <v/>
      </c>
      <c r="F96" s="17">
        <f t="shared" si="2"/>
        <v>0</v>
      </c>
    </row>
    <row r="97">
      <c r="A97" s="39"/>
      <c r="B97" s="17" t="str">
        <f t="shared" si="1"/>
        <v/>
      </c>
      <c r="F97" s="17">
        <f t="shared" si="2"/>
        <v>0</v>
      </c>
    </row>
    <row r="98">
      <c r="A98" s="39"/>
      <c r="B98" s="17" t="str">
        <f t="shared" si="1"/>
        <v/>
      </c>
      <c r="F98" s="17">
        <f t="shared" si="2"/>
        <v>0</v>
      </c>
    </row>
    <row r="99">
      <c r="A99" s="39"/>
      <c r="B99" s="17" t="str">
        <f t="shared" si="1"/>
        <v/>
      </c>
      <c r="F99" s="17">
        <f t="shared" si="2"/>
        <v>0</v>
      </c>
    </row>
    <row r="100">
      <c r="A100" s="39"/>
      <c r="B100" s="17" t="str">
        <f t="shared" si="1"/>
        <v/>
      </c>
      <c r="F100" s="17">
        <f t="shared" si="2"/>
        <v>0</v>
      </c>
    </row>
    <row r="101">
      <c r="A101" s="39"/>
      <c r="B101" s="17" t="str">
        <f t="shared" si="1"/>
        <v/>
      </c>
      <c r="F101" s="17">
        <f t="shared" si="2"/>
        <v>0</v>
      </c>
    </row>
    <row r="102">
      <c r="A102" s="39"/>
      <c r="B102" s="17" t="str">
        <f t="shared" si="1"/>
        <v/>
      </c>
      <c r="F102" s="17">
        <f t="shared" si="2"/>
        <v>0</v>
      </c>
    </row>
    <row r="103">
      <c r="A103" s="39"/>
      <c r="B103" s="17" t="str">
        <f t="shared" si="1"/>
        <v/>
      </c>
      <c r="F103" s="17">
        <f t="shared" si="2"/>
        <v>0</v>
      </c>
    </row>
    <row r="104">
      <c r="A104" s="39"/>
      <c r="B104" s="17" t="str">
        <f t="shared" si="1"/>
        <v/>
      </c>
      <c r="F104" s="17">
        <f t="shared" si="2"/>
        <v>0</v>
      </c>
    </row>
    <row r="105">
      <c r="A105" s="39"/>
      <c r="B105" s="17" t="str">
        <f t="shared" si="1"/>
        <v/>
      </c>
      <c r="F105" s="17">
        <f t="shared" si="2"/>
        <v>0</v>
      </c>
    </row>
    <row r="106">
      <c r="A106" s="39"/>
      <c r="B106" s="17" t="str">
        <f t="shared" si="1"/>
        <v/>
      </c>
      <c r="F106" s="17">
        <f t="shared" si="2"/>
        <v>0</v>
      </c>
    </row>
    <row r="107">
      <c r="A107" s="39"/>
      <c r="B107" s="17" t="str">
        <f t="shared" si="1"/>
        <v/>
      </c>
      <c r="F107" s="17">
        <f t="shared" si="2"/>
        <v>0</v>
      </c>
    </row>
    <row r="108">
      <c r="A108" s="39"/>
      <c r="B108" s="17" t="str">
        <f t="shared" si="1"/>
        <v/>
      </c>
      <c r="F108" s="17">
        <f t="shared" si="2"/>
        <v>0</v>
      </c>
    </row>
    <row r="109">
      <c r="A109" s="39"/>
      <c r="B109" s="17" t="str">
        <f t="shared" si="1"/>
        <v/>
      </c>
      <c r="F109" s="17">
        <f t="shared" si="2"/>
        <v>0</v>
      </c>
    </row>
    <row r="110">
      <c r="A110" s="39"/>
      <c r="B110" s="17" t="str">
        <f t="shared" si="1"/>
        <v/>
      </c>
      <c r="F110" s="17">
        <f t="shared" si="2"/>
        <v>0</v>
      </c>
    </row>
    <row r="111">
      <c r="A111" s="39"/>
      <c r="B111" s="17" t="str">
        <f t="shared" si="1"/>
        <v/>
      </c>
      <c r="F111" s="17">
        <f t="shared" si="2"/>
        <v>0</v>
      </c>
    </row>
    <row r="112">
      <c r="A112" s="39"/>
      <c r="B112" s="17" t="str">
        <f t="shared" si="1"/>
        <v/>
      </c>
      <c r="F112" s="17">
        <f t="shared" si="2"/>
        <v>0</v>
      </c>
    </row>
    <row r="113">
      <c r="A113" s="39"/>
      <c r="B113" s="17" t="str">
        <f t="shared" si="1"/>
        <v/>
      </c>
      <c r="F113" s="17">
        <f t="shared" si="2"/>
        <v>0</v>
      </c>
    </row>
    <row r="114">
      <c r="A114" s="39"/>
      <c r="B114" s="17" t="str">
        <f t="shared" si="1"/>
        <v/>
      </c>
      <c r="F114" s="17">
        <f t="shared" si="2"/>
        <v>0</v>
      </c>
    </row>
    <row r="115">
      <c r="A115" s="39"/>
      <c r="B115" s="17" t="str">
        <f t="shared" si="1"/>
        <v/>
      </c>
      <c r="F115" s="17">
        <f t="shared" si="2"/>
        <v>0</v>
      </c>
    </row>
    <row r="116">
      <c r="A116" s="39"/>
      <c r="B116" s="17" t="str">
        <f t="shared" si="1"/>
        <v/>
      </c>
      <c r="F116" s="17">
        <f t="shared" si="2"/>
        <v>0</v>
      </c>
    </row>
    <row r="117">
      <c r="A117" s="39"/>
      <c r="B117" s="17" t="str">
        <f t="shared" si="1"/>
        <v/>
      </c>
      <c r="F117" s="17">
        <f t="shared" si="2"/>
        <v>0</v>
      </c>
    </row>
    <row r="118">
      <c r="A118" s="39"/>
      <c r="B118" s="17" t="str">
        <f t="shared" si="1"/>
        <v/>
      </c>
      <c r="F118" s="17">
        <f t="shared" si="2"/>
        <v>0</v>
      </c>
    </row>
    <row r="119">
      <c r="A119" s="39"/>
      <c r="B119" s="17" t="str">
        <f t="shared" si="1"/>
        <v/>
      </c>
      <c r="F119" s="17">
        <f t="shared" si="2"/>
        <v>0</v>
      </c>
    </row>
    <row r="120">
      <c r="A120" s="39"/>
      <c r="B120" s="17" t="str">
        <f t="shared" si="1"/>
        <v/>
      </c>
      <c r="F120" s="17">
        <f t="shared" si="2"/>
        <v>0</v>
      </c>
    </row>
    <row r="121">
      <c r="A121" s="39"/>
      <c r="B121" s="17" t="str">
        <f t="shared" si="1"/>
        <v/>
      </c>
      <c r="F121" s="17">
        <f t="shared" si="2"/>
        <v>0</v>
      </c>
    </row>
    <row r="122">
      <c r="A122" s="39"/>
      <c r="B122" s="17" t="str">
        <f t="shared" si="1"/>
        <v/>
      </c>
      <c r="F122" s="17">
        <f t="shared" si="2"/>
        <v>0</v>
      </c>
    </row>
    <row r="123">
      <c r="A123" s="39"/>
      <c r="B123" s="17" t="str">
        <f t="shared" si="1"/>
        <v/>
      </c>
      <c r="F123" s="17">
        <f t="shared" si="2"/>
        <v>0</v>
      </c>
    </row>
    <row r="124">
      <c r="A124" s="39"/>
      <c r="B124" s="17" t="str">
        <f t="shared" si="1"/>
        <v/>
      </c>
      <c r="F124" s="17">
        <f t="shared" si="2"/>
        <v>0</v>
      </c>
    </row>
    <row r="125">
      <c r="A125" s="39"/>
      <c r="B125" s="17" t="str">
        <f t="shared" si="1"/>
        <v/>
      </c>
      <c r="F125" s="17">
        <f t="shared" si="2"/>
        <v>0</v>
      </c>
    </row>
    <row r="126">
      <c r="A126" s="39"/>
      <c r="B126" s="17" t="str">
        <f t="shared" si="1"/>
        <v/>
      </c>
      <c r="F126" s="17">
        <f t="shared" si="2"/>
        <v>0</v>
      </c>
    </row>
    <row r="127">
      <c r="A127" s="39"/>
      <c r="B127" s="17" t="str">
        <f t="shared" si="1"/>
        <v/>
      </c>
      <c r="F127" s="17">
        <f t="shared" si="2"/>
        <v>0</v>
      </c>
    </row>
    <row r="128">
      <c r="A128" s="39"/>
      <c r="B128" s="17" t="str">
        <f t="shared" si="1"/>
        <v/>
      </c>
      <c r="F128" s="17">
        <f t="shared" si="2"/>
        <v>0</v>
      </c>
    </row>
    <row r="129">
      <c r="A129" s="39"/>
      <c r="B129" s="17" t="str">
        <f t="shared" si="1"/>
        <v/>
      </c>
      <c r="F129" s="17">
        <f t="shared" si="2"/>
        <v>0</v>
      </c>
    </row>
    <row r="130">
      <c r="A130" s="39"/>
      <c r="B130" s="17" t="str">
        <f t="shared" si="1"/>
        <v/>
      </c>
      <c r="F130" s="17">
        <f t="shared" si="2"/>
        <v>0</v>
      </c>
    </row>
    <row r="131">
      <c r="A131" s="39"/>
      <c r="B131" s="17" t="str">
        <f t="shared" si="1"/>
        <v/>
      </c>
      <c r="F131" s="17">
        <f t="shared" si="2"/>
        <v>0</v>
      </c>
    </row>
    <row r="132">
      <c r="A132" s="39"/>
      <c r="B132" s="17" t="str">
        <f t="shared" si="1"/>
        <v/>
      </c>
      <c r="F132" s="17">
        <f t="shared" si="2"/>
        <v>0</v>
      </c>
    </row>
    <row r="133">
      <c r="A133" s="39"/>
      <c r="B133" s="17" t="str">
        <f t="shared" si="1"/>
        <v/>
      </c>
      <c r="F133" s="17">
        <f t="shared" si="2"/>
        <v>0</v>
      </c>
    </row>
    <row r="134">
      <c r="A134" s="39"/>
      <c r="B134" s="17" t="str">
        <f t="shared" si="1"/>
        <v/>
      </c>
      <c r="F134" s="17">
        <f t="shared" si="2"/>
        <v>0</v>
      </c>
    </row>
    <row r="135">
      <c r="A135" s="39"/>
      <c r="B135" s="17" t="str">
        <f t="shared" si="1"/>
        <v/>
      </c>
      <c r="F135" s="17">
        <f t="shared" si="2"/>
        <v>0</v>
      </c>
    </row>
    <row r="136">
      <c r="A136" s="39"/>
      <c r="B136" s="17" t="str">
        <f t="shared" si="1"/>
        <v/>
      </c>
      <c r="F136" s="17">
        <f t="shared" si="2"/>
        <v>0</v>
      </c>
    </row>
    <row r="137">
      <c r="A137" s="39"/>
      <c r="B137" s="17" t="str">
        <f t="shared" si="1"/>
        <v/>
      </c>
      <c r="F137" s="17">
        <f t="shared" si="2"/>
        <v>0</v>
      </c>
    </row>
    <row r="138">
      <c r="A138" s="39"/>
      <c r="B138" s="17" t="str">
        <f t="shared" si="1"/>
        <v/>
      </c>
      <c r="F138" s="17">
        <f t="shared" si="2"/>
        <v>0</v>
      </c>
    </row>
    <row r="139">
      <c r="A139" s="39"/>
      <c r="B139" s="17" t="str">
        <f t="shared" si="1"/>
        <v/>
      </c>
      <c r="F139" s="17">
        <f t="shared" si="2"/>
        <v>0</v>
      </c>
    </row>
    <row r="140">
      <c r="A140" s="39"/>
      <c r="B140" s="17" t="str">
        <f t="shared" si="1"/>
        <v/>
      </c>
      <c r="F140" s="17">
        <f t="shared" si="2"/>
        <v>0</v>
      </c>
    </row>
    <row r="141">
      <c r="A141" s="39"/>
      <c r="B141" s="17" t="str">
        <f t="shared" si="1"/>
        <v/>
      </c>
      <c r="F141" s="17">
        <f t="shared" si="2"/>
        <v>0</v>
      </c>
    </row>
    <row r="142">
      <c r="A142" s="39"/>
      <c r="B142" s="17" t="str">
        <f t="shared" si="1"/>
        <v/>
      </c>
      <c r="F142" s="17">
        <f t="shared" si="2"/>
        <v>0</v>
      </c>
    </row>
    <row r="143">
      <c r="A143" s="39"/>
      <c r="B143" s="17" t="str">
        <f t="shared" si="1"/>
        <v/>
      </c>
      <c r="F143" s="17">
        <f t="shared" si="2"/>
        <v>0</v>
      </c>
    </row>
    <row r="144">
      <c r="A144" s="39"/>
      <c r="B144" s="17" t="str">
        <f t="shared" si="1"/>
        <v/>
      </c>
      <c r="F144" s="17">
        <f t="shared" si="2"/>
        <v>0</v>
      </c>
    </row>
    <row r="145">
      <c r="A145" s="39"/>
      <c r="B145" s="17" t="str">
        <f t="shared" si="1"/>
        <v/>
      </c>
      <c r="F145" s="17">
        <f t="shared" si="2"/>
        <v>0</v>
      </c>
    </row>
    <row r="146">
      <c r="A146" s="39"/>
      <c r="B146" s="17" t="str">
        <f t="shared" si="1"/>
        <v/>
      </c>
      <c r="F146" s="17">
        <f t="shared" si="2"/>
        <v>0</v>
      </c>
    </row>
    <row r="147">
      <c r="A147" s="39"/>
      <c r="B147" s="17" t="str">
        <f t="shared" si="1"/>
        <v/>
      </c>
      <c r="F147" s="17">
        <f t="shared" si="2"/>
        <v>0</v>
      </c>
    </row>
    <row r="148">
      <c r="A148" s="39"/>
      <c r="B148" s="17" t="str">
        <f t="shared" si="1"/>
        <v/>
      </c>
      <c r="F148" s="17">
        <f t="shared" si="2"/>
        <v>0</v>
      </c>
    </row>
    <row r="149">
      <c r="A149" s="39"/>
      <c r="B149" s="17" t="str">
        <f t="shared" si="1"/>
        <v/>
      </c>
      <c r="F149" s="17">
        <f t="shared" si="2"/>
        <v>0</v>
      </c>
    </row>
    <row r="150">
      <c r="A150" s="39"/>
      <c r="B150" s="17" t="str">
        <f t="shared" si="1"/>
        <v/>
      </c>
      <c r="F150" s="17">
        <f t="shared" si="2"/>
        <v>0</v>
      </c>
    </row>
    <row r="151">
      <c r="A151" s="39"/>
      <c r="B151" s="17" t="str">
        <f t="shared" si="1"/>
        <v/>
      </c>
      <c r="F151" s="17">
        <f t="shared" si="2"/>
        <v>0</v>
      </c>
    </row>
    <row r="152">
      <c r="A152" s="39"/>
      <c r="B152" s="17" t="str">
        <f t="shared" si="1"/>
        <v/>
      </c>
      <c r="F152" s="17">
        <f t="shared" si="2"/>
        <v>0</v>
      </c>
    </row>
    <row r="153">
      <c r="A153" s="39"/>
      <c r="B153" s="17" t="str">
        <f t="shared" si="1"/>
        <v/>
      </c>
      <c r="F153" s="17">
        <f t="shared" si="2"/>
        <v>0</v>
      </c>
    </row>
    <row r="154">
      <c r="A154" s="39"/>
      <c r="B154" s="17" t="str">
        <f t="shared" si="1"/>
        <v/>
      </c>
      <c r="F154" s="17">
        <f t="shared" si="2"/>
        <v>0</v>
      </c>
    </row>
    <row r="155">
      <c r="A155" s="39"/>
      <c r="B155" s="17" t="str">
        <f t="shared" si="1"/>
        <v/>
      </c>
      <c r="F155" s="17">
        <f t="shared" si="2"/>
        <v>0</v>
      </c>
    </row>
    <row r="156">
      <c r="A156" s="39"/>
      <c r="B156" s="17" t="str">
        <f t="shared" si="1"/>
        <v/>
      </c>
      <c r="F156" s="17">
        <f t="shared" si="2"/>
        <v>0</v>
      </c>
    </row>
    <row r="157">
      <c r="A157" s="39"/>
      <c r="B157" s="17" t="str">
        <f t="shared" si="1"/>
        <v/>
      </c>
      <c r="F157" s="17">
        <f t="shared" si="2"/>
        <v>0</v>
      </c>
    </row>
    <row r="158">
      <c r="A158" s="39"/>
      <c r="B158" s="17" t="str">
        <f t="shared" si="1"/>
        <v/>
      </c>
      <c r="F158" s="17">
        <f t="shared" si="2"/>
        <v>0</v>
      </c>
    </row>
    <row r="159">
      <c r="A159" s="39"/>
      <c r="B159" s="17" t="str">
        <f t="shared" si="1"/>
        <v/>
      </c>
      <c r="F159" s="17">
        <f t="shared" si="2"/>
        <v>0</v>
      </c>
    </row>
    <row r="160">
      <c r="A160" s="39"/>
      <c r="B160" s="17" t="str">
        <f t="shared" si="1"/>
        <v/>
      </c>
      <c r="F160" s="17">
        <f t="shared" si="2"/>
        <v>0</v>
      </c>
    </row>
    <row r="161">
      <c r="A161" s="39"/>
      <c r="B161" s="17" t="str">
        <f t="shared" si="1"/>
        <v/>
      </c>
      <c r="F161" s="17">
        <f t="shared" si="2"/>
        <v>0</v>
      </c>
    </row>
    <row r="162">
      <c r="A162" s="39"/>
      <c r="B162" s="17" t="str">
        <f t="shared" si="1"/>
        <v/>
      </c>
      <c r="F162" s="17">
        <f t="shared" si="2"/>
        <v>0</v>
      </c>
    </row>
    <row r="163">
      <c r="A163" s="39"/>
      <c r="B163" s="17" t="str">
        <f t="shared" si="1"/>
        <v/>
      </c>
      <c r="F163" s="17">
        <f t="shared" si="2"/>
        <v>0</v>
      </c>
    </row>
    <row r="164">
      <c r="A164" s="39"/>
      <c r="B164" s="17" t="str">
        <f t="shared" si="1"/>
        <v/>
      </c>
      <c r="F164" s="17">
        <f t="shared" si="2"/>
        <v>0</v>
      </c>
    </row>
    <row r="165">
      <c r="A165" s="39"/>
      <c r="B165" s="17" t="str">
        <f t="shared" si="1"/>
        <v/>
      </c>
      <c r="F165" s="17">
        <f t="shared" si="2"/>
        <v>0</v>
      </c>
    </row>
    <row r="166">
      <c r="A166" s="39"/>
      <c r="B166" s="17" t="str">
        <f t="shared" si="1"/>
        <v/>
      </c>
      <c r="F166" s="17">
        <f t="shared" si="2"/>
        <v>0</v>
      </c>
    </row>
    <row r="167">
      <c r="A167" s="39"/>
      <c r="B167" s="17" t="str">
        <f t="shared" si="1"/>
        <v/>
      </c>
      <c r="F167" s="17">
        <f t="shared" si="2"/>
        <v>0</v>
      </c>
    </row>
    <row r="168">
      <c r="A168" s="39"/>
      <c r="B168" s="17" t="str">
        <f t="shared" si="1"/>
        <v/>
      </c>
      <c r="F168" s="17">
        <f t="shared" si="2"/>
        <v>0</v>
      </c>
    </row>
    <row r="169">
      <c r="A169" s="39"/>
      <c r="B169" s="17" t="str">
        <f t="shared" si="1"/>
        <v/>
      </c>
      <c r="F169" s="17">
        <f t="shared" si="2"/>
        <v>0</v>
      </c>
    </row>
    <row r="170">
      <c r="A170" s="39"/>
      <c r="B170" s="17" t="str">
        <f t="shared" si="1"/>
        <v/>
      </c>
      <c r="F170" s="17">
        <f t="shared" si="2"/>
        <v>0</v>
      </c>
    </row>
    <row r="171">
      <c r="A171" s="39"/>
      <c r="B171" s="17" t="str">
        <f t="shared" si="1"/>
        <v/>
      </c>
      <c r="F171" s="17">
        <f t="shared" si="2"/>
        <v>0</v>
      </c>
    </row>
    <row r="172">
      <c r="A172" s="39"/>
      <c r="B172" s="17" t="str">
        <f t="shared" si="1"/>
        <v/>
      </c>
      <c r="F172" s="17">
        <f t="shared" si="2"/>
        <v>0</v>
      </c>
    </row>
    <row r="173">
      <c r="A173" s="39"/>
      <c r="B173" s="17" t="str">
        <f t="shared" si="1"/>
        <v/>
      </c>
      <c r="F173" s="17">
        <f t="shared" si="2"/>
        <v>0</v>
      </c>
    </row>
    <row r="174">
      <c r="A174" s="39"/>
      <c r="B174" s="17" t="str">
        <f t="shared" si="1"/>
        <v/>
      </c>
      <c r="F174" s="17">
        <f t="shared" si="2"/>
        <v>0</v>
      </c>
    </row>
    <row r="175">
      <c r="A175" s="39"/>
      <c r="B175" s="17" t="str">
        <f t="shared" si="1"/>
        <v/>
      </c>
      <c r="F175" s="17">
        <f t="shared" si="2"/>
        <v>0</v>
      </c>
    </row>
    <row r="176">
      <c r="A176" s="39"/>
      <c r="B176" s="17" t="str">
        <f t="shared" si="1"/>
        <v/>
      </c>
      <c r="F176" s="17">
        <f t="shared" si="2"/>
        <v>0</v>
      </c>
    </row>
    <row r="177">
      <c r="A177" s="39"/>
      <c r="B177" s="17" t="str">
        <f t="shared" si="1"/>
        <v/>
      </c>
      <c r="F177" s="17">
        <f t="shared" si="2"/>
        <v>0</v>
      </c>
    </row>
    <row r="178">
      <c r="A178" s="39"/>
      <c r="B178" s="17" t="str">
        <f t="shared" si="1"/>
        <v/>
      </c>
      <c r="F178" s="17">
        <f t="shared" si="2"/>
        <v>0</v>
      </c>
    </row>
    <row r="179">
      <c r="A179" s="39"/>
      <c r="B179" s="17" t="str">
        <f t="shared" si="1"/>
        <v/>
      </c>
      <c r="F179" s="17">
        <f t="shared" si="2"/>
        <v>0</v>
      </c>
    </row>
    <row r="180">
      <c r="A180" s="39"/>
      <c r="B180" s="17" t="str">
        <f t="shared" si="1"/>
        <v/>
      </c>
      <c r="F180" s="17">
        <f t="shared" si="2"/>
        <v>0</v>
      </c>
    </row>
    <row r="181">
      <c r="A181" s="39"/>
      <c r="B181" s="17" t="str">
        <f t="shared" si="1"/>
        <v/>
      </c>
      <c r="F181" s="17">
        <f t="shared" si="2"/>
        <v>0</v>
      </c>
    </row>
    <row r="182">
      <c r="A182" s="39"/>
      <c r="B182" s="17" t="str">
        <f t="shared" si="1"/>
        <v/>
      </c>
      <c r="F182" s="17">
        <f t="shared" si="2"/>
        <v>0</v>
      </c>
    </row>
    <row r="183">
      <c r="A183" s="39"/>
      <c r="B183" s="17" t="str">
        <f t="shared" si="1"/>
        <v/>
      </c>
      <c r="F183" s="17">
        <f t="shared" si="2"/>
        <v>0</v>
      </c>
    </row>
    <row r="184">
      <c r="A184" s="39"/>
      <c r="B184" s="17" t="str">
        <f t="shared" si="1"/>
        <v/>
      </c>
      <c r="F184" s="17">
        <f t="shared" si="2"/>
        <v>0</v>
      </c>
    </row>
    <row r="185">
      <c r="A185" s="39"/>
      <c r="B185" s="17" t="str">
        <f t="shared" si="1"/>
        <v/>
      </c>
      <c r="F185" s="17">
        <f t="shared" si="2"/>
        <v>0</v>
      </c>
    </row>
    <row r="186">
      <c r="A186" s="39"/>
      <c r="B186" s="17" t="str">
        <f t="shared" si="1"/>
        <v/>
      </c>
      <c r="F186" s="17">
        <f t="shared" si="2"/>
        <v>0</v>
      </c>
    </row>
    <row r="187">
      <c r="A187" s="39"/>
      <c r="B187" s="17" t="str">
        <f t="shared" si="1"/>
        <v/>
      </c>
      <c r="F187" s="17">
        <f t="shared" si="2"/>
        <v>0</v>
      </c>
    </row>
    <row r="188">
      <c r="A188" s="39"/>
      <c r="B188" s="17" t="str">
        <f t="shared" si="1"/>
        <v/>
      </c>
      <c r="F188" s="17">
        <f t="shared" si="2"/>
        <v>0</v>
      </c>
    </row>
    <row r="189">
      <c r="A189" s="39"/>
      <c r="B189" s="17" t="str">
        <f t="shared" si="1"/>
        <v/>
      </c>
      <c r="F189" s="17">
        <f t="shared" si="2"/>
        <v>0</v>
      </c>
    </row>
    <row r="190">
      <c r="A190" s="39"/>
      <c r="B190" s="17" t="str">
        <f t="shared" si="1"/>
        <v/>
      </c>
      <c r="F190" s="17">
        <f t="shared" si="2"/>
        <v>0</v>
      </c>
    </row>
    <row r="191">
      <c r="A191" s="39"/>
      <c r="B191" s="17" t="str">
        <f t="shared" si="1"/>
        <v/>
      </c>
      <c r="F191" s="17">
        <f t="shared" si="2"/>
        <v>0</v>
      </c>
    </row>
    <row r="192">
      <c r="A192" s="39"/>
      <c r="B192" s="17" t="str">
        <f t="shared" si="1"/>
        <v/>
      </c>
      <c r="F192" s="17">
        <f t="shared" si="2"/>
        <v>0</v>
      </c>
    </row>
    <row r="193">
      <c r="A193" s="39"/>
      <c r="B193" s="17" t="str">
        <f t="shared" si="1"/>
        <v/>
      </c>
      <c r="F193" s="17">
        <f t="shared" si="2"/>
        <v>0</v>
      </c>
    </row>
    <row r="194">
      <c r="A194" s="39"/>
      <c r="B194" s="17" t="str">
        <f t="shared" si="1"/>
        <v/>
      </c>
      <c r="F194" s="17">
        <f t="shared" si="2"/>
        <v>0</v>
      </c>
    </row>
    <row r="195">
      <c r="A195" s="39"/>
      <c r="B195" s="17" t="str">
        <f t="shared" si="1"/>
        <v/>
      </c>
      <c r="F195" s="17">
        <f t="shared" si="2"/>
        <v>0</v>
      </c>
    </row>
    <row r="196">
      <c r="A196" s="39"/>
      <c r="B196" s="17" t="str">
        <f t="shared" si="1"/>
        <v/>
      </c>
      <c r="F196" s="17">
        <f t="shared" si="2"/>
        <v>0</v>
      </c>
    </row>
    <row r="197">
      <c r="A197" s="39"/>
      <c r="B197" s="17" t="str">
        <f t="shared" si="1"/>
        <v/>
      </c>
      <c r="F197" s="17">
        <f t="shared" si="2"/>
        <v>0</v>
      </c>
    </row>
    <row r="198">
      <c r="A198" s="39"/>
      <c r="B198" s="17" t="str">
        <f t="shared" si="1"/>
        <v/>
      </c>
      <c r="F198" s="17">
        <f t="shared" si="2"/>
        <v>0</v>
      </c>
    </row>
    <row r="199">
      <c r="A199" s="39"/>
      <c r="B199" s="17" t="str">
        <f t="shared" si="1"/>
        <v/>
      </c>
      <c r="F199" s="17">
        <f t="shared" si="2"/>
        <v>0</v>
      </c>
    </row>
    <row r="200">
      <c r="A200" s="39"/>
      <c r="B200" s="17" t="str">
        <f t="shared" si="1"/>
        <v/>
      </c>
      <c r="F200" s="17">
        <f t="shared" si="2"/>
        <v>0</v>
      </c>
    </row>
    <row r="201">
      <c r="A201" s="39"/>
      <c r="B201" s="17" t="str">
        <f t="shared" si="1"/>
        <v/>
      </c>
      <c r="F201" s="17">
        <f t="shared" si="2"/>
        <v>0</v>
      </c>
    </row>
    <row r="202">
      <c r="A202" s="39"/>
      <c r="B202" s="17" t="str">
        <f t="shared" si="1"/>
        <v/>
      </c>
      <c r="F202" s="17">
        <f t="shared" si="2"/>
        <v>0</v>
      </c>
    </row>
    <row r="203">
      <c r="A203" s="39"/>
      <c r="B203" s="17" t="str">
        <f t="shared" si="1"/>
        <v/>
      </c>
      <c r="F203" s="17">
        <f t="shared" si="2"/>
        <v>0</v>
      </c>
    </row>
    <row r="204">
      <c r="A204" s="39"/>
      <c r="B204" s="17" t="str">
        <f t="shared" si="1"/>
        <v/>
      </c>
      <c r="F204" s="17">
        <f t="shared" si="2"/>
        <v>0</v>
      </c>
    </row>
    <row r="205">
      <c r="A205" s="39"/>
      <c r="B205" s="17" t="str">
        <f t="shared" si="1"/>
        <v/>
      </c>
      <c r="F205" s="17">
        <f t="shared" si="2"/>
        <v>0</v>
      </c>
    </row>
    <row r="206">
      <c r="A206" s="39"/>
      <c r="B206" s="17" t="str">
        <f t="shared" si="1"/>
        <v/>
      </c>
      <c r="F206" s="17">
        <f t="shared" si="2"/>
        <v>0</v>
      </c>
    </row>
    <row r="207">
      <c r="A207" s="39"/>
      <c r="B207" s="17" t="str">
        <f t="shared" si="1"/>
        <v/>
      </c>
      <c r="F207" s="17">
        <f t="shared" si="2"/>
        <v>0</v>
      </c>
    </row>
    <row r="208">
      <c r="A208" s="39"/>
      <c r="B208" s="17" t="str">
        <f t="shared" si="1"/>
        <v/>
      </c>
      <c r="F208" s="17">
        <f t="shared" si="2"/>
        <v>0</v>
      </c>
    </row>
    <row r="209">
      <c r="A209" s="39"/>
      <c r="B209" s="17" t="str">
        <f t="shared" si="1"/>
        <v/>
      </c>
      <c r="F209" s="17">
        <f t="shared" si="2"/>
        <v>0</v>
      </c>
    </row>
    <row r="210">
      <c r="A210" s="39"/>
      <c r="B210" s="17" t="str">
        <f t="shared" si="1"/>
        <v/>
      </c>
      <c r="F210" s="17">
        <f t="shared" si="2"/>
        <v>0</v>
      </c>
    </row>
    <row r="211">
      <c r="A211" s="39"/>
      <c r="B211" s="17" t="str">
        <f t="shared" si="1"/>
        <v/>
      </c>
      <c r="F211" s="17">
        <f t="shared" si="2"/>
        <v>0</v>
      </c>
    </row>
    <row r="212">
      <c r="A212" s="39"/>
      <c r="B212" s="17" t="str">
        <f t="shared" si="1"/>
        <v/>
      </c>
      <c r="F212" s="17">
        <f t="shared" si="2"/>
        <v>0</v>
      </c>
    </row>
    <row r="213">
      <c r="A213" s="39"/>
      <c r="B213" s="17" t="str">
        <f t="shared" si="1"/>
        <v/>
      </c>
      <c r="F213" s="17">
        <f t="shared" si="2"/>
        <v>0</v>
      </c>
    </row>
    <row r="214">
      <c r="A214" s="39"/>
      <c r="B214" s="17" t="str">
        <f t="shared" si="1"/>
        <v/>
      </c>
      <c r="F214" s="17">
        <f t="shared" si="2"/>
        <v>0</v>
      </c>
    </row>
    <row r="215">
      <c r="A215" s="39"/>
      <c r="B215" s="17" t="str">
        <f t="shared" si="1"/>
        <v/>
      </c>
      <c r="F215" s="17">
        <f t="shared" si="2"/>
        <v>0</v>
      </c>
    </row>
    <row r="216">
      <c r="A216" s="39"/>
      <c r="B216" s="17" t="str">
        <f t="shared" si="1"/>
        <v/>
      </c>
      <c r="F216" s="17">
        <f t="shared" si="2"/>
        <v>0</v>
      </c>
    </row>
    <row r="217">
      <c r="A217" s="39"/>
      <c r="B217" s="17" t="str">
        <f t="shared" si="1"/>
        <v/>
      </c>
      <c r="F217" s="17">
        <f t="shared" si="2"/>
        <v>0</v>
      </c>
    </row>
    <row r="218">
      <c r="A218" s="39"/>
      <c r="B218" s="17" t="str">
        <f t="shared" si="1"/>
        <v/>
      </c>
      <c r="F218" s="17">
        <f t="shared" si="2"/>
        <v>0</v>
      </c>
    </row>
    <row r="219">
      <c r="A219" s="39"/>
      <c r="B219" s="17" t="str">
        <f t="shared" si="1"/>
        <v/>
      </c>
      <c r="F219" s="17">
        <f t="shared" si="2"/>
        <v>0</v>
      </c>
    </row>
    <row r="220">
      <c r="A220" s="39"/>
      <c r="B220" s="17" t="str">
        <f t="shared" si="1"/>
        <v/>
      </c>
      <c r="F220" s="17">
        <f t="shared" si="2"/>
        <v>0</v>
      </c>
    </row>
    <row r="221">
      <c r="A221" s="39"/>
      <c r="B221" s="17" t="str">
        <f t="shared" si="1"/>
        <v/>
      </c>
      <c r="F221" s="17">
        <f t="shared" si="2"/>
        <v>0</v>
      </c>
    </row>
    <row r="222">
      <c r="A222" s="39"/>
      <c r="B222" s="17" t="str">
        <f t="shared" si="1"/>
        <v/>
      </c>
      <c r="F222" s="17">
        <f t="shared" si="2"/>
        <v>0</v>
      </c>
    </row>
    <row r="223">
      <c r="A223" s="39"/>
      <c r="B223" s="17" t="str">
        <f t="shared" si="1"/>
        <v/>
      </c>
      <c r="F223" s="17">
        <f t="shared" si="2"/>
        <v>0</v>
      </c>
    </row>
    <row r="224">
      <c r="A224" s="39"/>
      <c r="B224" s="17" t="str">
        <f t="shared" si="1"/>
        <v/>
      </c>
      <c r="F224" s="17">
        <f t="shared" si="2"/>
        <v>0</v>
      </c>
    </row>
    <row r="225">
      <c r="A225" s="39"/>
      <c r="B225" s="17" t="str">
        <f t="shared" si="1"/>
        <v/>
      </c>
      <c r="F225" s="17">
        <f t="shared" si="2"/>
        <v>0</v>
      </c>
    </row>
    <row r="226">
      <c r="A226" s="39"/>
      <c r="B226" s="17" t="str">
        <f t="shared" si="1"/>
        <v/>
      </c>
      <c r="F226" s="17">
        <f t="shared" si="2"/>
        <v>0</v>
      </c>
    </row>
    <row r="227">
      <c r="A227" s="39"/>
      <c r="B227" s="17" t="str">
        <f t="shared" si="1"/>
        <v/>
      </c>
      <c r="F227" s="17">
        <f t="shared" si="2"/>
        <v>0</v>
      </c>
    </row>
    <row r="228">
      <c r="A228" s="39"/>
      <c r="B228" s="17" t="str">
        <f t="shared" si="1"/>
        <v/>
      </c>
      <c r="F228" s="17">
        <f t="shared" si="2"/>
        <v>0</v>
      </c>
    </row>
    <row r="229">
      <c r="A229" s="39"/>
      <c r="B229" s="17" t="str">
        <f t="shared" si="1"/>
        <v/>
      </c>
      <c r="F229" s="17">
        <f t="shared" si="2"/>
        <v>0</v>
      </c>
    </row>
    <row r="230">
      <c r="A230" s="39"/>
      <c r="B230" s="17" t="str">
        <f t="shared" si="1"/>
        <v/>
      </c>
      <c r="F230" s="17">
        <f t="shared" si="2"/>
        <v>0</v>
      </c>
    </row>
    <row r="231">
      <c r="A231" s="39"/>
      <c r="B231" s="17" t="str">
        <f t="shared" si="1"/>
        <v/>
      </c>
      <c r="F231" s="17">
        <f t="shared" si="2"/>
        <v>0</v>
      </c>
    </row>
    <row r="232">
      <c r="A232" s="39"/>
      <c r="B232" s="17" t="str">
        <f t="shared" si="1"/>
        <v/>
      </c>
      <c r="F232" s="17">
        <f t="shared" si="2"/>
        <v>0</v>
      </c>
    </row>
    <row r="233">
      <c r="A233" s="39"/>
      <c r="B233" s="17" t="str">
        <f t="shared" si="1"/>
        <v/>
      </c>
      <c r="F233" s="17">
        <f t="shared" si="2"/>
        <v>0</v>
      </c>
    </row>
    <row r="234">
      <c r="A234" s="39"/>
      <c r="B234" s="17" t="str">
        <f t="shared" si="1"/>
        <v/>
      </c>
      <c r="F234" s="17">
        <f t="shared" si="2"/>
        <v>0</v>
      </c>
    </row>
    <row r="235">
      <c r="A235" s="39"/>
      <c r="B235" s="17" t="str">
        <f t="shared" si="1"/>
        <v/>
      </c>
      <c r="F235" s="17">
        <f t="shared" si="2"/>
        <v>0</v>
      </c>
    </row>
    <row r="236">
      <c r="A236" s="39"/>
      <c r="B236" s="17" t="str">
        <f t="shared" si="1"/>
        <v/>
      </c>
      <c r="F236" s="17">
        <f t="shared" si="2"/>
        <v>0</v>
      </c>
    </row>
    <row r="237">
      <c r="A237" s="39"/>
      <c r="B237" s="17" t="str">
        <f t="shared" si="1"/>
        <v/>
      </c>
      <c r="F237" s="17">
        <f t="shared" si="2"/>
        <v>0</v>
      </c>
    </row>
    <row r="238">
      <c r="A238" s="39"/>
      <c r="B238" s="17" t="str">
        <f t="shared" si="1"/>
        <v/>
      </c>
      <c r="F238" s="17">
        <f t="shared" si="2"/>
        <v>0</v>
      </c>
    </row>
    <row r="239">
      <c r="A239" s="39"/>
      <c r="B239" s="17" t="str">
        <f t="shared" si="1"/>
        <v/>
      </c>
      <c r="F239" s="17">
        <f t="shared" si="2"/>
        <v>0</v>
      </c>
    </row>
    <row r="240">
      <c r="A240" s="39"/>
      <c r="B240" s="17" t="str">
        <f t="shared" si="1"/>
        <v/>
      </c>
      <c r="F240" s="17">
        <f t="shared" si="2"/>
        <v>0</v>
      </c>
    </row>
    <row r="241">
      <c r="A241" s="39"/>
      <c r="B241" s="17" t="str">
        <f t="shared" si="1"/>
        <v/>
      </c>
      <c r="F241" s="17">
        <f t="shared" si="2"/>
        <v>0</v>
      </c>
    </row>
    <row r="242">
      <c r="A242" s="39"/>
      <c r="B242" s="17" t="str">
        <f t="shared" si="1"/>
        <v/>
      </c>
      <c r="F242" s="17">
        <f t="shared" si="2"/>
        <v>0</v>
      </c>
    </row>
    <row r="243">
      <c r="A243" s="39"/>
      <c r="B243" s="17" t="str">
        <f t="shared" si="1"/>
        <v/>
      </c>
      <c r="F243" s="17">
        <f t="shared" si="2"/>
        <v>0</v>
      </c>
    </row>
    <row r="244">
      <c r="A244" s="39"/>
      <c r="B244" s="17" t="str">
        <f t="shared" si="1"/>
        <v/>
      </c>
      <c r="F244" s="17">
        <f t="shared" si="2"/>
        <v>0</v>
      </c>
    </row>
    <row r="245">
      <c r="A245" s="39"/>
      <c r="B245" s="17" t="str">
        <f t="shared" si="1"/>
        <v/>
      </c>
      <c r="F245" s="17">
        <f t="shared" si="2"/>
        <v>0</v>
      </c>
    </row>
    <row r="246">
      <c r="A246" s="39"/>
      <c r="B246" s="17" t="str">
        <f t="shared" si="1"/>
        <v/>
      </c>
      <c r="F246" s="17">
        <f t="shared" si="2"/>
        <v>0</v>
      </c>
    </row>
    <row r="247">
      <c r="A247" s="39"/>
      <c r="B247" s="17" t="str">
        <f t="shared" si="1"/>
        <v/>
      </c>
      <c r="F247" s="17">
        <f t="shared" si="2"/>
        <v>0</v>
      </c>
    </row>
    <row r="248">
      <c r="A248" s="39"/>
      <c r="B248" s="17" t="str">
        <f t="shared" si="1"/>
        <v/>
      </c>
      <c r="F248" s="17">
        <f t="shared" si="2"/>
        <v>0</v>
      </c>
    </row>
    <row r="249">
      <c r="A249" s="39"/>
      <c r="B249" s="17" t="str">
        <f t="shared" si="1"/>
        <v/>
      </c>
      <c r="F249" s="17">
        <f t="shared" si="2"/>
        <v>0</v>
      </c>
    </row>
    <row r="250">
      <c r="A250" s="39"/>
      <c r="B250" s="17" t="str">
        <f t="shared" si="1"/>
        <v/>
      </c>
      <c r="F250" s="17">
        <f t="shared" si="2"/>
        <v>0</v>
      </c>
    </row>
    <row r="251">
      <c r="A251" s="39"/>
      <c r="B251" s="17" t="str">
        <f t="shared" si="1"/>
        <v/>
      </c>
      <c r="F251" s="17">
        <f t="shared" si="2"/>
        <v>0</v>
      </c>
    </row>
    <row r="252">
      <c r="A252" s="39"/>
      <c r="B252" s="17" t="str">
        <f t="shared" si="1"/>
        <v/>
      </c>
      <c r="F252" s="17">
        <f t="shared" si="2"/>
        <v>0</v>
      </c>
    </row>
    <row r="253">
      <c r="A253" s="39"/>
      <c r="B253" s="17" t="str">
        <f t="shared" si="1"/>
        <v/>
      </c>
      <c r="F253" s="17">
        <f t="shared" si="2"/>
        <v>0</v>
      </c>
    </row>
    <row r="254">
      <c r="A254" s="39"/>
      <c r="B254" s="17" t="str">
        <f t="shared" si="1"/>
        <v/>
      </c>
      <c r="F254" s="17">
        <f t="shared" si="2"/>
        <v>0</v>
      </c>
    </row>
    <row r="255">
      <c r="A255" s="39"/>
      <c r="B255" s="17" t="str">
        <f t="shared" si="1"/>
        <v/>
      </c>
      <c r="F255" s="17">
        <f t="shared" si="2"/>
        <v>0</v>
      </c>
    </row>
    <row r="256">
      <c r="A256" s="39"/>
      <c r="B256" s="17" t="str">
        <f t="shared" si="1"/>
        <v/>
      </c>
      <c r="F256" s="17">
        <f t="shared" si="2"/>
        <v>0</v>
      </c>
    </row>
    <row r="257">
      <c r="A257" s="39"/>
      <c r="B257" s="17" t="str">
        <f t="shared" si="1"/>
        <v/>
      </c>
      <c r="F257" s="17">
        <f t="shared" si="2"/>
        <v>0</v>
      </c>
    </row>
    <row r="258">
      <c r="A258" s="39"/>
      <c r="B258" s="17" t="str">
        <f t="shared" si="1"/>
        <v/>
      </c>
      <c r="F258" s="17">
        <f t="shared" si="2"/>
        <v>0</v>
      </c>
    </row>
    <row r="259">
      <c r="A259" s="39"/>
      <c r="B259" s="17" t="str">
        <f t="shared" si="1"/>
        <v/>
      </c>
      <c r="F259" s="17">
        <f t="shared" si="2"/>
        <v>0</v>
      </c>
    </row>
    <row r="260">
      <c r="A260" s="39"/>
      <c r="B260" s="17" t="str">
        <f t="shared" si="1"/>
        <v/>
      </c>
      <c r="F260" s="17">
        <f t="shared" si="2"/>
        <v>0</v>
      </c>
    </row>
    <row r="261">
      <c r="A261" s="39"/>
      <c r="B261" s="17" t="str">
        <f t="shared" si="1"/>
        <v/>
      </c>
      <c r="F261" s="17">
        <f t="shared" si="2"/>
        <v>0</v>
      </c>
    </row>
    <row r="262">
      <c r="A262" s="39"/>
      <c r="B262" s="17" t="str">
        <f t="shared" si="1"/>
        <v/>
      </c>
      <c r="F262" s="17">
        <f t="shared" si="2"/>
        <v>0</v>
      </c>
    </row>
    <row r="263">
      <c r="A263" s="39"/>
      <c r="B263" s="17" t="str">
        <f t="shared" si="1"/>
        <v/>
      </c>
      <c r="F263" s="17">
        <f t="shared" si="2"/>
        <v>0</v>
      </c>
    </row>
    <row r="264">
      <c r="A264" s="39"/>
      <c r="B264" s="17" t="str">
        <f t="shared" si="1"/>
        <v/>
      </c>
      <c r="F264" s="17">
        <f t="shared" si="2"/>
        <v>0</v>
      </c>
    </row>
    <row r="265">
      <c r="A265" s="39"/>
      <c r="B265" s="17" t="str">
        <f t="shared" si="1"/>
        <v/>
      </c>
      <c r="F265" s="17">
        <f t="shared" si="2"/>
        <v>0</v>
      </c>
    </row>
    <row r="266">
      <c r="A266" s="39"/>
      <c r="B266" s="17" t="str">
        <f t="shared" si="1"/>
        <v/>
      </c>
      <c r="F266" s="17">
        <f t="shared" si="2"/>
        <v>0</v>
      </c>
    </row>
    <row r="267">
      <c r="A267" s="39"/>
      <c r="B267" s="17" t="str">
        <f t="shared" si="1"/>
        <v/>
      </c>
      <c r="F267" s="17">
        <f t="shared" si="2"/>
        <v>0</v>
      </c>
    </row>
    <row r="268">
      <c r="A268" s="39"/>
      <c r="B268" s="17" t="str">
        <f t="shared" si="1"/>
        <v/>
      </c>
      <c r="F268" s="17">
        <f t="shared" si="2"/>
        <v>0</v>
      </c>
    </row>
    <row r="269">
      <c r="A269" s="39"/>
      <c r="B269" s="17" t="str">
        <f t="shared" si="1"/>
        <v/>
      </c>
      <c r="F269" s="17">
        <f t="shared" si="2"/>
        <v>0</v>
      </c>
    </row>
    <row r="270">
      <c r="A270" s="39"/>
      <c r="B270" s="17" t="str">
        <f t="shared" si="1"/>
        <v/>
      </c>
      <c r="F270" s="17">
        <f t="shared" si="2"/>
        <v>0</v>
      </c>
    </row>
    <row r="271">
      <c r="A271" s="39"/>
      <c r="B271" s="17" t="str">
        <f t="shared" si="1"/>
        <v/>
      </c>
      <c r="F271" s="17">
        <f t="shared" si="2"/>
        <v>0</v>
      </c>
    </row>
    <row r="272">
      <c r="A272" s="39"/>
      <c r="B272" s="17" t="str">
        <f t="shared" si="1"/>
        <v/>
      </c>
      <c r="F272" s="17">
        <f t="shared" si="2"/>
        <v>0</v>
      </c>
    </row>
    <row r="273">
      <c r="A273" s="39"/>
      <c r="B273" s="17" t="str">
        <f t="shared" si="1"/>
        <v/>
      </c>
      <c r="F273" s="17">
        <f t="shared" si="2"/>
        <v>0</v>
      </c>
    </row>
    <row r="274">
      <c r="A274" s="39"/>
      <c r="B274" s="17" t="str">
        <f t="shared" si="1"/>
        <v/>
      </c>
      <c r="F274" s="17">
        <f t="shared" si="2"/>
        <v>0</v>
      </c>
    </row>
    <row r="275">
      <c r="A275" s="39"/>
      <c r="B275" s="17" t="str">
        <f t="shared" si="1"/>
        <v/>
      </c>
      <c r="F275" s="17">
        <f t="shared" si="2"/>
        <v>0</v>
      </c>
    </row>
    <row r="276">
      <c r="A276" s="39"/>
      <c r="B276" s="17" t="str">
        <f t="shared" si="1"/>
        <v/>
      </c>
      <c r="F276" s="17">
        <f t="shared" si="2"/>
        <v>0</v>
      </c>
    </row>
    <row r="277">
      <c r="A277" s="39"/>
      <c r="B277" s="17" t="str">
        <f t="shared" si="1"/>
        <v/>
      </c>
      <c r="F277" s="17">
        <f t="shared" si="2"/>
        <v>0</v>
      </c>
    </row>
    <row r="278">
      <c r="A278" s="39"/>
      <c r="B278" s="17" t="str">
        <f t="shared" si="1"/>
        <v/>
      </c>
      <c r="F278" s="17">
        <f t="shared" si="2"/>
        <v>0</v>
      </c>
    </row>
    <row r="279">
      <c r="A279" s="39"/>
      <c r="B279" s="17" t="str">
        <f t="shared" si="1"/>
        <v/>
      </c>
      <c r="F279" s="17">
        <f t="shared" si="2"/>
        <v>0</v>
      </c>
    </row>
    <row r="280">
      <c r="A280" s="39"/>
      <c r="B280" s="17" t="str">
        <f t="shared" si="1"/>
        <v/>
      </c>
      <c r="F280" s="17">
        <f t="shared" si="2"/>
        <v>0</v>
      </c>
    </row>
    <row r="281">
      <c r="A281" s="39"/>
      <c r="B281" s="17" t="str">
        <f t="shared" si="1"/>
        <v/>
      </c>
      <c r="F281" s="17">
        <f t="shared" si="2"/>
        <v>0</v>
      </c>
    </row>
    <row r="282">
      <c r="A282" s="39"/>
      <c r="B282" s="17" t="str">
        <f t="shared" si="1"/>
        <v/>
      </c>
      <c r="F282" s="17">
        <f t="shared" si="2"/>
        <v>0</v>
      </c>
    </row>
    <row r="283">
      <c r="A283" s="39"/>
      <c r="B283" s="17" t="str">
        <f t="shared" si="1"/>
        <v/>
      </c>
      <c r="F283" s="17">
        <f t="shared" si="2"/>
        <v>0</v>
      </c>
    </row>
    <row r="284">
      <c r="A284" s="39"/>
      <c r="B284" s="17" t="str">
        <f t="shared" si="1"/>
        <v/>
      </c>
      <c r="F284" s="17">
        <f t="shared" si="2"/>
        <v>0</v>
      </c>
    </row>
    <row r="285">
      <c r="A285" s="39"/>
      <c r="B285" s="17" t="str">
        <f t="shared" si="1"/>
        <v/>
      </c>
      <c r="F285" s="17">
        <f t="shared" si="2"/>
        <v>0</v>
      </c>
    </row>
    <row r="286">
      <c r="A286" s="39"/>
      <c r="B286" s="17" t="str">
        <f t="shared" si="1"/>
        <v/>
      </c>
      <c r="F286" s="17">
        <f t="shared" si="2"/>
        <v>0</v>
      </c>
    </row>
    <row r="287">
      <c r="A287" s="39"/>
      <c r="B287" s="17" t="str">
        <f t="shared" si="1"/>
        <v/>
      </c>
      <c r="F287" s="17">
        <f t="shared" si="2"/>
        <v>0</v>
      </c>
    </row>
    <row r="288">
      <c r="A288" s="39"/>
      <c r="B288" s="17" t="str">
        <f t="shared" si="1"/>
        <v/>
      </c>
      <c r="F288" s="17">
        <f t="shared" si="2"/>
        <v>0</v>
      </c>
    </row>
    <row r="289">
      <c r="A289" s="39"/>
      <c r="B289" s="17" t="str">
        <f t="shared" si="1"/>
        <v/>
      </c>
      <c r="F289" s="17">
        <f t="shared" si="2"/>
        <v>0</v>
      </c>
    </row>
    <row r="290">
      <c r="A290" s="39"/>
      <c r="B290" s="17" t="str">
        <f t="shared" si="1"/>
        <v/>
      </c>
      <c r="F290" s="17">
        <f t="shared" si="2"/>
        <v>0</v>
      </c>
    </row>
    <row r="291">
      <c r="A291" s="39"/>
      <c r="B291" s="17" t="str">
        <f t="shared" si="1"/>
        <v/>
      </c>
      <c r="F291" s="17">
        <f t="shared" si="2"/>
        <v>0</v>
      </c>
    </row>
    <row r="292">
      <c r="A292" s="39"/>
      <c r="B292" s="17" t="str">
        <f t="shared" si="1"/>
        <v/>
      </c>
      <c r="F292" s="17">
        <f t="shared" si="2"/>
        <v>0</v>
      </c>
    </row>
    <row r="293">
      <c r="A293" s="39"/>
      <c r="B293" s="17" t="str">
        <f t="shared" si="1"/>
        <v/>
      </c>
      <c r="F293" s="17">
        <f t="shared" si="2"/>
        <v>0</v>
      </c>
    </row>
    <row r="294">
      <c r="A294" s="39"/>
      <c r="B294" s="17" t="str">
        <f t="shared" si="1"/>
        <v/>
      </c>
      <c r="F294" s="17">
        <f t="shared" si="2"/>
        <v>0</v>
      </c>
    </row>
    <row r="295">
      <c r="A295" s="39"/>
      <c r="B295" s="17" t="str">
        <f t="shared" si="1"/>
        <v/>
      </c>
      <c r="F295" s="17">
        <f t="shared" si="2"/>
        <v>0</v>
      </c>
    </row>
    <row r="296">
      <c r="A296" s="39"/>
      <c r="B296" s="17" t="str">
        <f t="shared" si="1"/>
        <v/>
      </c>
      <c r="F296" s="17">
        <f t="shared" si="2"/>
        <v>0</v>
      </c>
    </row>
    <row r="297">
      <c r="A297" s="39"/>
      <c r="B297" s="17" t="str">
        <f t="shared" si="1"/>
        <v/>
      </c>
      <c r="F297" s="17">
        <f t="shared" si="2"/>
        <v>0</v>
      </c>
    </row>
    <row r="298">
      <c r="A298" s="39"/>
      <c r="B298" s="17" t="str">
        <f t="shared" si="1"/>
        <v/>
      </c>
      <c r="F298" s="17">
        <f t="shared" si="2"/>
        <v>0</v>
      </c>
    </row>
    <row r="299">
      <c r="A299" s="39"/>
      <c r="B299" s="17" t="str">
        <f t="shared" si="1"/>
        <v/>
      </c>
      <c r="F299" s="17">
        <f t="shared" si="2"/>
        <v>0</v>
      </c>
    </row>
    <row r="300">
      <c r="A300" s="39"/>
      <c r="B300" s="17" t="str">
        <f t="shared" si="1"/>
        <v/>
      </c>
      <c r="F300" s="17">
        <f t="shared" si="2"/>
        <v>0</v>
      </c>
    </row>
    <row r="301">
      <c r="A301" s="39"/>
      <c r="B301" s="17" t="str">
        <f t="shared" si="1"/>
        <v/>
      </c>
      <c r="F301" s="17">
        <f t="shared" si="2"/>
        <v>0</v>
      </c>
    </row>
    <row r="302">
      <c r="A302" s="39"/>
      <c r="B302" s="17" t="str">
        <f t="shared" si="1"/>
        <v/>
      </c>
      <c r="F302" s="17">
        <f t="shared" si="2"/>
        <v>0</v>
      </c>
    </row>
    <row r="303">
      <c r="A303" s="39"/>
      <c r="B303" s="17" t="str">
        <f t="shared" si="1"/>
        <v/>
      </c>
      <c r="F303" s="17">
        <f t="shared" si="2"/>
        <v>0</v>
      </c>
    </row>
    <row r="304">
      <c r="A304" s="39"/>
      <c r="B304" s="17" t="str">
        <f t="shared" si="1"/>
        <v/>
      </c>
      <c r="F304" s="17">
        <f t="shared" si="2"/>
        <v>0</v>
      </c>
    </row>
    <row r="305">
      <c r="A305" s="39"/>
      <c r="B305" s="17" t="str">
        <f t="shared" si="1"/>
        <v/>
      </c>
      <c r="F305" s="17">
        <f t="shared" si="2"/>
        <v>0</v>
      </c>
    </row>
    <row r="306">
      <c r="A306" s="39"/>
      <c r="B306" s="17" t="str">
        <f t="shared" si="1"/>
        <v/>
      </c>
      <c r="F306" s="17">
        <f t="shared" si="2"/>
        <v>0</v>
      </c>
    </row>
    <row r="307">
      <c r="A307" s="39"/>
      <c r="B307" s="17" t="str">
        <f t="shared" si="1"/>
        <v/>
      </c>
      <c r="F307" s="17">
        <f t="shared" si="2"/>
        <v>0</v>
      </c>
    </row>
    <row r="308">
      <c r="A308" s="39"/>
      <c r="B308" s="17" t="str">
        <f t="shared" si="1"/>
        <v/>
      </c>
      <c r="F308" s="17">
        <f t="shared" si="2"/>
        <v>0</v>
      </c>
    </row>
    <row r="309">
      <c r="A309" s="39"/>
      <c r="B309" s="17" t="str">
        <f t="shared" si="1"/>
        <v/>
      </c>
      <c r="F309" s="17">
        <f t="shared" si="2"/>
        <v>0</v>
      </c>
    </row>
    <row r="310">
      <c r="A310" s="39"/>
      <c r="B310" s="17" t="str">
        <f t="shared" si="1"/>
        <v/>
      </c>
      <c r="F310" s="17">
        <f t="shared" si="2"/>
        <v>0</v>
      </c>
    </row>
    <row r="311">
      <c r="A311" s="39"/>
      <c r="B311" s="17" t="str">
        <f t="shared" si="1"/>
        <v/>
      </c>
      <c r="F311" s="17">
        <f t="shared" si="2"/>
        <v>0</v>
      </c>
    </row>
    <row r="312">
      <c r="A312" s="39"/>
      <c r="B312" s="17" t="str">
        <f t="shared" si="1"/>
        <v/>
      </c>
      <c r="F312" s="17">
        <f t="shared" si="2"/>
        <v>0</v>
      </c>
    </row>
    <row r="313">
      <c r="A313" s="39"/>
      <c r="B313" s="17" t="str">
        <f t="shared" si="1"/>
        <v/>
      </c>
      <c r="F313" s="17">
        <f t="shared" si="2"/>
        <v>0</v>
      </c>
    </row>
    <row r="314">
      <c r="A314" s="39"/>
      <c r="B314" s="17" t="str">
        <f t="shared" si="1"/>
        <v/>
      </c>
      <c r="F314" s="17">
        <f t="shared" si="2"/>
        <v>0</v>
      </c>
    </row>
    <row r="315">
      <c r="A315" s="39"/>
      <c r="B315" s="17" t="str">
        <f t="shared" si="1"/>
        <v/>
      </c>
      <c r="F315" s="17">
        <f t="shared" si="2"/>
        <v>0</v>
      </c>
    </row>
    <row r="316">
      <c r="A316" s="39"/>
      <c r="B316" s="17" t="str">
        <f t="shared" si="1"/>
        <v/>
      </c>
      <c r="F316" s="17">
        <f t="shared" si="2"/>
        <v>0</v>
      </c>
    </row>
    <row r="317">
      <c r="A317" s="39"/>
      <c r="B317" s="17" t="str">
        <f t="shared" si="1"/>
        <v/>
      </c>
      <c r="F317" s="17">
        <f t="shared" si="2"/>
        <v>0</v>
      </c>
    </row>
    <row r="318">
      <c r="A318" s="39"/>
      <c r="B318" s="17" t="str">
        <f t="shared" si="1"/>
        <v/>
      </c>
      <c r="F318" s="17">
        <f t="shared" si="2"/>
        <v>0</v>
      </c>
    </row>
    <row r="319">
      <c r="A319" s="39"/>
      <c r="B319" s="17" t="str">
        <f t="shared" si="1"/>
        <v/>
      </c>
      <c r="F319" s="17">
        <f t="shared" si="2"/>
        <v>0</v>
      </c>
    </row>
    <row r="320">
      <c r="A320" s="39"/>
      <c r="B320" s="17" t="str">
        <f t="shared" si="1"/>
        <v/>
      </c>
      <c r="F320" s="17">
        <f t="shared" si="2"/>
        <v>0</v>
      </c>
    </row>
    <row r="321">
      <c r="A321" s="39"/>
      <c r="B321" s="17" t="str">
        <f t="shared" si="1"/>
        <v/>
      </c>
      <c r="F321" s="17">
        <f t="shared" si="2"/>
        <v>0</v>
      </c>
    </row>
    <row r="322">
      <c r="A322" s="39"/>
      <c r="B322" s="17" t="str">
        <f t="shared" si="1"/>
        <v/>
      </c>
      <c r="F322" s="17">
        <f t="shared" si="2"/>
        <v>0</v>
      </c>
    </row>
    <row r="323">
      <c r="A323" s="39"/>
      <c r="B323" s="17" t="str">
        <f t="shared" si="1"/>
        <v/>
      </c>
      <c r="F323" s="17">
        <f t="shared" si="2"/>
        <v>0</v>
      </c>
    </row>
    <row r="324">
      <c r="A324" s="39"/>
      <c r="B324" s="17" t="str">
        <f t="shared" si="1"/>
        <v/>
      </c>
      <c r="F324" s="17">
        <f t="shared" si="2"/>
        <v>0</v>
      </c>
    </row>
    <row r="325">
      <c r="A325" s="39"/>
      <c r="B325" s="17" t="str">
        <f t="shared" si="1"/>
        <v/>
      </c>
      <c r="F325" s="17">
        <f t="shared" si="2"/>
        <v>0</v>
      </c>
    </row>
    <row r="326">
      <c r="A326" s="39"/>
      <c r="B326" s="17" t="str">
        <f t="shared" si="1"/>
        <v/>
      </c>
      <c r="F326" s="17">
        <f t="shared" si="2"/>
        <v>0</v>
      </c>
    </row>
    <row r="327">
      <c r="A327" s="39"/>
      <c r="B327" s="17" t="str">
        <f t="shared" si="1"/>
        <v/>
      </c>
      <c r="F327" s="17">
        <f t="shared" si="2"/>
        <v>0</v>
      </c>
    </row>
    <row r="328">
      <c r="A328" s="39"/>
      <c r="B328" s="17" t="str">
        <f t="shared" si="1"/>
        <v/>
      </c>
      <c r="F328" s="17">
        <f t="shared" si="2"/>
        <v>0</v>
      </c>
    </row>
    <row r="329">
      <c r="A329" s="39"/>
      <c r="B329" s="17" t="str">
        <f t="shared" si="1"/>
        <v/>
      </c>
      <c r="F329" s="17">
        <f t="shared" si="2"/>
        <v>0</v>
      </c>
    </row>
    <row r="330">
      <c r="A330" s="39"/>
      <c r="B330" s="17" t="str">
        <f t="shared" si="1"/>
        <v/>
      </c>
      <c r="F330" s="17">
        <f t="shared" si="2"/>
        <v>0</v>
      </c>
    </row>
    <row r="331">
      <c r="A331" s="39"/>
      <c r="B331" s="17" t="str">
        <f t="shared" si="1"/>
        <v/>
      </c>
      <c r="F331" s="17">
        <f t="shared" si="2"/>
        <v>0</v>
      </c>
    </row>
    <row r="332">
      <c r="A332" s="39"/>
      <c r="B332" s="17" t="str">
        <f t="shared" si="1"/>
        <v/>
      </c>
      <c r="F332" s="17">
        <f t="shared" si="2"/>
        <v>0</v>
      </c>
    </row>
    <row r="333">
      <c r="A333" s="39"/>
      <c r="B333" s="17" t="str">
        <f t="shared" si="1"/>
        <v/>
      </c>
      <c r="F333" s="17">
        <f t="shared" si="2"/>
        <v>0</v>
      </c>
    </row>
    <row r="334">
      <c r="A334" s="39"/>
      <c r="B334" s="17" t="str">
        <f t="shared" si="1"/>
        <v/>
      </c>
      <c r="F334" s="17">
        <f t="shared" si="2"/>
        <v>0</v>
      </c>
    </row>
    <row r="335">
      <c r="A335" s="39"/>
      <c r="B335" s="17" t="str">
        <f t="shared" si="1"/>
        <v/>
      </c>
      <c r="F335" s="17">
        <f t="shared" si="2"/>
        <v>0</v>
      </c>
    </row>
    <row r="336">
      <c r="A336" s="39"/>
      <c r="B336" s="17" t="str">
        <f t="shared" si="1"/>
        <v/>
      </c>
      <c r="F336" s="17">
        <f t="shared" si="2"/>
        <v>0</v>
      </c>
    </row>
    <row r="337">
      <c r="A337" s="39"/>
      <c r="B337" s="17" t="str">
        <f t="shared" si="1"/>
        <v/>
      </c>
      <c r="F337" s="17">
        <f t="shared" si="2"/>
        <v>0</v>
      </c>
    </row>
    <row r="338">
      <c r="A338" s="39"/>
      <c r="B338" s="17" t="str">
        <f t="shared" si="1"/>
        <v/>
      </c>
      <c r="F338" s="17">
        <f t="shared" si="2"/>
        <v>0</v>
      </c>
    </row>
    <row r="339">
      <c r="A339" s="39"/>
      <c r="B339" s="17" t="str">
        <f t="shared" si="1"/>
        <v/>
      </c>
      <c r="F339" s="17">
        <f t="shared" si="2"/>
        <v>0</v>
      </c>
    </row>
    <row r="340">
      <c r="A340" s="39"/>
      <c r="B340" s="17" t="str">
        <f t="shared" si="1"/>
        <v/>
      </c>
      <c r="F340" s="17">
        <f t="shared" si="2"/>
        <v>0</v>
      </c>
    </row>
    <row r="341">
      <c r="A341" s="39"/>
      <c r="B341" s="17" t="str">
        <f t="shared" si="1"/>
        <v/>
      </c>
      <c r="F341" s="17">
        <f t="shared" si="2"/>
        <v>0</v>
      </c>
    </row>
    <row r="342">
      <c r="A342" s="39"/>
      <c r="B342" s="17" t="str">
        <f t="shared" si="1"/>
        <v/>
      </c>
      <c r="F342" s="17">
        <f t="shared" si="2"/>
        <v>0</v>
      </c>
    </row>
    <row r="343">
      <c r="A343" s="39"/>
      <c r="B343" s="17" t="str">
        <f t="shared" si="1"/>
        <v/>
      </c>
      <c r="F343" s="17">
        <f t="shared" si="2"/>
        <v>0</v>
      </c>
    </row>
    <row r="344">
      <c r="A344" s="39"/>
      <c r="B344" s="17" t="str">
        <f t="shared" si="1"/>
        <v/>
      </c>
      <c r="F344" s="17">
        <f t="shared" si="2"/>
        <v>0</v>
      </c>
    </row>
    <row r="345">
      <c r="A345" s="39"/>
      <c r="B345" s="17" t="str">
        <f t="shared" si="1"/>
        <v/>
      </c>
      <c r="F345" s="17">
        <f t="shared" si="2"/>
        <v>0</v>
      </c>
    </row>
    <row r="346">
      <c r="A346" s="39"/>
      <c r="B346" s="17" t="str">
        <f t="shared" si="1"/>
        <v/>
      </c>
      <c r="F346" s="17">
        <f t="shared" si="2"/>
        <v>0</v>
      </c>
    </row>
    <row r="347">
      <c r="A347" s="39"/>
      <c r="B347" s="17" t="str">
        <f t="shared" si="1"/>
        <v/>
      </c>
      <c r="F347" s="17">
        <f t="shared" si="2"/>
        <v>0</v>
      </c>
    </row>
    <row r="348">
      <c r="A348" s="39"/>
      <c r="B348" s="17" t="str">
        <f t="shared" si="1"/>
        <v/>
      </c>
      <c r="F348" s="17">
        <f t="shared" si="2"/>
        <v>0</v>
      </c>
    </row>
    <row r="349">
      <c r="A349" s="39"/>
      <c r="B349" s="17" t="str">
        <f t="shared" si="1"/>
        <v/>
      </c>
      <c r="F349" s="17">
        <f t="shared" si="2"/>
        <v>0</v>
      </c>
    </row>
    <row r="350">
      <c r="A350" s="39"/>
      <c r="B350" s="17" t="str">
        <f t="shared" si="1"/>
        <v/>
      </c>
      <c r="F350" s="17">
        <f t="shared" si="2"/>
        <v>0</v>
      </c>
    </row>
    <row r="351">
      <c r="A351" s="39"/>
      <c r="B351" s="17" t="str">
        <f t="shared" si="1"/>
        <v/>
      </c>
      <c r="F351" s="17">
        <f t="shared" si="2"/>
        <v>0</v>
      </c>
    </row>
    <row r="352">
      <c r="A352" s="39"/>
      <c r="B352" s="17" t="str">
        <f t="shared" si="1"/>
        <v/>
      </c>
      <c r="F352" s="17">
        <f t="shared" si="2"/>
        <v>0</v>
      </c>
    </row>
    <row r="353">
      <c r="A353" s="39"/>
      <c r="B353" s="17" t="str">
        <f t="shared" si="1"/>
        <v/>
      </c>
      <c r="F353" s="17">
        <f t="shared" si="2"/>
        <v>0</v>
      </c>
    </row>
    <row r="354">
      <c r="A354" s="39"/>
      <c r="B354" s="17" t="str">
        <f t="shared" si="1"/>
        <v/>
      </c>
      <c r="F354" s="17">
        <f t="shared" si="2"/>
        <v>0</v>
      </c>
    </row>
    <row r="355">
      <c r="A355" s="39"/>
      <c r="B355" s="17" t="str">
        <f t="shared" si="1"/>
        <v/>
      </c>
      <c r="F355" s="17">
        <f t="shared" si="2"/>
        <v>0</v>
      </c>
    </row>
    <row r="356">
      <c r="A356" s="39"/>
      <c r="B356" s="17" t="str">
        <f t="shared" si="1"/>
        <v/>
      </c>
      <c r="F356" s="17">
        <f t="shared" si="2"/>
        <v>0</v>
      </c>
    </row>
    <row r="357">
      <c r="A357" s="39"/>
      <c r="B357" s="17" t="str">
        <f t="shared" si="1"/>
        <v/>
      </c>
      <c r="F357" s="17">
        <f t="shared" si="2"/>
        <v>0</v>
      </c>
    </row>
    <row r="358">
      <c r="A358" s="39"/>
      <c r="B358" s="17" t="str">
        <f t="shared" si="1"/>
        <v/>
      </c>
      <c r="F358" s="17">
        <f t="shared" si="2"/>
        <v>0</v>
      </c>
    </row>
    <row r="359">
      <c r="A359" s="39"/>
      <c r="B359" s="17" t="str">
        <f t="shared" si="1"/>
        <v/>
      </c>
      <c r="F359" s="17">
        <f t="shared" si="2"/>
        <v>0</v>
      </c>
    </row>
    <row r="360">
      <c r="A360" s="39"/>
      <c r="B360" s="17" t="str">
        <f t="shared" si="1"/>
        <v/>
      </c>
      <c r="F360" s="17">
        <f t="shared" si="2"/>
        <v>0</v>
      </c>
    </row>
    <row r="361">
      <c r="A361" s="39"/>
      <c r="B361" s="17" t="str">
        <f t="shared" si="1"/>
        <v/>
      </c>
      <c r="F361" s="17">
        <f t="shared" si="2"/>
        <v>0</v>
      </c>
    </row>
    <row r="362">
      <c r="A362" s="39"/>
      <c r="B362" s="17" t="str">
        <f t="shared" si="1"/>
        <v/>
      </c>
      <c r="F362" s="17">
        <f t="shared" si="2"/>
        <v>0</v>
      </c>
    </row>
    <row r="363">
      <c r="A363" s="39"/>
      <c r="B363" s="17" t="str">
        <f t="shared" si="1"/>
        <v/>
      </c>
      <c r="F363" s="17">
        <f t="shared" si="2"/>
        <v>0</v>
      </c>
    </row>
    <row r="364">
      <c r="A364" s="39"/>
      <c r="B364" s="17" t="str">
        <f t="shared" si="1"/>
        <v/>
      </c>
      <c r="F364" s="17">
        <f t="shared" si="2"/>
        <v>0</v>
      </c>
    </row>
    <row r="365">
      <c r="A365" s="39"/>
      <c r="B365" s="17" t="str">
        <f t="shared" si="1"/>
        <v/>
      </c>
      <c r="F365" s="17">
        <f t="shared" si="2"/>
        <v>0</v>
      </c>
    </row>
    <row r="366">
      <c r="A366" s="39"/>
      <c r="B366" s="17" t="str">
        <f t="shared" si="1"/>
        <v/>
      </c>
      <c r="F366" s="17">
        <f t="shared" si="2"/>
        <v>0</v>
      </c>
    </row>
    <row r="367">
      <c r="A367" s="39"/>
      <c r="B367" s="17" t="str">
        <f t="shared" si="1"/>
        <v/>
      </c>
      <c r="F367" s="17">
        <f t="shared" si="2"/>
        <v>0</v>
      </c>
    </row>
    <row r="368">
      <c r="A368" s="39"/>
      <c r="B368" s="17" t="str">
        <f t="shared" si="1"/>
        <v/>
      </c>
      <c r="F368" s="17">
        <f t="shared" si="2"/>
        <v>0</v>
      </c>
    </row>
    <row r="369">
      <c r="A369" s="39"/>
      <c r="B369" s="17" t="str">
        <f t="shared" si="1"/>
        <v/>
      </c>
      <c r="F369" s="17">
        <f t="shared" si="2"/>
        <v>0</v>
      </c>
    </row>
    <row r="370">
      <c r="A370" s="39"/>
      <c r="B370" s="17" t="str">
        <f t="shared" si="1"/>
        <v/>
      </c>
      <c r="F370" s="17">
        <f t="shared" si="2"/>
        <v>0</v>
      </c>
    </row>
    <row r="371">
      <c r="A371" s="39"/>
      <c r="B371" s="17" t="str">
        <f t="shared" si="1"/>
        <v/>
      </c>
      <c r="F371" s="17">
        <f t="shared" si="2"/>
        <v>0</v>
      </c>
    </row>
    <row r="372">
      <c r="A372" s="39"/>
      <c r="B372" s="17" t="str">
        <f t="shared" si="1"/>
        <v/>
      </c>
      <c r="F372" s="17">
        <f t="shared" si="2"/>
        <v>0</v>
      </c>
    </row>
    <row r="373">
      <c r="A373" s="39"/>
      <c r="B373" s="17" t="str">
        <f t="shared" si="1"/>
        <v/>
      </c>
      <c r="F373" s="17">
        <f t="shared" si="2"/>
        <v>0</v>
      </c>
    </row>
    <row r="374">
      <c r="A374" s="39"/>
      <c r="B374" s="17" t="str">
        <f t="shared" si="1"/>
        <v/>
      </c>
      <c r="F374" s="17">
        <f t="shared" si="2"/>
        <v>0</v>
      </c>
    </row>
    <row r="375">
      <c r="A375" s="39"/>
      <c r="B375" s="17" t="str">
        <f t="shared" si="1"/>
        <v/>
      </c>
      <c r="F375" s="17">
        <f t="shared" si="2"/>
        <v>0</v>
      </c>
    </row>
    <row r="376">
      <c r="A376" s="39"/>
      <c r="B376" s="17" t="str">
        <f t="shared" si="1"/>
        <v/>
      </c>
      <c r="F376" s="17">
        <f t="shared" si="2"/>
        <v>0</v>
      </c>
    </row>
    <row r="377">
      <c r="A377" s="39"/>
      <c r="B377" s="17" t="str">
        <f t="shared" si="1"/>
        <v/>
      </c>
      <c r="F377" s="17">
        <f t="shared" si="2"/>
        <v>0</v>
      </c>
    </row>
    <row r="378">
      <c r="A378" s="39"/>
      <c r="B378" s="17" t="str">
        <f t="shared" si="1"/>
        <v/>
      </c>
      <c r="F378" s="17">
        <f t="shared" si="2"/>
        <v>0</v>
      </c>
    </row>
    <row r="379">
      <c r="A379" s="39"/>
      <c r="B379" s="17" t="str">
        <f t="shared" si="1"/>
        <v/>
      </c>
      <c r="F379" s="17">
        <f t="shared" si="2"/>
        <v>0</v>
      </c>
    </row>
    <row r="380">
      <c r="A380" s="39"/>
      <c r="B380" s="17" t="str">
        <f t="shared" si="1"/>
        <v/>
      </c>
      <c r="F380" s="17">
        <f t="shared" si="2"/>
        <v>0</v>
      </c>
    </row>
    <row r="381">
      <c r="A381" s="39"/>
      <c r="B381" s="17" t="str">
        <f t="shared" si="1"/>
        <v/>
      </c>
      <c r="F381" s="17">
        <f t="shared" si="2"/>
        <v>0</v>
      </c>
    </row>
    <row r="382">
      <c r="A382" s="39"/>
      <c r="B382" s="17" t="str">
        <f t="shared" si="1"/>
        <v/>
      </c>
      <c r="F382" s="17">
        <f t="shared" si="2"/>
        <v>0</v>
      </c>
    </row>
    <row r="383">
      <c r="A383" s="39"/>
      <c r="B383" s="17" t="str">
        <f t="shared" si="1"/>
        <v/>
      </c>
      <c r="F383" s="17">
        <f t="shared" si="2"/>
        <v>0</v>
      </c>
    </row>
    <row r="384">
      <c r="A384" s="39"/>
      <c r="B384" s="17" t="str">
        <f t="shared" si="1"/>
        <v/>
      </c>
      <c r="F384" s="17">
        <f t="shared" si="2"/>
        <v>0</v>
      </c>
    </row>
    <row r="385">
      <c r="A385" s="39"/>
      <c r="B385" s="17" t="str">
        <f t="shared" si="1"/>
        <v/>
      </c>
      <c r="F385" s="17">
        <f t="shared" si="2"/>
        <v>0</v>
      </c>
    </row>
    <row r="386">
      <c r="A386" s="39"/>
      <c r="B386" s="17" t="str">
        <f t="shared" si="1"/>
        <v/>
      </c>
      <c r="F386" s="17">
        <f t="shared" si="2"/>
        <v>0</v>
      </c>
    </row>
    <row r="387">
      <c r="A387" s="39"/>
      <c r="B387" s="17" t="str">
        <f t="shared" si="1"/>
        <v/>
      </c>
      <c r="F387" s="17">
        <f t="shared" si="2"/>
        <v>0</v>
      </c>
    </row>
    <row r="388">
      <c r="A388" s="39"/>
      <c r="B388" s="17" t="str">
        <f t="shared" si="1"/>
        <v/>
      </c>
      <c r="F388" s="17">
        <f t="shared" si="2"/>
        <v>0</v>
      </c>
    </row>
    <row r="389">
      <c r="A389" s="39"/>
      <c r="B389" s="17" t="str">
        <f t="shared" si="1"/>
        <v/>
      </c>
      <c r="F389" s="17">
        <f t="shared" si="2"/>
        <v>0</v>
      </c>
    </row>
    <row r="390">
      <c r="A390" s="39"/>
      <c r="B390" s="17" t="str">
        <f t="shared" si="1"/>
        <v/>
      </c>
      <c r="F390" s="17">
        <f t="shared" si="2"/>
        <v>0</v>
      </c>
    </row>
    <row r="391">
      <c r="A391" s="39"/>
      <c r="B391" s="17" t="str">
        <f t="shared" si="1"/>
        <v/>
      </c>
      <c r="F391" s="17">
        <f t="shared" si="2"/>
        <v>0</v>
      </c>
    </row>
    <row r="392">
      <c r="A392" s="39"/>
      <c r="B392" s="17" t="str">
        <f t="shared" si="1"/>
        <v/>
      </c>
      <c r="F392" s="17">
        <f t="shared" si="2"/>
        <v>0</v>
      </c>
    </row>
    <row r="393">
      <c r="A393" s="39"/>
      <c r="B393" s="17" t="str">
        <f t="shared" si="1"/>
        <v/>
      </c>
      <c r="F393" s="17">
        <f t="shared" si="2"/>
        <v>0</v>
      </c>
    </row>
    <row r="394">
      <c r="A394" s="39"/>
      <c r="B394" s="17" t="str">
        <f t="shared" si="1"/>
        <v/>
      </c>
      <c r="F394" s="17">
        <f t="shared" si="2"/>
        <v>0</v>
      </c>
    </row>
    <row r="395">
      <c r="A395" s="39"/>
      <c r="B395" s="17" t="str">
        <f t="shared" si="1"/>
        <v/>
      </c>
      <c r="F395" s="17">
        <f t="shared" si="2"/>
        <v>0</v>
      </c>
    </row>
    <row r="396">
      <c r="A396" s="39"/>
      <c r="B396" s="17" t="str">
        <f t="shared" si="1"/>
        <v/>
      </c>
      <c r="F396" s="17">
        <f t="shared" si="2"/>
        <v>0</v>
      </c>
    </row>
    <row r="397">
      <c r="A397" s="39"/>
      <c r="B397" s="17" t="str">
        <f t="shared" si="1"/>
        <v/>
      </c>
      <c r="F397" s="17">
        <f t="shared" si="2"/>
        <v>0</v>
      </c>
    </row>
    <row r="398">
      <c r="A398" s="39"/>
      <c r="B398" s="17" t="str">
        <f t="shared" si="1"/>
        <v/>
      </c>
      <c r="F398" s="17">
        <f t="shared" si="2"/>
        <v>0</v>
      </c>
    </row>
    <row r="399">
      <c r="A399" s="39"/>
      <c r="B399" s="17" t="str">
        <f t="shared" si="1"/>
        <v/>
      </c>
      <c r="F399" s="17">
        <f t="shared" si="2"/>
        <v>0</v>
      </c>
    </row>
    <row r="400">
      <c r="A400" s="39"/>
      <c r="B400" s="17" t="str">
        <f t="shared" si="1"/>
        <v/>
      </c>
      <c r="F400" s="17">
        <f t="shared" si="2"/>
        <v>0</v>
      </c>
    </row>
    <row r="401">
      <c r="A401" s="39"/>
      <c r="B401" s="17" t="str">
        <f t="shared" si="1"/>
        <v/>
      </c>
      <c r="F401" s="17">
        <f t="shared" si="2"/>
        <v>0</v>
      </c>
    </row>
    <row r="402">
      <c r="A402" s="39"/>
      <c r="B402" s="17" t="str">
        <f t="shared" si="1"/>
        <v/>
      </c>
      <c r="F402" s="17">
        <f t="shared" si="2"/>
        <v>0</v>
      </c>
    </row>
    <row r="403">
      <c r="A403" s="39"/>
      <c r="B403" s="17" t="str">
        <f t="shared" si="1"/>
        <v/>
      </c>
      <c r="F403" s="17">
        <f t="shared" si="2"/>
        <v>0</v>
      </c>
    </row>
    <row r="404">
      <c r="A404" s="39"/>
      <c r="B404" s="17" t="str">
        <f t="shared" si="1"/>
        <v/>
      </c>
      <c r="F404" s="17">
        <f t="shared" si="2"/>
        <v>0</v>
      </c>
    </row>
    <row r="405">
      <c r="A405" s="39"/>
      <c r="B405" s="17" t="str">
        <f t="shared" si="1"/>
        <v/>
      </c>
      <c r="F405" s="17">
        <f t="shared" si="2"/>
        <v>0</v>
      </c>
    </row>
    <row r="406">
      <c r="A406" s="39"/>
      <c r="B406" s="17" t="str">
        <f t="shared" si="1"/>
        <v/>
      </c>
      <c r="F406" s="17">
        <f t="shared" si="2"/>
        <v>0</v>
      </c>
    </row>
    <row r="407">
      <c r="A407" s="39"/>
      <c r="B407" s="17" t="str">
        <f t="shared" si="1"/>
        <v/>
      </c>
      <c r="F407" s="17">
        <f t="shared" si="2"/>
        <v>0</v>
      </c>
    </row>
    <row r="408">
      <c r="A408" s="39"/>
      <c r="B408" s="17" t="str">
        <f t="shared" si="1"/>
        <v/>
      </c>
      <c r="F408" s="17">
        <f t="shared" si="2"/>
        <v>0</v>
      </c>
    </row>
    <row r="409">
      <c r="A409" s="39"/>
      <c r="B409" s="17" t="str">
        <f t="shared" si="1"/>
        <v/>
      </c>
      <c r="F409" s="17">
        <f t="shared" si="2"/>
        <v>0</v>
      </c>
    </row>
    <row r="410">
      <c r="A410" s="39"/>
      <c r="B410" s="17" t="str">
        <f t="shared" si="1"/>
        <v/>
      </c>
      <c r="F410" s="17">
        <f t="shared" si="2"/>
        <v>0</v>
      </c>
    </row>
    <row r="411">
      <c r="A411" s="39"/>
      <c r="B411" s="17" t="str">
        <f t="shared" si="1"/>
        <v/>
      </c>
      <c r="F411" s="17">
        <f t="shared" si="2"/>
        <v>0</v>
      </c>
    </row>
    <row r="412">
      <c r="A412" s="39"/>
      <c r="B412" s="17" t="str">
        <f t="shared" si="1"/>
        <v/>
      </c>
      <c r="F412" s="17">
        <f t="shared" si="2"/>
        <v>0</v>
      </c>
    </row>
    <row r="413">
      <c r="A413" s="39"/>
      <c r="B413" s="17" t="str">
        <f t="shared" si="1"/>
        <v/>
      </c>
      <c r="F413" s="17">
        <f t="shared" si="2"/>
        <v>0</v>
      </c>
    </row>
    <row r="414">
      <c r="A414" s="39"/>
      <c r="B414" s="17" t="str">
        <f t="shared" si="1"/>
        <v/>
      </c>
      <c r="F414" s="17">
        <f t="shared" si="2"/>
        <v>0</v>
      </c>
    </row>
    <row r="415">
      <c r="A415" s="39"/>
      <c r="B415" s="17" t="str">
        <f t="shared" si="1"/>
        <v/>
      </c>
      <c r="F415" s="17">
        <f t="shared" si="2"/>
        <v>0</v>
      </c>
    </row>
    <row r="416">
      <c r="A416" s="39"/>
      <c r="B416" s="17" t="str">
        <f t="shared" si="1"/>
        <v/>
      </c>
      <c r="F416" s="17">
        <f t="shared" si="2"/>
        <v>0</v>
      </c>
    </row>
    <row r="417">
      <c r="A417" s="39"/>
      <c r="B417" s="17" t="str">
        <f t="shared" si="1"/>
        <v/>
      </c>
      <c r="F417" s="17">
        <f t="shared" si="2"/>
        <v>0</v>
      </c>
    </row>
    <row r="418">
      <c r="A418" s="39"/>
      <c r="B418" s="17" t="str">
        <f t="shared" si="1"/>
        <v/>
      </c>
      <c r="F418" s="17">
        <f t="shared" si="2"/>
        <v>0</v>
      </c>
    </row>
    <row r="419">
      <c r="A419" s="39"/>
      <c r="B419" s="17" t="str">
        <f t="shared" si="1"/>
        <v/>
      </c>
      <c r="F419" s="17">
        <f t="shared" si="2"/>
        <v>0</v>
      </c>
    </row>
    <row r="420">
      <c r="A420" s="39"/>
      <c r="B420" s="17" t="str">
        <f t="shared" si="1"/>
        <v/>
      </c>
      <c r="F420" s="17">
        <f t="shared" si="2"/>
        <v>0</v>
      </c>
    </row>
    <row r="421">
      <c r="A421" s="39"/>
      <c r="B421" s="17" t="str">
        <f t="shared" si="1"/>
        <v/>
      </c>
      <c r="F421" s="17">
        <f t="shared" si="2"/>
        <v>0</v>
      </c>
    </row>
    <row r="422">
      <c r="A422" s="39"/>
      <c r="B422" s="17" t="str">
        <f t="shared" si="1"/>
        <v/>
      </c>
      <c r="F422" s="17">
        <f t="shared" si="2"/>
        <v>0</v>
      </c>
    </row>
    <row r="423">
      <c r="A423" s="39"/>
      <c r="B423" s="17" t="str">
        <f t="shared" si="1"/>
        <v/>
      </c>
      <c r="F423" s="17">
        <f t="shared" si="2"/>
        <v>0</v>
      </c>
    </row>
    <row r="424">
      <c r="A424" s="39"/>
      <c r="B424" s="17" t="str">
        <f t="shared" si="1"/>
        <v/>
      </c>
      <c r="F424" s="17">
        <f t="shared" si="2"/>
        <v>0</v>
      </c>
    </row>
    <row r="425">
      <c r="A425" s="39"/>
      <c r="B425" s="17" t="str">
        <f t="shared" si="1"/>
        <v/>
      </c>
      <c r="F425" s="17">
        <f t="shared" si="2"/>
        <v>0</v>
      </c>
    </row>
    <row r="426">
      <c r="A426" s="39"/>
      <c r="B426" s="17" t="str">
        <f t="shared" si="1"/>
        <v/>
      </c>
      <c r="F426" s="17">
        <f t="shared" si="2"/>
        <v>0</v>
      </c>
    </row>
    <row r="427">
      <c r="A427" s="39"/>
      <c r="B427" s="17" t="str">
        <f t="shared" si="1"/>
        <v/>
      </c>
      <c r="F427" s="17">
        <f t="shared" si="2"/>
        <v>0</v>
      </c>
    </row>
    <row r="428">
      <c r="A428" s="39"/>
      <c r="B428" s="17" t="str">
        <f t="shared" si="1"/>
        <v/>
      </c>
      <c r="F428" s="17">
        <f t="shared" si="2"/>
        <v>0</v>
      </c>
    </row>
    <row r="429">
      <c r="A429" s="39"/>
      <c r="B429" s="17" t="str">
        <f t="shared" si="1"/>
        <v/>
      </c>
      <c r="F429" s="17">
        <f t="shared" si="2"/>
        <v>0</v>
      </c>
    </row>
    <row r="430">
      <c r="A430" s="39"/>
      <c r="B430" s="17" t="str">
        <f t="shared" si="1"/>
        <v/>
      </c>
      <c r="F430" s="17">
        <f t="shared" si="2"/>
        <v>0</v>
      </c>
    </row>
    <row r="431">
      <c r="A431" s="39"/>
      <c r="B431" s="17" t="str">
        <f t="shared" si="1"/>
        <v/>
      </c>
      <c r="F431" s="17">
        <f t="shared" si="2"/>
        <v>0</v>
      </c>
    </row>
    <row r="432">
      <c r="A432" s="39"/>
      <c r="B432" s="17" t="str">
        <f t="shared" si="1"/>
        <v/>
      </c>
      <c r="F432" s="17">
        <f t="shared" si="2"/>
        <v>0</v>
      </c>
    </row>
    <row r="433">
      <c r="A433" s="39"/>
      <c r="B433" s="17" t="str">
        <f t="shared" si="1"/>
        <v/>
      </c>
      <c r="F433" s="17">
        <f t="shared" si="2"/>
        <v>0</v>
      </c>
    </row>
    <row r="434">
      <c r="A434" s="39"/>
      <c r="B434" s="17" t="str">
        <f t="shared" si="1"/>
        <v/>
      </c>
      <c r="F434" s="17">
        <f t="shared" si="2"/>
        <v>0</v>
      </c>
    </row>
    <row r="435">
      <c r="A435" s="39"/>
      <c r="B435" s="17" t="str">
        <f t="shared" si="1"/>
        <v/>
      </c>
      <c r="F435" s="17">
        <f t="shared" si="2"/>
        <v>0</v>
      </c>
    </row>
    <row r="436">
      <c r="A436" s="39"/>
      <c r="B436" s="17" t="str">
        <f t="shared" si="1"/>
        <v/>
      </c>
      <c r="F436" s="17">
        <f t="shared" si="2"/>
        <v>0</v>
      </c>
    </row>
    <row r="437">
      <c r="A437" s="39"/>
      <c r="B437" s="17" t="str">
        <f t="shared" si="1"/>
        <v/>
      </c>
      <c r="F437" s="17">
        <f t="shared" si="2"/>
        <v>0</v>
      </c>
    </row>
    <row r="438">
      <c r="A438" s="39"/>
      <c r="B438" s="17" t="str">
        <f t="shared" si="1"/>
        <v/>
      </c>
      <c r="F438" s="17">
        <f t="shared" si="2"/>
        <v>0</v>
      </c>
    </row>
    <row r="439">
      <c r="A439" s="39"/>
      <c r="B439" s="17" t="str">
        <f t="shared" si="1"/>
        <v/>
      </c>
      <c r="F439" s="17">
        <f t="shared" si="2"/>
        <v>0</v>
      </c>
    </row>
    <row r="440">
      <c r="A440" s="39"/>
      <c r="B440" s="17" t="str">
        <f t="shared" si="1"/>
        <v/>
      </c>
      <c r="F440" s="17">
        <f t="shared" si="2"/>
        <v>0</v>
      </c>
    </row>
    <row r="441">
      <c r="A441" s="39"/>
      <c r="B441" s="17" t="str">
        <f t="shared" si="1"/>
        <v/>
      </c>
      <c r="F441" s="17">
        <f t="shared" si="2"/>
        <v>0</v>
      </c>
    </row>
    <row r="442">
      <c r="A442" s="39"/>
      <c r="B442" s="17" t="str">
        <f t="shared" si="1"/>
        <v/>
      </c>
      <c r="F442" s="17">
        <f t="shared" si="2"/>
        <v>0</v>
      </c>
    </row>
    <row r="443">
      <c r="A443" s="39"/>
      <c r="B443" s="17" t="str">
        <f t="shared" si="1"/>
        <v/>
      </c>
      <c r="F443" s="17">
        <f t="shared" si="2"/>
        <v>0</v>
      </c>
    </row>
    <row r="444">
      <c r="A444" s="39"/>
      <c r="B444" s="17" t="str">
        <f t="shared" si="1"/>
        <v/>
      </c>
      <c r="F444" s="17">
        <f t="shared" si="2"/>
        <v>0</v>
      </c>
    </row>
    <row r="445">
      <c r="A445" s="39"/>
      <c r="B445" s="17" t="str">
        <f t="shared" si="1"/>
        <v/>
      </c>
      <c r="F445" s="17">
        <f t="shared" si="2"/>
        <v>0</v>
      </c>
    </row>
    <row r="446">
      <c r="A446" s="39"/>
      <c r="B446" s="17" t="str">
        <f t="shared" si="1"/>
        <v/>
      </c>
      <c r="F446" s="17">
        <f t="shared" si="2"/>
        <v>0</v>
      </c>
    </row>
    <row r="447">
      <c r="A447" s="39"/>
      <c r="B447" s="17" t="str">
        <f t="shared" si="1"/>
        <v/>
      </c>
      <c r="F447" s="17">
        <f t="shared" si="2"/>
        <v>0</v>
      </c>
    </row>
    <row r="448">
      <c r="A448" s="39"/>
      <c r="B448" s="17" t="str">
        <f t="shared" si="1"/>
        <v/>
      </c>
      <c r="F448" s="17">
        <f t="shared" si="2"/>
        <v>0</v>
      </c>
    </row>
    <row r="449">
      <c r="A449" s="39"/>
      <c r="B449" s="17" t="str">
        <f t="shared" si="1"/>
        <v/>
      </c>
      <c r="F449" s="17">
        <f t="shared" si="2"/>
        <v>0</v>
      </c>
    </row>
    <row r="450">
      <c r="A450" s="39"/>
      <c r="B450" s="17" t="str">
        <f t="shared" si="1"/>
        <v/>
      </c>
      <c r="F450" s="17">
        <f t="shared" si="2"/>
        <v>0</v>
      </c>
    </row>
    <row r="451">
      <c r="A451" s="39"/>
      <c r="B451" s="17" t="str">
        <f t="shared" si="1"/>
        <v/>
      </c>
      <c r="F451" s="17">
        <f t="shared" si="2"/>
        <v>0</v>
      </c>
    </row>
    <row r="452">
      <c r="A452" s="39"/>
      <c r="B452" s="17" t="str">
        <f t="shared" si="1"/>
        <v/>
      </c>
      <c r="F452" s="17">
        <f t="shared" si="2"/>
        <v>0</v>
      </c>
    </row>
    <row r="453">
      <c r="A453" s="39"/>
      <c r="B453" s="17" t="str">
        <f t="shared" si="1"/>
        <v/>
      </c>
      <c r="F453" s="17">
        <f t="shared" si="2"/>
        <v>0</v>
      </c>
    </row>
    <row r="454">
      <c r="A454" s="39"/>
      <c r="B454" s="17" t="str">
        <f t="shared" si="1"/>
        <v/>
      </c>
      <c r="F454" s="17">
        <f t="shared" si="2"/>
        <v>0</v>
      </c>
    </row>
    <row r="455">
      <c r="A455" s="39"/>
      <c r="B455" s="17" t="str">
        <f t="shared" si="1"/>
        <v/>
      </c>
      <c r="F455" s="17">
        <f t="shared" si="2"/>
        <v>0</v>
      </c>
    </row>
    <row r="456">
      <c r="A456" s="39"/>
      <c r="B456" s="17" t="str">
        <f t="shared" si="1"/>
        <v/>
      </c>
      <c r="F456" s="17">
        <f t="shared" si="2"/>
        <v>0</v>
      </c>
    </row>
    <row r="457">
      <c r="A457" s="39"/>
      <c r="B457" s="17" t="str">
        <f t="shared" si="1"/>
        <v/>
      </c>
      <c r="F457" s="17">
        <f t="shared" si="2"/>
        <v>0</v>
      </c>
    </row>
    <row r="458">
      <c r="A458" s="39"/>
      <c r="B458" s="17" t="str">
        <f t="shared" si="1"/>
        <v/>
      </c>
      <c r="F458" s="17">
        <f t="shared" si="2"/>
        <v>0</v>
      </c>
    </row>
    <row r="459">
      <c r="A459" s="39"/>
      <c r="B459" s="17" t="str">
        <f t="shared" si="1"/>
        <v/>
      </c>
      <c r="F459" s="17">
        <f t="shared" si="2"/>
        <v>0</v>
      </c>
    </row>
    <row r="460">
      <c r="A460" s="39"/>
      <c r="B460" s="17" t="str">
        <f t="shared" si="1"/>
        <v/>
      </c>
      <c r="F460" s="17">
        <f t="shared" si="2"/>
        <v>0</v>
      </c>
    </row>
    <row r="461">
      <c r="A461" s="39"/>
      <c r="B461" s="17" t="str">
        <f t="shared" si="1"/>
        <v/>
      </c>
      <c r="F461" s="17">
        <f t="shared" si="2"/>
        <v>0</v>
      </c>
    </row>
    <row r="462">
      <c r="A462" s="39"/>
      <c r="B462" s="17" t="str">
        <f t="shared" si="1"/>
        <v/>
      </c>
      <c r="F462" s="17">
        <f t="shared" si="2"/>
        <v>0</v>
      </c>
    </row>
    <row r="463">
      <c r="A463" s="39"/>
      <c r="B463" s="17" t="str">
        <f t="shared" si="1"/>
        <v/>
      </c>
      <c r="F463" s="17">
        <f t="shared" si="2"/>
        <v>0</v>
      </c>
    </row>
    <row r="464">
      <c r="A464" s="39"/>
      <c r="B464" s="17" t="str">
        <f t="shared" si="1"/>
        <v/>
      </c>
      <c r="F464" s="17">
        <f t="shared" si="2"/>
        <v>0</v>
      </c>
    </row>
    <row r="465">
      <c r="A465" s="39"/>
      <c r="B465" s="17" t="str">
        <f t="shared" si="1"/>
        <v/>
      </c>
      <c r="F465" s="17">
        <f t="shared" si="2"/>
        <v>0</v>
      </c>
    </row>
    <row r="466">
      <c r="A466" s="39"/>
      <c r="B466" s="17" t="str">
        <f t="shared" si="1"/>
        <v/>
      </c>
      <c r="F466" s="17">
        <f t="shared" si="2"/>
        <v>0</v>
      </c>
    </row>
    <row r="467">
      <c r="A467" s="39"/>
      <c r="B467" s="17" t="str">
        <f t="shared" si="1"/>
        <v/>
      </c>
      <c r="F467" s="17">
        <f t="shared" si="2"/>
        <v>0</v>
      </c>
    </row>
    <row r="468">
      <c r="A468" s="39"/>
      <c r="B468" s="17" t="str">
        <f t="shared" si="1"/>
        <v/>
      </c>
      <c r="F468" s="17">
        <f t="shared" si="2"/>
        <v>0</v>
      </c>
    </row>
    <row r="469">
      <c r="A469" s="39"/>
      <c r="B469" s="17" t="str">
        <f t="shared" si="1"/>
        <v/>
      </c>
      <c r="F469" s="17">
        <f t="shared" si="2"/>
        <v>0</v>
      </c>
    </row>
    <row r="470">
      <c r="A470" s="39"/>
      <c r="B470" s="17" t="str">
        <f t="shared" si="1"/>
        <v/>
      </c>
      <c r="F470" s="17">
        <f t="shared" si="2"/>
        <v>0</v>
      </c>
    </row>
    <row r="471">
      <c r="A471" s="39"/>
      <c r="B471" s="17" t="str">
        <f t="shared" si="1"/>
        <v/>
      </c>
      <c r="F471" s="17">
        <f t="shared" si="2"/>
        <v>0</v>
      </c>
    </row>
    <row r="472">
      <c r="A472" s="39"/>
      <c r="B472" s="17" t="str">
        <f t="shared" si="1"/>
        <v/>
      </c>
      <c r="F472" s="17">
        <f t="shared" si="2"/>
        <v>0</v>
      </c>
    </row>
    <row r="473">
      <c r="A473" s="39"/>
      <c r="B473" s="17" t="str">
        <f t="shared" si="1"/>
        <v/>
      </c>
      <c r="F473" s="17">
        <f t="shared" si="2"/>
        <v>0</v>
      </c>
    </row>
    <row r="474">
      <c r="A474" s="39"/>
      <c r="B474" s="17" t="str">
        <f t="shared" si="1"/>
        <v/>
      </c>
      <c r="F474" s="17">
        <f t="shared" si="2"/>
        <v>0</v>
      </c>
    </row>
    <row r="475">
      <c r="A475" s="39"/>
      <c r="B475" s="17" t="str">
        <f t="shared" si="1"/>
        <v/>
      </c>
      <c r="F475" s="17">
        <f t="shared" si="2"/>
        <v>0</v>
      </c>
    </row>
    <row r="476">
      <c r="A476" s="39"/>
      <c r="B476" s="17" t="str">
        <f t="shared" si="1"/>
        <v/>
      </c>
      <c r="F476" s="17">
        <f t="shared" si="2"/>
        <v>0</v>
      </c>
    </row>
    <row r="477">
      <c r="A477" s="39"/>
      <c r="B477" s="17" t="str">
        <f t="shared" si="1"/>
        <v/>
      </c>
      <c r="F477" s="17">
        <f t="shared" si="2"/>
        <v>0</v>
      </c>
    </row>
    <row r="478">
      <c r="A478" s="39"/>
      <c r="B478" s="17" t="str">
        <f t="shared" si="1"/>
        <v/>
      </c>
      <c r="F478" s="17">
        <f t="shared" si="2"/>
        <v>0</v>
      </c>
    </row>
    <row r="479">
      <c r="A479" s="39"/>
      <c r="B479" s="17" t="str">
        <f t="shared" si="1"/>
        <v/>
      </c>
      <c r="F479" s="17">
        <f t="shared" si="2"/>
        <v>0</v>
      </c>
    </row>
    <row r="480">
      <c r="A480" s="39"/>
      <c r="B480" s="17" t="str">
        <f t="shared" si="1"/>
        <v/>
      </c>
      <c r="F480" s="17">
        <f t="shared" si="2"/>
        <v>0</v>
      </c>
    </row>
    <row r="481">
      <c r="A481" s="39"/>
      <c r="B481" s="17" t="str">
        <f t="shared" si="1"/>
        <v/>
      </c>
      <c r="F481" s="17">
        <f t="shared" si="2"/>
        <v>0</v>
      </c>
    </row>
    <row r="482">
      <c r="A482" s="39"/>
      <c r="B482" s="17" t="str">
        <f t="shared" si="1"/>
        <v/>
      </c>
      <c r="F482" s="17">
        <f t="shared" si="2"/>
        <v>0</v>
      </c>
    </row>
    <row r="483">
      <c r="A483" s="39"/>
      <c r="B483" s="17" t="str">
        <f t="shared" si="1"/>
        <v/>
      </c>
      <c r="F483" s="17">
        <f t="shared" si="2"/>
        <v>0</v>
      </c>
    </row>
    <row r="484">
      <c r="A484" s="39"/>
      <c r="B484" s="17" t="str">
        <f t="shared" si="1"/>
        <v/>
      </c>
      <c r="F484" s="17">
        <f t="shared" si="2"/>
        <v>0</v>
      </c>
    </row>
    <row r="485">
      <c r="A485" s="39"/>
      <c r="B485" s="17" t="str">
        <f t="shared" si="1"/>
        <v/>
      </c>
      <c r="F485" s="17">
        <f t="shared" si="2"/>
        <v>0</v>
      </c>
    </row>
    <row r="486">
      <c r="A486" s="39"/>
      <c r="B486" s="17" t="str">
        <f t="shared" si="1"/>
        <v/>
      </c>
      <c r="F486" s="17">
        <f t="shared" si="2"/>
        <v>0</v>
      </c>
    </row>
    <row r="487">
      <c r="A487" s="39"/>
      <c r="B487" s="17" t="str">
        <f t="shared" si="1"/>
        <v/>
      </c>
      <c r="F487" s="17">
        <f t="shared" si="2"/>
        <v>0</v>
      </c>
    </row>
    <row r="488">
      <c r="A488" s="39"/>
      <c r="B488" s="17" t="str">
        <f t="shared" si="1"/>
        <v/>
      </c>
      <c r="F488" s="17">
        <f t="shared" si="2"/>
        <v>0</v>
      </c>
    </row>
    <row r="489">
      <c r="A489" s="39"/>
      <c r="B489" s="17" t="str">
        <f t="shared" si="1"/>
        <v/>
      </c>
      <c r="F489" s="17">
        <f t="shared" si="2"/>
        <v>0</v>
      </c>
    </row>
    <row r="490">
      <c r="A490" s="39"/>
      <c r="B490" s="17" t="str">
        <f t="shared" si="1"/>
        <v/>
      </c>
      <c r="F490" s="17">
        <f t="shared" si="2"/>
        <v>0</v>
      </c>
    </row>
    <row r="491">
      <c r="A491" s="39"/>
      <c r="B491" s="17" t="str">
        <f t="shared" si="1"/>
        <v/>
      </c>
      <c r="F491" s="17">
        <f t="shared" si="2"/>
        <v>0</v>
      </c>
    </row>
    <row r="492">
      <c r="A492" s="39"/>
      <c r="B492" s="17" t="str">
        <f t="shared" si="1"/>
        <v/>
      </c>
      <c r="F492" s="17">
        <f t="shared" si="2"/>
        <v>0</v>
      </c>
    </row>
    <row r="493">
      <c r="A493" s="39"/>
      <c r="B493" s="17" t="str">
        <f t="shared" si="1"/>
        <v/>
      </c>
      <c r="F493" s="17">
        <f t="shared" si="2"/>
        <v>0</v>
      </c>
    </row>
    <row r="494">
      <c r="A494" s="39"/>
      <c r="B494" s="17" t="str">
        <f t="shared" si="1"/>
        <v/>
      </c>
      <c r="F494" s="17">
        <f t="shared" si="2"/>
        <v>0</v>
      </c>
    </row>
    <row r="495">
      <c r="A495" s="39"/>
      <c r="B495" s="17" t="str">
        <f t="shared" si="1"/>
        <v/>
      </c>
      <c r="F495" s="17">
        <f t="shared" si="2"/>
        <v>0</v>
      </c>
    </row>
    <row r="496">
      <c r="A496" s="39"/>
      <c r="B496" s="17" t="str">
        <f t="shared" si="1"/>
        <v/>
      </c>
      <c r="F496" s="17">
        <f t="shared" si="2"/>
        <v>0</v>
      </c>
    </row>
    <row r="497">
      <c r="A497" s="39"/>
      <c r="B497" s="17" t="str">
        <f t="shared" si="1"/>
        <v/>
      </c>
      <c r="F497" s="17">
        <f t="shared" si="2"/>
        <v>0</v>
      </c>
    </row>
    <row r="498">
      <c r="A498" s="39"/>
      <c r="B498" s="17" t="str">
        <f t="shared" si="1"/>
        <v/>
      </c>
      <c r="F498" s="17">
        <f t="shared" si="2"/>
        <v>0</v>
      </c>
    </row>
    <row r="499">
      <c r="A499" s="39"/>
      <c r="B499" s="17" t="str">
        <f t="shared" si="1"/>
        <v/>
      </c>
      <c r="F499" s="17">
        <f t="shared" si="2"/>
        <v>0</v>
      </c>
    </row>
    <row r="500">
      <c r="A500" s="39"/>
      <c r="B500" s="17" t="str">
        <f t="shared" si="1"/>
        <v/>
      </c>
      <c r="F500" s="17">
        <f t="shared" si="2"/>
        <v>0</v>
      </c>
    </row>
    <row r="501">
      <c r="A501" s="39"/>
      <c r="B501" s="17" t="str">
        <f t="shared" si="1"/>
        <v/>
      </c>
      <c r="F501" s="17">
        <f t="shared" si="2"/>
        <v>0</v>
      </c>
    </row>
    <row r="502">
      <c r="A502" s="39"/>
      <c r="B502" s="17" t="str">
        <f t="shared" si="1"/>
        <v/>
      </c>
      <c r="F502" s="17">
        <f t="shared" si="2"/>
        <v>0</v>
      </c>
    </row>
    <row r="503">
      <c r="A503" s="39"/>
      <c r="B503" s="17" t="str">
        <f t="shared" si="1"/>
        <v/>
      </c>
      <c r="F503" s="17">
        <f t="shared" si="2"/>
        <v>0</v>
      </c>
    </row>
    <row r="504">
      <c r="A504" s="39"/>
      <c r="B504" s="17" t="str">
        <f t="shared" si="1"/>
        <v/>
      </c>
      <c r="F504" s="17">
        <f t="shared" si="2"/>
        <v>0</v>
      </c>
    </row>
    <row r="505">
      <c r="A505" s="39"/>
      <c r="B505" s="17" t="str">
        <f t="shared" si="1"/>
        <v/>
      </c>
      <c r="F505" s="17">
        <f t="shared" si="2"/>
        <v>0</v>
      </c>
    </row>
    <row r="506">
      <c r="A506" s="39"/>
      <c r="B506" s="17" t="str">
        <f t="shared" si="1"/>
        <v/>
      </c>
      <c r="F506" s="17">
        <f t="shared" si="2"/>
        <v>0</v>
      </c>
    </row>
    <row r="507">
      <c r="A507" s="39"/>
      <c r="B507" s="17" t="str">
        <f t="shared" si="1"/>
        <v/>
      </c>
      <c r="F507" s="17">
        <f t="shared" si="2"/>
        <v>0</v>
      </c>
    </row>
    <row r="508">
      <c r="A508" s="39"/>
      <c r="B508" s="17" t="str">
        <f t="shared" si="1"/>
        <v/>
      </c>
      <c r="F508" s="17">
        <f t="shared" si="2"/>
        <v>0</v>
      </c>
    </row>
    <row r="509">
      <c r="A509" s="39"/>
      <c r="B509" s="17" t="str">
        <f t="shared" si="1"/>
        <v/>
      </c>
      <c r="F509" s="17">
        <f t="shared" si="2"/>
        <v>0</v>
      </c>
    </row>
    <row r="510">
      <c r="A510" s="39"/>
      <c r="B510" s="17" t="str">
        <f t="shared" si="1"/>
        <v/>
      </c>
      <c r="F510" s="17">
        <f t="shared" si="2"/>
        <v>0</v>
      </c>
    </row>
    <row r="511">
      <c r="A511" s="39"/>
      <c r="B511" s="17" t="str">
        <f t="shared" si="1"/>
        <v/>
      </c>
      <c r="F511" s="17">
        <f t="shared" si="2"/>
        <v>0</v>
      </c>
    </row>
    <row r="512">
      <c r="A512" s="39"/>
      <c r="B512" s="17" t="str">
        <f t="shared" si="1"/>
        <v/>
      </c>
      <c r="F512" s="17">
        <f t="shared" si="2"/>
        <v>0</v>
      </c>
    </row>
    <row r="513">
      <c r="A513" s="39"/>
      <c r="B513" s="17" t="str">
        <f t="shared" si="1"/>
        <v/>
      </c>
      <c r="F513" s="17">
        <f t="shared" si="2"/>
        <v>0</v>
      </c>
    </row>
    <row r="514">
      <c r="A514" s="39"/>
      <c r="B514" s="17" t="str">
        <f t="shared" si="1"/>
        <v/>
      </c>
      <c r="F514" s="17">
        <f t="shared" si="2"/>
        <v>0</v>
      </c>
    </row>
    <row r="515">
      <c r="A515" s="39"/>
      <c r="B515" s="17" t="str">
        <f t="shared" si="1"/>
        <v/>
      </c>
      <c r="F515" s="17">
        <f t="shared" si="2"/>
        <v>0</v>
      </c>
    </row>
    <row r="516">
      <c r="A516" s="39"/>
      <c r="B516" s="17" t="str">
        <f t="shared" si="1"/>
        <v/>
      </c>
      <c r="F516" s="17">
        <f t="shared" si="2"/>
        <v>0</v>
      </c>
    </row>
    <row r="517">
      <c r="A517" s="39"/>
      <c r="B517" s="17" t="str">
        <f t="shared" si="1"/>
        <v/>
      </c>
      <c r="F517" s="17">
        <f t="shared" si="2"/>
        <v>0</v>
      </c>
    </row>
    <row r="518">
      <c r="A518" s="39"/>
      <c r="B518" s="17" t="str">
        <f t="shared" si="1"/>
        <v/>
      </c>
      <c r="F518" s="17">
        <f t="shared" si="2"/>
        <v>0</v>
      </c>
    </row>
    <row r="519">
      <c r="A519" s="39"/>
      <c r="B519" s="17" t="str">
        <f t="shared" si="1"/>
        <v/>
      </c>
      <c r="F519" s="17">
        <f t="shared" si="2"/>
        <v>0</v>
      </c>
    </row>
    <row r="520">
      <c r="A520" s="39"/>
      <c r="B520" s="17" t="str">
        <f t="shared" si="1"/>
        <v/>
      </c>
      <c r="F520" s="17">
        <f t="shared" si="2"/>
        <v>0</v>
      </c>
    </row>
    <row r="521">
      <c r="A521" s="39"/>
      <c r="B521" s="17" t="str">
        <f t="shared" si="1"/>
        <v/>
      </c>
      <c r="F521" s="17">
        <f t="shared" si="2"/>
        <v>0</v>
      </c>
    </row>
    <row r="522">
      <c r="A522" s="39"/>
      <c r="B522" s="17" t="str">
        <f t="shared" si="1"/>
        <v/>
      </c>
      <c r="F522" s="17">
        <f t="shared" si="2"/>
        <v>0</v>
      </c>
    </row>
    <row r="523">
      <c r="A523" s="39"/>
      <c r="B523" s="17" t="str">
        <f t="shared" si="1"/>
        <v/>
      </c>
      <c r="F523" s="17">
        <f t="shared" si="2"/>
        <v>0</v>
      </c>
    </row>
    <row r="524">
      <c r="A524" s="39"/>
      <c r="B524" s="17" t="str">
        <f t="shared" si="1"/>
        <v/>
      </c>
      <c r="F524" s="17">
        <f t="shared" si="2"/>
        <v>0</v>
      </c>
    </row>
    <row r="525">
      <c r="A525" s="39"/>
      <c r="B525" s="17" t="str">
        <f t="shared" si="1"/>
        <v/>
      </c>
      <c r="F525" s="17">
        <f t="shared" si="2"/>
        <v>0</v>
      </c>
    </row>
    <row r="526">
      <c r="A526" s="39"/>
      <c r="B526" s="17" t="str">
        <f t="shared" si="1"/>
        <v/>
      </c>
      <c r="F526" s="17">
        <f t="shared" si="2"/>
        <v>0</v>
      </c>
    </row>
    <row r="527">
      <c r="A527" s="39"/>
      <c r="B527" s="17" t="str">
        <f t="shared" si="1"/>
        <v/>
      </c>
      <c r="F527" s="17">
        <f t="shared" si="2"/>
        <v>0</v>
      </c>
    </row>
    <row r="528">
      <c r="A528" s="39"/>
      <c r="B528" s="17" t="str">
        <f t="shared" si="1"/>
        <v/>
      </c>
      <c r="F528" s="17">
        <f t="shared" si="2"/>
        <v>0</v>
      </c>
    </row>
    <row r="529">
      <c r="A529" s="39"/>
      <c r="B529" s="17" t="str">
        <f t="shared" si="1"/>
        <v/>
      </c>
      <c r="F529" s="17">
        <f t="shared" si="2"/>
        <v>0</v>
      </c>
    </row>
    <row r="530">
      <c r="A530" s="39"/>
      <c r="B530" s="17" t="str">
        <f t="shared" si="1"/>
        <v/>
      </c>
      <c r="F530" s="17">
        <f t="shared" si="2"/>
        <v>0</v>
      </c>
    </row>
    <row r="531">
      <c r="A531" s="39"/>
      <c r="B531" s="17" t="str">
        <f t="shared" si="1"/>
        <v/>
      </c>
      <c r="F531" s="17">
        <f t="shared" si="2"/>
        <v>0</v>
      </c>
    </row>
    <row r="532">
      <c r="A532" s="39"/>
      <c r="B532" s="17" t="str">
        <f t="shared" si="1"/>
        <v/>
      </c>
      <c r="F532" s="17">
        <f t="shared" si="2"/>
        <v>0</v>
      </c>
    </row>
    <row r="533">
      <c r="A533" s="39"/>
      <c r="B533" s="17" t="str">
        <f t="shared" si="1"/>
        <v/>
      </c>
      <c r="F533" s="17">
        <f t="shared" si="2"/>
        <v>0</v>
      </c>
    </row>
    <row r="534">
      <c r="A534" s="39"/>
      <c r="B534" s="17" t="str">
        <f t="shared" si="1"/>
        <v/>
      </c>
      <c r="F534" s="17">
        <f t="shared" si="2"/>
        <v>0</v>
      </c>
    </row>
    <row r="535">
      <c r="A535" s="39"/>
      <c r="B535" s="17" t="str">
        <f t="shared" si="1"/>
        <v/>
      </c>
      <c r="F535" s="17">
        <f t="shared" si="2"/>
        <v>0</v>
      </c>
    </row>
    <row r="536">
      <c r="A536" s="39"/>
      <c r="B536" s="17" t="str">
        <f t="shared" si="1"/>
        <v/>
      </c>
      <c r="F536" s="17">
        <f t="shared" si="2"/>
        <v>0</v>
      </c>
    </row>
    <row r="537">
      <c r="A537" s="39"/>
      <c r="B537" s="17" t="str">
        <f t="shared" si="1"/>
        <v/>
      </c>
      <c r="F537" s="17">
        <f t="shared" si="2"/>
        <v>0</v>
      </c>
    </row>
    <row r="538">
      <c r="A538" s="39"/>
      <c r="B538" s="17" t="str">
        <f t="shared" si="1"/>
        <v/>
      </c>
      <c r="F538" s="17">
        <f t="shared" si="2"/>
        <v>0</v>
      </c>
    </row>
    <row r="539">
      <c r="A539" s="39"/>
      <c r="B539" s="17" t="str">
        <f t="shared" si="1"/>
        <v/>
      </c>
      <c r="F539" s="17">
        <f t="shared" si="2"/>
        <v>0</v>
      </c>
    </row>
    <row r="540">
      <c r="A540" s="39"/>
      <c r="B540" s="17" t="str">
        <f t="shared" si="1"/>
        <v/>
      </c>
      <c r="F540" s="17">
        <f t="shared" si="2"/>
        <v>0</v>
      </c>
    </row>
    <row r="541">
      <c r="A541" s="39"/>
      <c r="B541" s="17" t="str">
        <f t="shared" si="1"/>
        <v/>
      </c>
      <c r="F541" s="17">
        <f t="shared" si="2"/>
        <v>0</v>
      </c>
    </row>
    <row r="542">
      <c r="A542" s="39"/>
      <c r="B542" s="17" t="str">
        <f t="shared" si="1"/>
        <v/>
      </c>
      <c r="F542" s="17">
        <f t="shared" si="2"/>
        <v>0</v>
      </c>
    </row>
    <row r="543">
      <c r="A543" s="39"/>
      <c r="B543" s="17" t="str">
        <f t="shared" si="1"/>
        <v/>
      </c>
      <c r="F543" s="17">
        <f t="shared" si="2"/>
        <v>0</v>
      </c>
    </row>
    <row r="544">
      <c r="A544" s="39"/>
      <c r="B544" s="17" t="str">
        <f t="shared" si="1"/>
        <v/>
      </c>
      <c r="F544" s="17">
        <f t="shared" si="2"/>
        <v>0</v>
      </c>
    </row>
    <row r="545">
      <c r="A545" s="39"/>
      <c r="B545" s="17" t="str">
        <f t="shared" si="1"/>
        <v/>
      </c>
      <c r="F545" s="17">
        <f t="shared" si="2"/>
        <v>0</v>
      </c>
    </row>
    <row r="546">
      <c r="A546" s="39"/>
      <c r="B546" s="17" t="str">
        <f t="shared" si="1"/>
        <v/>
      </c>
      <c r="F546" s="17">
        <f t="shared" si="2"/>
        <v>0</v>
      </c>
    </row>
    <row r="547">
      <c r="A547" s="39"/>
      <c r="B547" s="17" t="str">
        <f t="shared" si="1"/>
        <v/>
      </c>
      <c r="F547" s="17">
        <f t="shared" si="2"/>
        <v>0</v>
      </c>
    </row>
    <row r="548">
      <c r="A548" s="39"/>
      <c r="B548" s="17" t="str">
        <f t="shared" si="1"/>
        <v/>
      </c>
      <c r="F548" s="17">
        <f t="shared" si="2"/>
        <v>0</v>
      </c>
    </row>
    <row r="549">
      <c r="A549" s="39"/>
      <c r="B549" s="17" t="str">
        <f t="shared" si="1"/>
        <v/>
      </c>
      <c r="F549" s="17">
        <f t="shared" si="2"/>
        <v>0</v>
      </c>
    </row>
    <row r="550">
      <c r="A550" s="39"/>
      <c r="B550" s="17" t="str">
        <f t="shared" si="1"/>
        <v/>
      </c>
      <c r="F550" s="17">
        <f t="shared" si="2"/>
        <v>0</v>
      </c>
    </row>
    <row r="551">
      <c r="A551" s="39"/>
      <c r="B551" s="17" t="str">
        <f t="shared" si="1"/>
        <v/>
      </c>
      <c r="F551" s="17">
        <f t="shared" si="2"/>
        <v>0</v>
      </c>
    </row>
    <row r="552">
      <c r="A552" s="39"/>
      <c r="B552" s="17" t="str">
        <f t="shared" si="1"/>
        <v/>
      </c>
      <c r="F552" s="17">
        <f t="shared" si="2"/>
        <v>0</v>
      </c>
    </row>
    <row r="553">
      <c r="A553" s="39"/>
      <c r="B553" s="17" t="str">
        <f t="shared" si="1"/>
        <v/>
      </c>
      <c r="F553" s="17">
        <f t="shared" si="2"/>
        <v>0</v>
      </c>
    </row>
    <row r="554">
      <c r="A554" s="39"/>
      <c r="B554" s="17" t="str">
        <f t="shared" si="1"/>
        <v/>
      </c>
      <c r="F554" s="17">
        <f t="shared" si="2"/>
        <v>0</v>
      </c>
    </row>
    <row r="555">
      <c r="A555" s="39"/>
      <c r="B555" s="17" t="str">
        <f t="shared" si="1"/>
        <v/>
      </c>
      <c r="F555" s="17">
        <f t="shared" si="2"/>
        <v>0</v>
      </c>
    </row>
    <row r="556">
      <c r="A556" s="39"/>
      <c r="B556" s="17" t="str">
        <f t="shared" si="1"/>
        <v/>
      </c>
      <c r="F556" s="17">
        <f t="shared" si="2"/>
        <v>0</v>
      </c>
    </row>
    <row r="557">
      <c r="A557" s="39"/>
      <c r="B557" s="17" t="str">
        <f t="shared" si="1"/>
        <v/>
      </c>
      <c r="F557" s="17">
        <f t="shared" si="2"/>
        <v>0</v>
      </c>
    </row>
    <row r="558">
      <c r="A558" s="39"/>
      <c r="B558" s="17" t="str">
        <f t="shared" si="1"/>
        <v/>
      </c>
      <c r="F558" s="17">
        <f t="shared" si="2"/>
        <v>0</v>
      </c>
    </row>
    <row r="559">
      <c r="A559" s="39"/>
      <c r="B559" s="17" t="str">
        <f t="shared" si="1"/>
        <v/>
      </c>
      <c r="F559" s="17">
        <f t="shared" si="2"/>
        <v>0</v>
      </c>
    </row>
    <row r="560">
      <c r="A560" s="39"/>
      <c r="B560" s="17" t="str">
        <f t="shared" si="1"/>
        <v/>
      </c>
      <c r="F560" s="17">
        <f t="shared" si="2"/>
        <v>0</v>
      </c>
    </row>
    <row r="561">
      <c r="A561" s="39"/>
      <c r="B561" s="17" t="str">
        <f t="shared" si="1"/>
        <v/>
      </c>
      <c r="F561" s="17">
        <f t="shared" si="2"/>
        <v>0</v>
      </c>
    </row>
    <row r="562">
      <c r="A562" s="39"/>
      <c r="B562" s="17" t="str">
        <f t="shared" si="1"/>
        <v/>
      </c>
      <c r="F562" s="17">
        <f t="shared" si="2"/>
        <v>0</v>
      </c>
    </row>
    <row r="563">
      <c r="A563" s="39"/>
      <c r="B563" s="17" t="str">
        <f t="shared" si="1"/>
        <v/>
      </c>
      <c r="F563" s="17">
        <f t="shared" si="2"/>
        <v>0</v>
      </c>
    </row>
    <row r="564">
      <c r="A564" s="39"/>
      <c r="B564" s="17" t="str">
        <f t="shared" si="1"/>
        <v/>
      </c>
      <c r="F564" s="17">
        <f t="shared" si="2"/>
        <v>0</v>
      </c>
    </row>
    <row r="565">
      <c r="A565" s="39"/>
      <c r="B565" s="17" t="str">
        <f t="shared" si="1"/>
        <v/>
      </c>
      <c r="F565" s="17">
        <f t="shared" si="2"/>
        <v>0</v>
      </c>
    </row>
    <row r="566">
      <c r="A566" s="39"/>
      <c r="B566" s="17" t="str">
        <f t="shared" si="1"/>
        <v/>
      </c>
      <c r="F566" s="17">
        <f t="shared" si="2"/>
        <v>0</v>
      </c>
    </row>
    <row r="567">
      <c r="A567" s="39"/>
      <c r="B567" s="17" t="str">
        <f t="shared" si="1"/>
        <v/>
      </c>
      <c r="F567" s="17">
        <f t="shared" si="2"/>
        <v>0</v>
      </c>
    </row>
    <row r="568">
      <c r="A568" s="39"/>
      <c r="B568" s="17" t="str">
        <f t="shared" si="1"/>
        <v/>
      </c>
      <c r="F568" s="17">
        <f t="shared" si="2"/>
        <v>0</v>
      </c>
    </row>
    <row r="569">
      <c r="A569" s="39"/>
      <c r="B569" s="17" t="str">
        <f t="shared" si="1"/>
        <v/>
      </c>
      <c r="F569" s="17">
        <f t="shared" si="2"/>
        <v>0</v>
      </c>
    </row>
    <row r="570">
      <c r="A570" s="39"/>
      <c r="B570" s="17" t="str">
        <f t="shared" si="1"/>
        <v/>
      </c>
      <c r="F570" s="17">
        <f t="shared" si="2"/>
        <v>0</v>
      </c>
    </row>
    <row r="571">
      <c r="A571" s="39"/>
      <c r="B571" s="17" t="str">
        <f t="shared" si="1"/>
        <v/>
      </c>
      <c r="F571" s="17">
        <f t="shared" si="2"/>
        <v>0</v>
      </c>
    </row>
    <row r="572">
      <c r="A572" s="39"/>
      <c r="B572" s="17" t="str">
        <f t="shared" si="1"/>
        <v/>
      </c>
      <c r="F572" s="17">
        <f t="shared" si="2"/>
        <v>0</v>
      </c>
    </row>
    <row r="573">
      <c r="A573" s="39"/>
      <c r="B573" s="17" t="str">
        <f t="shared" si="1"/>
        <v/>
      </c>
      <c r="F573" s="17">
        <f t="shared" si="2"/>
        <v>0</v>
      </c>
    </row>
    <row r="574">
      <c r="A574" s="39"/>
      <c r="B574" s="17" t="str">
        <f t="shared" si="1"/>
        <v/>
      </c>
      <c r="F574" s="17">
        <f t="shared" si="2"/>
        <v>0</v>
      </c>
    </row>
    <row r="575">
      <c r="A575" s="39"/>
      <c r="B575" s="17" t="str">
        <f t="shared" si="1"/>
        <v/>
      </c>
      <c r="F575" s="17">
        <f t="shared" si="2"/>
        <v>0</v>
      </c>
    </row>
    <row r="576">
      <c r="A576" s="39"/>
      <c r="B576" s="17" t="str">
        <f t="shared" si="1"/>
        <v/>
      </c>
      <c r="F576" s="17">
        <f t="shared" si="2"/>
        <v>0</v>
      </c>
    </row>
    <row r="577">
      <c r="A577" s="39"/>
      <c r="B577" s="17" t="str">
        <f t="shared" si="1"/>
        <v/>
      </c>
      <c r="F577" s="17">
        <f t="shared" si="2"/>
        <v>0</v>
      </c>
    </row>
    <row r="578">
      <c r="A578" s="39"/>
      <c r="B578" s="17" t="str">
        <f t="shared" si="1"/>
        <v/>
      </c>
      <c r="F578" s="17">
        <f t="shared" si="2"/>
        <v>0</v>
      </c>
    </row>
    <row r="579">
      <c r="A579" s="39"/>
      <c r="B579" s="17" t="str">
        <f t="shared" si="1"/>
        <v/>
      </c>
      <c r="F579" s="17">
        <f t="shared" si="2"/>
        <v>0</v>
      </c>
    </row>
    <row r="580">
      <c r="A580" s="39"/>
      <c r="B580" s="17" t="str">
        <f t="shared" si="1"/>
        <v/>
      </c>
      <c r="F580" s="17">
        <f t="shared" si="2"/>
        <v>0</v>
      </c>
    </row>
    <row r="581">
      <c r="A581" s="39"/>
      <c r="B581" s="17" t="str">
        <f t="shared" si="1"/>
        <v/>
      </c>
      <c r="F581" s="17">
        <f t="shared" si="2"/>
        <v>0</v>
      </c>
    </row>
    <row r="582">
      <c r="A582" s="39"/>
      <c r="B582" s="17" t="str">
        <f t="shared" si="1"/>
        <v/>
      </c>
      <c r="F582" s="17">
        <f t="shared" si="2"/>
        <v>0</v>
      </c>
    </row>
    <row r="583">
      <c r="A583" s="39"/>
      <c r="B583" s="17" t="str">
        <f t="shared" si="1"/>
        <v/>
      </c>
      <c r="F583" s="17">
        <f t="shared" si="2"/>
        <v>0</v>
      </c>
    </row>
    <row r="584">
      <c r="A584" s="39"/>
      <c r="B584" s="17" t="str">
        <f t="shared" si="1"/>
        <v/>
      </c>
      <c r="F584" s="17">
        <f t="shared" si="2"/>
        <v>0</v>
      </c>
    </row>
    <row r="585">
      <c r="A585" s="39"/>
      <c r="B585" s="17" t="str">
        <f t="shared" si="1"/>
        <v/>
      </c>
      <c r="F585" s="17">
        <f t="shared" si="2"/>
        <v>0</v>
      </c>
    </row>
    <row r="586">
      <c r="A586" s="39"/>
      <c r="B586" s="17" t="str">
        <f t="shared" si="1"/>
        <v/>
      </c>
      <c r="F586" s="17">
        <f t="shared" si="2"/>
        <v>0</v>
      </c>
    </row>
    <row r="587">
      <c r="A587" s="39"/>
      <c r="B587" s="17" t="str">
        <f t="shared" si="1"/>
        <v/>
      </c>
      <c r="F587" s="17">
        <f t="shared" si="2"/>
        <v>0</v>
      </c>
    </row>
    <row r="588">
      <c r="A588" s="39"/>
      <c r="B588" s="17" t="str">
        <f t="shared" si="1"/>
        <v/>
      </c>
      <c r="F588" s="17">
        <f t="shared" si="2"/>
        <v>0</v>
      </c>
    </row>
    <row r="589">
      <c r="A589" s="39"/>
      <c r="B589" s="17" t="str">
        <f t="shared" si="1"/>
        <v/>
      </c>
      <c r="F589" s="17">
        <f t="shared" si="2"/>
        <v>0</v>
      </c>
    </row>
    <row r="590">
      <c r="A590" s="39"/>
      <c r="B590" s="17" t="str">
        <f t="shared" si="1"/>
        <v/>
      </c>
      <c r="F590" s="17">
        <f t="shared" si="2"/>
        <v>0</v>
      </c>
    </row>
    <row r="591">
      <c r="A591" s="39"/>
      <c r="B591" s="17" t="str">
        <f t="shared" si="1"/>
        <v/>
      </c>
      <c r="F591" s="17">
        <f t="shared" si="2"/>
        <v>0</v>
      </c>
    </row>
    <row r="592">
      <c r="A592" s="39"/>
      <c r="B592" s="17" t="str">
        <f t="shared" si="1"/>
        <v/>
      </c>
      <c r="F592" s="17">
        <f t="shared" si="2"/>
        <v>0</v>
      </c>
    </row>
    <row r="593">
      <c r="A593" s="39"/>
      <c r="B593" s="17" t="str">
        <f t="shared" si="1"/>
        <v/>
      </c>
      <c r="F593" s="17">
        <f t="shared" si="2"/>
        <v>0</v>
      </c>
    </row>
    <row r="594">
      <c r="A594" s="39"/>
      <c r="B594" s="17" t="str">
        <f t="shared" si="1"/>
        <v/>
      </c>
      <c r="F594" s="17">
        <f t="shared" si="2"/>
        <v>0</v>
      </c>
    </row>
    <row r="595">
      <c r="A595" s="39"/>
      <c r="B595" s="17" t="str">
        <f t="shared" si="1"/>
        <v/>
      </c>
      <c r="F595" s="17">
        <f t="shared" si="2"/>
        <v>0</v>
      </c>
    </row>
    <row r="596">
      <c r="A596" s="39"/>
      <c r="B596" s="17" t="str">
        <f t="shared" si="1"/>
        <v/>
      </c>
      <c r="F596" s="17">
        <f t="shared" si="2"/>
        <v>0</v>
      </c>
    </row>
    <row r="597">
      <c r="A597" s="39"/>
      <c r="B597" s="17" t="str">
        <f t="shared" si="1"/>
        <v/>
      </c>
      <c r="F597" s="17">
        <f t="shared" si="2"/>
        <v>0</v>
      </c>
    </row>
    <row r="598">
      <c r="A598" s="39"/>
      <c r="B598" s="17" t="str">
        <f t="shared" si="1"/>
        <v/>
      </c>
      <c r="F598" s="17">
        <f t="shared" si="2"/>
        <v>0</v>
      </c>
    </row>
    <row r="599">
      <c r="A599" s="39"/>
      <c r="B599" s="17" t="str">
        <f t="shared" si="1"/>
        <v/>
      </c>
      <c r="F599" s="17">
        <f t="shared" si="2"/>
        <v>0</v>
      </c>
    </row>
    <row r="600">
      <c r="A600" s="39"/>
      <c r="B600" s="17" t="str">
        <f t="shared" si="1"/>
        <v/>
      </c>
      <c r="F600" s="17">
        <f t="shared" si="2"/>
        <v>0</v>
      </c>
    </row>
    <row r="601">
      <c r="A601" s="39"/>
      <c r="B601" s="17" t="str">
        <f t="shared" si="1"/>
        <v/>
      </c>
      <c r="F601" s="17">
        <f t="shared" si="2"/>
        <v>0</v>
      </c>
    </row>
    <row r="602">
      <c r="A602" s="39"/>
      <c r="B602" s="17" t="str">
        <f t="shared" si="1"/>
        <v/>
      </c>
      <c r="F602" s="17">
        <f t="shared" si="2"/>
        <v>0</v>
      </c>
    </row>
    <row r="603">
      <c r="A603" s="39"/>
      <c r="B603" s="17" t="str">
        <f t="shared" si="1"/>
        <v/>
      </c>
      <c r="F603" s="17">
        <f t="shared" si="2"/>
        <v>0</v>
      </c>
    </row>
    <row r="604">
      <c r="A604" s="39"/>
      <c r="B604" s="17" t="str">
        <f t="shared" si="1"/>
        <v/>
      </c>
      <c r="F604" s="17">
        <f t="shared" si="2"/>
        <v>0</v>
      </c>
    </row>
    <row r="605">
      <c r="A605" s="39"/>
      <c r="B605" s="17" t="str">
        <f t="shared" si="1"/>
        <v/>
      </c>
      <c r="F605" s="17">
        <f t="shared" si="2"/>
        <v>0</v>
      </c>
    </row>
    <row r="606">
      <c r="A606" s="39"/>
      <c r="B606" s="17" t="str">
        <f t="shared" si="1"/>
        <v/>
      </c>
      <c r="F606" s="17">
        <f t="shared" si="2"/>
        <v>0</v>
      </c>
    </row>
    <row r="607">
      <c r="A607" s="39"/>
      <c r="B607" s="17" t="str">
        <f t="shared" si="1"/>
        <v/>
      </c>
      <c r="F607" s="17">
        <f t="shared" si="2"/>
        <v>0</v>
      </c>
    </row>
    <row r="608">
      <c r="A608" s="39"/>
      <c r="B608" s="17" t="str">
        <f t="shared" si="1"/>
        <v/>
      </c>
      <c r="F608" s="17">
        <f t="shared" si="2"/>
        <v>0</v>
      </c>
    </row>
    <row r="609">
      <c r="A609" s="39"/>
      <c r="B609" s="17" t="str">
        <f t="shared" si="1"/>
        <v/>
      </c>
      <c r="F609" s="17">
        <f t="shared" si="2"/>
        <v>0</v>
      </c>
    </row>
    <row r="610">
      <c r="A610" s="39"/>
      <c r="B610" s="17" t="str">
        <f t="shared" si="1"/>
        <v/>
      </c>
      <c r="F610" s="17">
        <f t="shared" si="2"/>
        <v>0</v>
      </c>
    </row>
    <row r="611">
      <c r="A611" s="39"/>
      <c r="B611" s="17" t="str">
        <f t="shared" si="1"/>
        <v/>
      </c>
      <c r="F611" s="17">
        <f t="shared" si="2"/>
        <v>0</v>
      </c>
    </row>
    <row r="612">
      <c r="A612" s="39"/>
      <c r="B612" s="17" t="str">
        <f t="shared" si="1"/>
        <v/>
      </c>
      <c r="F612" s="17">
        <f t="shared" si="2"/>
        <v>0</v>
      </c>
    </row>
    <row r="613">
      <c r="A613" s="39"/>
      <c r="B613" s="17" t="str">
        <f t="shared" si="1"/>
        <v/>
      </c>
      <c r="F613" s="17">
        <f t="shared" si="2"/>
        <v>0</v>
      </c>
    </row>
    <row r="614">
      <c r="A614" s="39"/>
      <c r="B614" s="17" t="str">
        <f t="shared" si="1"/>
        <v/>
      </c>
      <c r="F614" s="17">
        <f t="shared" si="2"/>
        <v>0</v>
      </c>
    </row>
    <row r="615">
      <c r="A615" s="39"/>
      <c r="B615" s="17" t="str">
        <f t="shared" si="1"/>
        <v/>
      </c>
      <c r="F615" s="17">
        <f t="shared" si="2"/>
        <v>0</v>
      </c>
    </row>
    <row r="616">
      <c r="A616" s="39"/>
      <c r="B616" s="17" t="str">
        <f t="shared" si="1"/>
        <v/>
      </c>
      <c r="F616" s="17">
        <f t="shared" si="2"/>
        <v>0</v>
      </c>
    </row>
    <row r="617">
      <c r="A617" s="39"/>
      <c r="B617" s="17" t="str">
        <f t="shared" si="1"/>
        <v/>
      </c>
      <c r="F617" s="17">
        <f t="shared" si="2"/>
        <v>0</v>
      </c>
    </row>
    <row r="618">
      <c r="A618" s="39"/>
      <c r="B618" s="17" t="str">
        <f t="shared" si="1"/>
        <v/>
      </c>
      <c r="F618" s="17">
        <f t="shared" si="2"/>
        <v>0</v>
      </c>
    </row>
    <row r="619">
      <c r="A619" s="39"/>
      <c r="B619" s="17" t="str">
        <f t="shared" si="1"/>
        <v/>
      </c>
      <c r="F619" s="17">
        <f t="shared" si="2"/>
        <v>0</v>
      </c>
    </row>
    <row r="620">
      <c r="A620" s="39"/>
      <c r="B620" s="17" t="str">
        <f t="shared" si="1"/>
        <v/>
      </c>
      <c r="F620" s="17">
        <f t="shared" si="2"/>
        <v>0</v>
      </c>
    </row>
    <row r="621">
      <c r="A621" s="39"/>
      <c r="B621" s="17" t="str">
        <f t="shared" si="1"/>
        <v/>
      </c>
      <c r="F621" s="17">
        <f t="shared" si="2"/>
        <v>0</v>
      </c>
    </row>
    <row r="622">
      <c r="A622" s="39"/>
      <c r="B622" s="17" t="str">
        <f t="shared" si="1"/>
        <v/>
      </c>
      <c r="F622" s="17">
        <f t="shared" si="2"/>
        <v>0</v>
      </c>
    </row>
    <row r="623">
      <c r="A623" s="39"/>
      <c r="B623" s="17" t="str">
        <f t="shared" si="1"/>
        <v/>
      </c>
      <c r="F623" s="17">
        <f t="shared" si="2"/>
        <v>0</v>
      </c>
    </row>
    <row r="624">
      <c r="A624" s="39"/>
      <c r="B624" s="17" t="str">
        <f t="shared" si="1"/>
        <v/>
      </c>
      <c r="F624" s="17">
        <f t="shared" si="2"/>
        <v>0</v>
      </c>
    </row>
    <row r="625">
      <c r="A625" s="39"/>
      <c r="B625" s="17" t="str">
        <f t="shared" si="1"/>
        <v/>
      </c>
      <c r="F625" s="17">
        <f t="shared" si="2"/>
        <v>0</v>
      </c>
    </row>
    <row r="626">
      <c r="A626" s="39"/>
      <c r="B626" s="17" t="str">
        <f t="shared" si="1"/>
        <v/>
      </c>
      <c r="F626" s="17">
        <f t="shared" si="2"/>
        <v>0</v>
      </c>
    </row>
    <row r="627">
      <c r="A627" s="39"/>
      <c r="B627" s="17" t="str">
        <f t="shared" si="1"/>
        <v/>
      </c>
      <c r="F627" s="17">
        <f t="shared" si="2"/>
        <v>0</v>
      </c>
    </row>
    <row r="628">
      <c r="A628" s="39"/>
      <c r="B628" s="17" t="str">
        <f t="shared" si="1"/>
        <v/>
      </c>
      <c r="F628" s="17">
        <f t="shared" si="2"/>
        <v>0</v>
      </c>
    </row>
    <row r="629">
      <c r="A629" s="39"/>
      <c r="B629" s="17" t="str">
        <f t="shared" si="1"/>
        <v/>
      </c>
      <c r="F629" s="17">
        <f t="shared" si="2"/>
        <v>0</v>
      </c>
    </row>
    <row r="630">
      <c r="A630" s="39"/>
      <c r="B630" s="17" t="str">
        <f t="shared" si="1"/>
        <v/>
      </c>
      <c r="F630" s="17">
        <f t="shared" si="2"/>
        <v>0</v>
      </c>
    </row>
    <row r="631">
      <c r="A631" s="39"/>
      <c r="B631" s="17" t="str">
        <f t="shared" si="1"/>
        <v/>
      </c>
      <c r="F631" s="17">
        <f t="shared" si="2"/>
        <v>0</v>
      </c>
    </row>
    <row r="632">
      <c r="A632" s="39"/>
      <c r="B632" s="17" t="str">
        <f t="shared" si="1"/>
        <v/>
      </c>
      <c r="F632" s="17">
        <f t="shared" si="2"/>
        <v>0</v>
      </c>
    </row>
    <row r="633">
      <c r="A633" s="39"/>
      <c r="B633" s="17" t="str">
        <f t="shared" si="1"/>
        <v/>
      </c>
      <c r="F633" s="17">
        <f t="shared" si="2"/>
        <v>0</v>
      </c>
    </row>
    <row r="634">
      <c r="A634" s="39"/>
      <c r="B634" s="17" t="str">
        <f t="shared" si="1"/>
        <v/>
      </c>
      <c r="F634" s="17">
        <f t="shared" si="2"/>
        <v>0</v>
      </c>
    </row>
    <row r="635">
      <c r="A635" s="39"/>
      <c r="B635" s="17" t="str">
        <f t="shared" si="1"/>
        <v/>
      </c>
      <c r="F635" s="17">
        <f t="shared" si="2"/>
        <v>0</v>
      </c>
    </row>
    <row r="636">
      <c r="A636" s="39"/>
      <c r="B636" s="17" t="str">
        <f t="shared" si="1"/>
        <v/>
      </c>
      <c r="F636" s="17">
        <f t="shared" si="2"/>
        <v>0</v>
      </c>
    </row>
    <row r="637">
      <c r="A637" s="39"/>
      <c r="B637" s="17" t="str">
        <f t="shared" si="1"/>
        <v/>
      </c>
      <c r="F637" s="17">
        <f t="shared" si="2"/>
        <v>0</v>
      </c>
    </row>
    <row r="638">
      <c r="A638" s="39"/>
      <c r="B638" s="17" t="str">
        <f t="shared" si="1"/>
        <v/>
      </c>
      <c r="F638" s="17">
        <f t="shared" si="2"/>
        <v>0</v>
      </c>
    </row>
    <row r="639">
      <c r="A639" s="39"/>
      <c r="B639" s="17" t="str">
        <f t="shared" si="1"/>
        <v/>
      </c>
      <c r="F639" s="17">
        <f t="shared" si="2"/>
        <v>0</v>
      </c>
    </row>
    <row r="640">
      <c r="A640" s="39"/>
      <c r="B640" s="17" t="str">
        <f t="shared" si="1"/>
        <v/>
      </c>
      <c r="F640" s="17">
        <f t="shared" si="2"/>
        <v>0</v>
      </c>
    </row>
    <row r="641">
      <c r="A641" s="39"/>
      <c r="B641" s="17" t="str">
        <f t="shared" si="1"/>
        <v/>
      </c>
      <c r="F641" s="17">
        <f t="shared" si="2"/>
        <v>0</v>
      </c>
    </row>
    <row r="642">
      <c r="A642" s="39"/>
      <c r="B642" s="17" t="str">
        <f t="shared" si="1"/>
        <v/>
      </c>
      <c r="F642" s="17">
        <f t="shared" si="2"/>
        <v>0</v>
      </c>
    </row>
    <row r="643">
      <c r="A643" s="39"/>
      <c r="B643" s="17" t="str">
        <f t="shared" si="1"/>
        <v/>
      </c>
      <c r="F643" s="17">
        <f t="shared" si="2"/>
        <v>0</v>
      </c>
    </row>
    <row r="644">
      <c r="A644" s="39"/>
      <c r="B644" s="17" t="str">
        <f t="shared" si="1"/>
        <v/>
      </c>
      <c r="F644" s="17">
        <f t="shared" si="2"/>
        <v>0</v>
      </c>
    </row>
    <row r="645">
      <c r="A645" s="39"/>
      <c r="B645" s="17" t="str">
        <f t="shared" si="1"/>
        <v/>
      </c>
      <c r="F645" s="17">
        <f t="shared" si="2"/>
        <v>0</v>
      </c>
    </row>
    <row r="646">
      <c r="A646" s="39"/>
      <c r="B646" s="17" t="str">
        <f t="shared" si="1"/>
        <v/>
      </c>
      <c r="F646" s="17">
        <f t="shared" si="2"/>
        <v>0</v>
      </c>
    </row>
    <row r="647">
      <c r="A647" s="39"/>
      <c r="B647" s="17" t="str">
        <f t="shared" si="1"/>
        <v/>
      </c>
      <c r="F647" s="17">
        <f t="shared" si="2"/>
        <v>0</v>
      </c>
    </row>
    <row r="648">
      <c r="A648" s="39"/>
      <c r="B648" s="17" t="str">
        <f t="shared" si="1"/>
        <v/>
      </c>
      <c r="F648" s="17">
        <f t="shared" si="2"/>
        <v>0</v>
      </c>
    </row>
    <row r="649">
      <c r="A649" s="39"/>
      <c r="B649" s="17" t="str">
        <f t="shared" si="1"/>
        <v/>
      </c>
      <c r="F649" s="17">
        <f t="shared" si="2"/>
        <v>0</v>
      </c>
    </row>
    <row r="650">
      <c r="A650" s="39"/>
      <c r="B650" s="17" t="str">
        <f t="shared" si="1"/>
        <v/>
      </c>
      <c r="F650" s="17">
        <f t="shared" si="2"/>
        <v>0</v>
      </c>
    </row>
    <row r="651">
      <c r="A651" s="39"/>
      <c r="B651" s="17" t="str">
        <f t="shared" si="1"/>
        <v/>
      </c>
      <c r="F651" s="17">
        <f t="shared" si="2"/>
        <v>0</v>
      </c>
    </row>
    <row r="652">
      <c r="A652" s="39"/>
      <c r="B652" s="17" t="str">
        <f t="shared" si="1"/>
        <v/>
      </c>
      <c r="F652" s="17">
        <f t="shared" si="2"/>
        <v>0</v>
      </c>
    </row>
    <row r="653">
      <c r="A653" s="39"/>
      <c r="B653" s="17" t="str">
        <f t="shared" si="1"/>
        <v/>
      </c>
      <c r="F653" s="17">
        <f t="shared" si="2"/>
        <v>0</v>
      </c>
    </row>
    <row r="654">
      <c r="A654" s="39"/>
      <c r="B654" s="17" t="str">
        <f t="shared" si="1"/>
        <v/>
      </c>
      <c r="F654" s="17">
        <f t="shared" si="2"/>
        <v>0</v>
      </c>
    </row>
    <row r="655">
      <c r="A655" s="39"/>
      <c r="B655" s="17" t="str">
        <f t="shared" si="1"/>
        <v/>
      </c>
      <c r="F655" s="17">
        <f t="shared" si="2"/>
        <v>0</v>
      </c>
    </row>
    <row r="656">
      <c r="A656" s="39"/>
      <c r="B656" s="17" t="str">
        <f t="shared" si="1"/>
        <v/>
      </c>
      <c r="F656" s="17">
        <f t="shared" si="2"/>
        <v>0</v>
      </c>
    </row>
    <row r="657">
      <c r="A657" s="39"/>
      <c r="B657" s="17" t="str">
        <f t="shared" si="1"/>
        <v/>
      </c>
      <c r="F657" s="17">
        <f t="shared" si="2"/>
        <v>0</v>
      </c>
    </row>
    <row r="658">
      <c r="A658" s="39"/>
      <c r="B658" s="17" t="str">
        <f t="shared" si="1"/>
        <v/>
      </c>
      <c r="F658" s="17">
        <f t="shared" si="2"/>
        <v>0</v>
      </c>
    </row>
    <row r="659">
      <c r="A659" s="39"/>
      <c r="B659" s="17" t="str">
        <f t="shared" si="1"/>
        <v/>
      </c>
      <c r="F659" s="17">
        <f t="shared" si="2"/>
        <v>0</v>
      </c>
    </row>
    <row r="660">
      <c r="A660" s="39"/>
      <c r="B660" s="17" t="str">
        <f t="shared" si="1"/>
        <v/>
      </c>
      <c r="F660" s="17">
        <f t="shared" si="2"/>
        <v>0</v>
      </c>
    </row>
    <row r="661">
      <c r="A661" s="39"/>
      <c r="B661" s="17" t="str">
        <f t="shared" si="1"/>
        <v/>
      </c>
      <c r="F661" s="17">
        <f t="shared" si="2"/>
        <v>0</v>
      </c>
    </row>
    <row r="662">
      <c r="A662" s="39"/>
      <c r="B662" s="17" t="str">
        <f t="shared" si="1"/>
        <v/>
      </c>
      <c r="F662" s="17">
        <f t="shared" si="2"/>
        <v>0</v>
      </c>
    </row>
    <row r="663">
      <c r="A663" s="39"/>
      <c r="B663" s="17" t="str">
        <f t="shared" si="1"/>
        <v/>
      </c>
      <c r="F663" s="17">
        <f t="shared" si="2"/>
        <v>0</v>
      </c>
    </row>
    <row r="664">
      <c r="A664" s="39"/>
      <c r="B664" s="17" t="str">
        <f t="shared" si="1"/>
        <v/>
      </c>
      <c r="F664" s="17">
        <f t="shared" si="2"/>
        <v>0</v>
      </c>
    </row>
    <row r="665">
      <c r="A665" s="39"/>
      <c r="B665" s="17" t="str">
        <f t="shared" si="1"/>
        <v/>
      </c>
      <c r="F665" s="17">
        <f t="shared" si="2"/>
        <v>0</v>
      </c>
    </row>
    <row r="666">
      <c r="A666" s="39"/>
      <c r="B666" s="17" t="str">
        <f t="shared" si="1"/>
        <v/>
      </c>
      <c r="F666" s="17">
        <f t="shared" si="2"/>
        <v>0</v>
      </c>
    </row>
    <row r="667">
      <c r="A667" s="39"/>
      <c r="B667" s="17" t="str">
        <f t="shared" si="1"/>
        <v/>
      </c>
      <c r="F667" s="17">
        <f t="shared" si="2"/>
        <v>0</v>
      </c>
    </row>
    <row r="668">
      <c r="A668" s="39"/>
      <c r="B668" s="17" t="str">
        <f t="shared" si="1"/>
        <v/>
      </c>
      <c r="F668" s="17">
        <f t="shared" si="2"/>
        <v>0</v>
      </c>
    </row>
    <row r="669">
      <c r="A669" s="39"/>
      <c r="B669" s="17" t="str">
        <f t="shared" si="1"/>
        <v/>
      </c>
      <c r="F669" s="17">
        <f t="shared" si="2"/>
        <v>0</v>
      </c>
    </row>
    <row r="670">
      <c r="A670" s="39"/>
      <c r="B670" s="17" t="str">
        <f t="shared" si="1"/>
        <v/>
      </c>
      <c r="F670" s="17">
        <f t="shared" si="2"/>
        <v>0</v>
      </c>
    </row>
    <row r="671">
      <c r="A671" s="39"/>
      <c r="B671" s="17" t="str">
        <f t="shared" si="1"/>
        <v/>
      </c>
      <c r="F671" s="17">
        <f t="shared" si="2"/>
        <v>0</v>
      </c>
    </row>
    <row r="672">
      <c r="A672" s="39"/>
      <c r="B672" s="17" t="str">
        <f t="shared" si="1"/>
        <v/>
      </c>
      <c r="F672" s="17">
        <f t="shared" si="2"/>
        <v>0</v>
      </c>
    </row>
    <row r="673">
      <c r="A673" s="39"/>
      <c r="B673" s="17" t="str">
        <f t="shared" si="1"/>
        <v/>
      </c>
      <c r="F673" s="17">
        <f t="shared" si="2"/>
        <v>0</v>
      </c>
    </row>
    <row r="674">
      <c r="A674" s="39"/>
      <c r="B674" s="17" t="str">
        <f t="shared" si="1"/>
        <v/>
      </c>
      <c r="F674" s="17">
        <f t="shared" si="2"/>
        <v>0</v>
      </c>
    </row>
    <row r="675">
      <c r="A675" s="39"/>
      <c r="B675" s="17" t="str">
        <f t="shared" si="1"/>
        <v/>
      </c>
      <c r="F675" s="17">
        <f t="shared" si="2"/>
        <v>0</v>
      </c>
    </row>
    <row r="676">
      <c r="A676" s="39"/>
      <c r="B676" s="17" t="str">
        <f t="shared" si="1"/>
        <v/>
      </c>
      <c r="F676" s="17">
        <f t="shared" si="2"/>
        <v>0</v>
      </c>
    </row>
    <row r="677">
      <c r="A677" s="39"/>
      <c r="B677" s="17" t="str">
        <f t="shared" si="1"/>
        <v/>
      </c>
      <c r="F677" s="17">
        <f t="shared" si="2"/>
        <v>0</v>
      </c>
    </row>
    <row r="678">
      <c r="A678" s="39"/>
      <c r="B678" s="17" t="str">
        <f t="shared" si="1"/>
        <v/>
      </c>
      <c r="F678" s="17">
        <f t="shared" si="2"/>
        <v>0</v>
      </c>
    </row>
    <row r="679">
      <c r="A679" s="39"/>
      <c r="B679" s="17" t="str">
        <f t="shared" si="1"/>
        <v/>
      </c>
      <c r="F679" s="17">
        <f t="shared" si="2"/>
        <v>0</v>
      </c>
    </row>
    <row r="680">
      <c r="A680" s="39"/>
      <c r="B680" s="17" t="str">
        <f t="shared" si="1"/>
        <v/>
      </c>
      <c r="F680" s="17">
        <f t="shared" si="2"/>
        <v>0</v>
      </c>
    </row>
    <row r="681">
      <c r="A681" s="39"/>
      <c r="B681" s="17" t="str">
        <f t="shared" si="1"/>
        <v/>
      </c>
      <c r="F681" s="17">
        <f t="shared" si="2"/>
        <v>0</v>
      </c>
    </row>
    <row r="682">
      <c r="A682" s="39"/>
      <c r="B682" s="17" t="str">
        <f t="shared" si="1"/>
        <v/>
      </c>
      <c r="F682" s="17">
        <f t="shared" si="2"/>
        <v>0</v>
      </c>
    </row>
    <row r="683">
      <c r="A683" s="39"/>
      <c r="B683" s="17" t="str">
        <f t="shared" si="1"/>
        <v/>
      </c>
      <c r="F683" s="17">
        <f t="shared" si="2"/>
        <v>0</v>
      </c>
    </row>
    <row r="684">
      <c r="A684" s="39"/>
      <c r="B684" s="17" t="str">
        <f t="shared" si="1"/>
        <v/>
      </c>
      <c r="F684" s="17">
        <f t="shared" si="2"/>
        <v>0</v>
      </c>
    </row>
    <row r="685">
      <c r="A685" s="39"/>
      <c r="B685" s="17" t="str">
        <f t="shared" si="1"/>
        <v/>
      </c>
      <c r="F685" s="17">
        <f t="shared" si="2"/>
        <v>0</v>
      </c>
    </row>
    <row r="686">
      <c r="A686" s="39"/>
      <c r="B686" s="17" t="str">
        <f t="shared" si="1"/>
        <v/>
      </c>
      <c r="F686" s="17">
        <f t="shared" si="2"/>
        <v>0</v>
      </c>
    </row>
    <row r="687">
      <c r="A687" s="39"/>
      <c r="B687" s="17" t="str">
        <f t="shared" si="1"/>
        <v/>
      </c>
      <c r="F687" s="17">
        <f t="shared" si="2"/>
        <v>0</v>
      </c>
    </row>
    <row r="688">
      <c r="A688" s="39"/>
      <c r="B688" s="17" t="str">
        <f t="shared" si="1"/>
        <v/>
      </c>
      <c r="F688" s="17">
        <f t="shared" si="2"/>
        <v>0</v>
      </c>
    </row>
    <row r="689">
      <c r="A689" s="39"/>
      <c r="B689" s="17" t="str">
        <f t="shared" si="1"/>
        <v/>
      </c>
      <c r="F689" s="17">
        <f t="shared" si="2"/>
        <v>0</v>
      </c>
    </row>
    <row r="690">
      <c r="A690" s="39"/>
      <c r="B690" s="17" t="str">
        <f t="shared" si="1"/>
        <v/>
      </c>
      <c r="F690" s="17">
        <f t="shared" si="2"/>
        <v>0</v>
      </c>
    </row>
    <row r="691">
      <c r="A691" s="39"/>
      <c r="B691" s="17" t="str">
        <f t="shared" si="1"/>
        <v/>
      </c>
      <c r="F691" s="17">
        <f t="shared" si="2"/>
        <v>0</v>
      </c>
    </row>
    <row r="692">
      <c r="A692" s="39"/>
      <c r="B692" s="17" t="str">
        <f t="shared" si="1"/>
        <v/>
      </c>
      <c r="F692" s="17">
        <f t="shared" si="2"/>
        <v>0</v>
      </c>
    </row>
    <row r="693">
      <c r="A693" s="39"/>
      <c r="B693" s="17" t="str">
        <f t="shared" si="1"/>
        <v/>
      </c>
      <c r="F693" s="17">
        <f t="shared" si="2"/>
        <v>0</v>
      </c>
    </row>
    <row r="694">
      <c r="A694" s="39"/>
      <c r="B694" s="17" t="str">
        <f t="shared" si="1"/>
        <v/>
      </c>
      <c r="F694" s="17">
        <f t="shared" si="2"/>
        <v>0</v>
      </c>
    </row>
    <row r="695">
      <c r="A695" s="39"/>
      <c r="B695" s="17" t="str">
        <f t="shared" si="1"/>
        <v/>
      </c>
      <c r="F695" s="17">
        <f t="shared" si="2"/>
        <v>0</v>
      </c>
    </row>
    <row r="696">
      <c r="A696" s="39"/>
      <c r="B696" s="17" t="str">
        <f t="shared" si="1"/>
        <v/>
      </c>
      <c r="F696" s="17">
        <f t="shared" si="2"/>
        <v>0</v>
      </c>
    </row>
    <row r="697">
      <c r="A697" s="39"/>
      <c r="B697" s="17" t="str">
        <f t="shared" si="1"/>
        <v/>
      </c>
      <c r="F697" s="17">
        <f t="shared" si="2"/>
        <v>0</v>
      </c>
    </row>
    <row r="698">
      <c r="A698" s="39"/>
      <c r="B698" s="17" t="str">
        <f t="shared" si="1"/>
        <v/>
      </c>
      <c r="F698" s="17">
        <f t="shared" si="2"/>
        <v>0</v>
      </c>
    </row>
    <row r="699">
      <c r="A699" s="39"/>
      <c r="B699" s="17" t="str">
        <f t="shared" si="1"/>
        <v/>
      </c>
      <c r="F699" s="17">
        <f t="shared" si="2"/>
        <v>0</v>
      </c>
    </row>
    <row r="700">
      <c r="A700" s="39"/>
      <c r="B700" s="17" t="str">
        <f t="shared" si="1"/>
        <v/>
      </c>
      <c r="F700" s="17">
        <f t="shared" si="2"/>
        <v>0</v>
      </c>
    </row>
    <row r="701">
      <c r="A701" s="39"/>
      <c r="B701" s="17" t="str">
        <f t="shared" si="1"/>
        <v/>
      </c>
      <c r="F701" s="17">
        <f t="shared" si="2"/>
        <v>0</v>
      </c>
    </row>
    <row r="702">
      <c r="A702" s="39"/>
      <c r="B702" s="17" t="str">
        <f t="shared" si="1"/>
        <v/>
      </c>
      <c r="F702" s="17">
        <f t="shared" si="2"/>
        <v>0</v>
      </c>
    </row>
    <row r="703">
      <c r="A703" s="39"/>
      <c r="B703" s="17" t="str">
        <f t="shared" si="1"/>
        <v/>
      </c>
      <c r="F703" s="17">
        <f t="shared" si="2"/>
        <v>0</v>
      </c>
    </row>
    <row r="704">
      <c r="A704" s="39"/>
      <c r="B704" s="17" t="str">
        <f t="shared" si="1"/>
        <v/>
      </c>
      <c r="F704" s="17">
        <f t="shared" si="2"/>
        <v>0</v>
      </c>
    </row>
    <row r="705">
      <c r="A705" s="39"/>
      <c r="B705" s="17" t="str">
        <f t="shared" si="1"/>
        <v/>
      </c>
      <c r="F705" s="17">
        <f t="shared" si="2"/>
        <v>0</v>
      </c>
    </row>
    <row r="706">
      <c r="A706" s="39"/>
      <c r="B706" s="17" t="str">
        <f t="shared" si="1"/>
        <v/>
      </c>
      <c r="F706" s="17">
        <f t="shared" si="2"/>
        <v>0</v>
      </c>
    </row>
    <row r="707">
      <c r="A707" s="39"/>
      <c r="B707" s="17" t="str">
        <f t="shared" si="1"/>
        <v/>
      </c>
      <c r="F707" s="17">
        <f t="shared" si="2"/>
        <v>0</v>
      </c>
    </row>
    <row r="708">
      <c r="A708" s="39"/>
      <c r="B708" s="17" t="str">
        <f t="shared" si="1"/>
        <v/>
      </c>
      <c r="F708" s="17">
        <f t="shared" si="2"/>
        <v>0</v>
      </c>
    </row>
    <row r="709">
      <c r="A709" s="39"/>
      <c r="B709" s="17" t="str">
        <f t="shared" si="1"/>
        <v/>
      </c>
      <c r="F709" s="17">
        <f t="shared" si="2"/>
        <v>0</v>
      </c>
    </row>
    <row r="710">
      <c r="A710" s="39"/>
      <c r="B710" s="17" t="str">
        <f t="shared" si="1"/>
        <v/>
      </c>
      <c r="F710" s="17">
        <f t="shared" si="2"/>
        <v>0</v>
      </c>
    </row>
    <row r="711">
      <c r="A711" s="39"/>
      <c r="B711" s="17" t="str">
        <f t="shared" si="1"/>
        <v/>
      </c>
      <c r="F711" s="17">
        <f t="shared" si="2"/>
        <v>0</v>
      </c>
    </row>
    <row r="712">
      <c r="A712" s="39"/>
      <c r="B712" s="17" t="str">
        <f t="shared" si="1"/>
        <v/>
      </c>
      <c r="F712" s="17">
        <f t="shared" si="2"/>
        <v>0</v>
      </c>
    </row>
    <row r="713">
      <c r="A713" s="39"/>
      <c r="B713" s="17" t="str">
        <f t="shared" si="1"/>
        <v/>
      </c>
      <c r="F713" s="17">
        <f t="shared" si="2"/>
        <v>0</v>
      </c>
    </row>
    <row r="714">
      <c r="A714" s="39"/>
      <c r="B714" s="17" t="str">
        <f t="shared" si="1"/>
        <v/>
      </c>
      <c r="F714" s="17">
        <f t="shared" si="2"/>
        <v>0</v>
      </c>
    </row>
    <row r="715">
      <c r="A715" s="39"/>
      <c r="B715" s="17" t="str">
        <f t="shared" si="1"/>
        <v/>
      </c>
      <c r="F715" s="17">
        <f t="shared" si="2"/>
        <v>0</v>
      </c>
    </row>
    <row r="716">
      <c r="A716" s="39"/>
      <c r="B716" s="17" t="str">
        <f t="shared" si="1"/>
        <v/>
      </c>
      <c r="F716" s="17">
        <f t="shared" si="2"/>
        <v>0</v>
      </c>
    </row>
    <row r="717">
      <c r="A717" s="39"/>
      <c r="B717" s="17" t="str">
        <f t="shared" si="1"/>
        <v/>
      </c>
      <c r="F717" s="17">
        <f t="shared" si="2"/>
        <v>0</v>
      </c>
    </row>
    <row r="718">
      <c r="A718" s="39"/>
      <c r="B718" s="17" t="str">
        <f t="shared" si="1"/>
        <v/>
      </c>
      <c r="F718" s="17">
        <f t="shared" si="2"/>
        <v>0</v>
      </c>
    </row>
    <row r="719">
      <c r="A719" s="39"/>
      <c r="B719" s="17" t="str">
        <f t="shared" si="1"/>
        <v/>
      </c>
      <c r="F719" s="17">
        <f t="shared" si="2"/>
        <v>0</v>
      </c>
    </row>
    <row r="720">
      <c r="A720" s="39"/>
      <c r="B720" s="17" t="str">
        <f t="shared" si="1"/>
        <v/>
      </c>
      <c r="F720" s="17">
        <f t="shared" si="2"/>
        <v>0</v>
      </c>
    </row>
    <row r="721">
      <c r="A721" s="39"/>
      <c r="B721" s="17" t="str">
        <f t="shared" si="1"/>
        <v/>
      </c>
      <c r="F721" s="17">
        <f t="shared" si="2"/>
        <v>0</v>
      </c>
    </row>
    <row r="722">
      <c r="A722" s="39"/>
      <c r="B722" s="17" t="str">
        <f t="shared" si="1"/>
        <v/>
      </c>
      <c r="F722" s="17">
        <f t="shared" si="2"/>
        <v>0</v>
      </c>
    </row>
    <row r="723">
      <c r="A723" s="39"/>
      <c r="B723" s="17" t="str">
        <f t="shared" si="1"/>
        <v/>
      </c>
      <c r="F723" s="17">
        <f t="shared" si="2"/>
        <v>0</v>
      </c>
    </row>
    <row r="724">
      <c r="A724" s="39"/>
      <c r="B724" s="17" t="str">
        <f t="shared" si="1"/>
        <v/>
      </c>
      <c r="F724" s="17">
        <f t="shared" si="2"/>
        <v>0</v>
      </c>
    </row>
    <row r="725">
      <c r="A725" s="39"/>
      <c r="B725" s="17" t="str">
        <f t="shared" si="1"/>
        <v/>
      </c>
      <c r="F725" s="17">
        <f t="shared" si="2"/>
        <v>0</v>
      </c>
    </row>
    <row r="726">
      <c r="A726" s="39"/>
      <c r="B726" s="17" t="str">
        <f t="shared" si="1"/>
        <v/>
      </c>
      <c r="F726" s="17">
        <f t="shared" si="2"/>
        <v>0</v>
      </c>
    </row>
    <row r="727">
      <c r="A727" s="39"/>
      <c r="B727" s="17" t="str">
        <f t="shared" si="1"/>
        <v/>
      </c>
      <c r="F727" s="17">
        <f t="shared" si="2"/>
        <v>0</v>
      </c>
    </row>
    <row r="728">
      <c r="A728" s="39"/>
      <c r="B728" s="17" t="str">
        <f t="shared" si="1"/>
        <v/>
      </c>
      <c r="F728" s="17">
        <f t="shared" si="2"/>
        <v>0</v>
      </c>
    </row>
    <row r="729">
      <c r="A729" s="39"/>
      <c r="B729" s="17" t="str">
        <f t="shared" si="1"/>
        <v/>
      </c>
      <c r="F729" s="17">
        <f t="shared" si="2"/>
        <v>0</v>
      </c>
    </row>
    <row r="730">
      <c r="A730" s="39"/>
      <c r="B730" s="17" t="str">
        <f t="shared" si="1"/>
        <v/>
      </c>
      <c r="F730" s="17">
        <f t="shared" si="2"/>
        <v>0</v>
      </c>
    </row>
    <row r="731">
      <c r="A731" s="39"/>
      <c r="B731" s="17" t="str">
        <f t="shared" si="1"/>
        <v/>
      </c>
      <c r="F731" s="17">
        <f t="shared" si="2"/>
        <v>0</v>
      </c>
    </row>
    <row r="732">
      <c r="A732" s="39"/>
      <c r="B732" s="17" t="str">
        <f t="shared" si="1"/>
        <v/>
      </c>
      <c r="F732" s="17">
        <f t="shared" si="2"/>
        <v>0</v>
      </c>
    </row>
    <row r="733">
      <c r="A733" s="39"/>
      <c r="B733" s="17" t="str">
        <f t="shared" si="1"/>
        <v/>
      </c>
      <c r="F733" s="17">
        <f t="shared" si="2"/>
        <v>0</v>
      </c>
    </row>
    <row r="734">
      <c r="A734" s="39"/>
      <c r="B734" s="17" t="str">
        <f t="shared" si="1"/>
        <v/>
      </c>
      <c r="F734" s="17">
        <f t="shared" si="2"/>
        <v>0</v>
      </c>
    </row>
    <row r="735">
      <c r="A735" s="39"/>
      <c r="B735" s="17" t="str">
        <f t="shared" si="1"/>
        <v/>
      </c>
      <c r="F735" s="17">
        <f t="shared" si="2"/>
        <v>0</v>
      </c>
    </row>
    <row r="736">
      <c r="A736" s="39"/>
      <c r="B736" s="17" t="str">
        <f t="shared" si="1"/>
        <v/>
      </c>
      <c r="F736" s="17">
        <f t="shared" si="2"/>
        <v>0</v>
      </c>
    </row>
    <row r="737">
      <c r="A737" s="39"/>
      <c r="B737" s="17" t="str">
        <f t="shared" si="1"/>
        <v/>
      </c>
      <c r="F737" s="17">
        <f t="shared" si="2"/>
        <v>0</v>
      </c>
    </row>
    <row r="738">
      <c r="A738" s="39"/>
      <c r="B738" s="17" t="str">
        <f t="shared" si="1"/>
        <v/>
      </c>
      <c r="F738" s="17">
        <f t="shared" si="2"/>
        <v>0</v>
      </c>
    </row>
    <row r="739">
      <c r="A739" s="39"/>
      <c r="B739" s="17" t="str">
        <f t="shared" si="1"/>
        <v/>
      </c>
      <c r="F739" s="17">
        <f t="shared" si="2"/>
        <v>0</v>
      </c>
    </row>
    <row r="740">
      <c r="A740" s="39"/>
      <c r="B740" s="17" t="str">
        <f t="shared" si="1"/>
        <v/>
      </c>
      <c r="F740" s="17">
        <f t="shared" si="2"/>
        <v>0</v>
      </c>
    </row>
    <row r="741">
      <c r="A741" s="39"/>
      <c r="B741" s="17" t="str">
        <f t="shared" si="1"/>
        <v/>
      </c>
      <c r="F741" s="17">
        <f t="shared" si="2"/>
        <v>0</v>
      </c>
    </row>
    <row r="742">
      <c r="A742" s="39"/>
      <c r="B742" s="17" t="str">
        <f t="shared" si="1"/>
        <v/>
      </c>
      <c r="F742" s="17">
        <f t="shared" si="2"/>
        <v>0</v>
      </c>
    </row>
    <row r="743">
      <c r="A743" s="39"/>
      <c r="B743" s="17" t="str">
        <f t="shared" si="1"/>
        <v/>
      </c>
      <c r="F743" s="17">
        <f t="shared" si="2"/>
        <v>0</v>
      </c>
    </row>
    <row r="744">
      <c r="A744" s="39"/>
      <c r="B744" s="17" t="str">
        <f t="shared" si="1"/>
        <v/>
      </c>
      <c r="F744" s="17">
        <f t="shared" si="2"/>
        <v>0</v>
      </c>
    </row>
    <row r="745">
      <c r="A745" s="39"/>
      <c r="B745" s="17" t="str">
        <f t="shared" si="1"/>
        <v/>
      </c>
      <c r="F745" s="17">
        <f t="shared" si="2"/>
        <v>0</v>
      </c>
    </row>
    <row r="746">
      <c r="A746" s="39"/>
      <c r="B746" s="17" t="str">
        <f t="shared" si="1"/>
        <v/>
      </c>
      <c r="F746" s="17">
        <f t="shared" si="2"/>
        <v>0</v>
      </c>
    </row>
    <row r="747">
      <c r="A747" s="39"/>
      <c r="B747" s="17" t="str">
        <f t="shared" si="1"/>
        <v/>
      </c>
      <c r="F747" s="17">
        <f t="shared" si="2"/>
        <v>0</v>
      </c>
    </row>
    <row r="748">
      <c r="A748" s="39"/>
      <c r="B748" s="17" t="str">
        <f t="shared" si="1"/>
        <v/>
      </c>
      <c r="F748" s="17">
        <f t="shared" si="2"/>
        <v>0</v>
      </c>
    </row>
    <row r="749">
      <c r="A749" s="39"/>
      <c r="B749" s="17" t="str">
        <f t="shared" si="1"/>
        <v/>
      </c>
      <c r="F749" s="17">
        <f t="shared" si="2"/>
        <v>0</v>
      </c>
    </row>
    <row r="750">
      <c r="A750" s="39"/>
      <c r="B750" s="17" t="str">
        <f t="shared" si="1"/>
        <v/>
      </c>
      <c r="F750" s="17">
        <f t="shared" si="2"/>
        <v>0</v>
      </c>
    </row>
    <row r="751">
      <c r="A751" s="39"/>
      <c r="B751" s="17" t="str">
        <f t="shared" si="1"/>
        <v/>
      </c>
      <c r="F751" s="17">
        <f t="shared" si="2"/>
        <v>0</v>
      </c>
    </row>
    <row r="752">
      <c r="A752" s="39"/>
      <c r="B752" s="17" t="str">
        <f t="shared" si="1"/>
        <v/>
      </c>
      <c r="F752" s="17">
        <f t="shared" si="2"/>
        <v>0</v>
      </c>
    </row>
    <row r="753">
      <c r="A753" s="39"/>
      <c r="B753" s="17" t="str">
        <f t="shared" si="1"/>
        <v/>
      </c>
      <c r="F753" s="17">
        <f t="shared" si="2"/>
        <v>0</v>
      </c>
    </row>
    <row r="754">
      <c r="A754" s="39"/>
      <c r="B754" s="17" t="str">
        <f t="shared" si="1"/>
        <v/>
      </c>
      <c r="F754" s="17">
        <f t="shared" si="2"/>
        <v>0</v>
      </c>
    </row>
    <row r="755">
      <c r="A755" s="39"/>
      <c r="B755" s="17" t="str">
        <f t="shared" si="1"/>
        <v/>
      </c>
      <c r="F755" s="17">
        <f t="shared" si="2"/>
        <v>0</v>
      </c>
    </row>
    <row r="756">
      <c r="A756" s="39"/>
      <c r="B756" s="17" t="str">
        <f t="shared" si="1"/>
        <v/>
      </c>
      <c r="F756" s="17">
        <f t="shared" si="2"/>
        <v>0</v>
      </c>
    </row>
    <row r="757">
      <c r="A757" s="39"/>
      <c r="B757" s="17" t="str">
        <f t="shared" si="1"/>
        <v/>
      </c>
      <c r="F757" s="17">
        <f t="shared" si="2"/>
        <v>0</v>
      </c>
    </row>
    <row r="758">
      <c r="A758" s="39"/>
      <c r="B758" s="17" t="str">
        <f t="shared" si="1"/>
        <v/>
      </c>
      <c r="F758" s="17">
        <f t="shared" si="2"/>
        <v>0</v>
      </c>
    </row>
    <row r="759">
      <c r="A759" s="39"/>
      <c r="B759" s="17" t="str">
        <f t="shared" si="1"/>
        <v/>
      </c>
      <c r="F759" s="17">
        <f t="shared" si="2"/>
        <v>0</v>
      </c>
    </row>
    <row r="760">
      <c r="A760" s="39"/>
      <c r="B760" s="17" t="str">
        <f t="shared" si="1"/>
        <v/>
      </c>
      <c r="F760" s="17">
        <f t="shared" si="2"/>
        <v>0</v>
      </c>
    </row>
    <row r="761">
      <c r="A761" s="39"/>
      <c r="B761" s="17" t="str">
        <f t="shared" si="1"/>
        <v/>
      </c>
      <c r="F761" s="17">
        <f t="shared" si="2"/>
        <v>0</v>
      </c>
    </row>
    <row r="762">
      <c r="A762" s="39"/>
      <c r="B762" s="17" t="str">
        <f t="shared" si="1"/>
        <v/>
      </c>
      <c r="F762" s="17">
        <f t="shared" si="2"/>
        <v>0</v>
      </c>
    </row>
    <row r="763">
      <c r="A763" s="39"/>
      <c r="B763" s="17" t="str">
        <f t="shared" si="1"/>
        <v/>
      </c>
      <c r="F763" s="17">
        <f t="shared" si="2"/>
        <v>0</v>
      </c>
    </row>
    <row r="764">
      <c r="A764" s="39"/>
      <c r="B764" s="17" t="str">
        <f t="shared" si="1"/>
        <v/>
      </c>
      <c r="F764" s="17">
        <f t="shared" si="2"/>
        <v>0</v>
      </c>
    </row>
    <row r="765">
      <c r="A765" s="39"/>
      <c r="B765" s="17" t="str">
        <f t="shared" si="1"/>
        <v/>
      </c>
      <c r="F765" s="17">
        <f t="shared" si="2"/>
        <v>0</v>
      </c>
    </row>
    <row r="766">
      <c r="A766" s="39"/>
      <c r="B766" s="17" t="str">
        <f t="shared" si="1"/>
        <v/>
      </c>
      <c r="F766" s="17">
        <f t="shared" si="2"/>
        <v>0</v>
      </c>
    </row>
    <row r="767">
      <c r="A767" s="39"/>
      <c r="B767" s="17" t="str">
        <f t="shared" si="1"/>
        <v/>
      </c>
      <c r="F767" s="17">
        <f t="shared" si="2"/>
        <v>0</v>
      </c>
    </row>
    <row r="768">
      <c r="A768" s="39"/>
      <c r="B768" s="17" t="str">
        <f t="shared" si="1"/>
        <v/>
      </c>
      <c r="F768" s="17">
        <f t="shared" si="2"/>
        <v>0</v>
      </c>
    </row>
    <row r="769">
      <c r="A769" s="39"/>
      <c r="B769" s="17" t="str">
        <f t="shared" si="1"/>
        <v/>
      </c>
      <c r="F769" s="17">
        <f t="shared" si="2"/>
        <v>0</v>
      </c>
    </row>
    <row r="770">
      <c r="A770" s="39"/>
      <c r="B770" s="17" t="str">
        <f t="shared" si="1"/>
        <v/>
      </c>
      <c r="F770" s="17">
        <f t="shared" si="2"/>
        <v>0</v>
      </c>
    </row>
    <row r="771">
      <c r="A771" s="39"/>
      <c r="B771" s="17" t="str">
        <f t="shared" si="1"/>
        <v/>
      </c>
      <c r="F771" s="17">
        <f t="shared" si="2"/>
        <v>0</v>
      </c>
    </row>
    <row r="772">
      <c r="A772" s="39"/>
      <c r="B772" s="17" t="str">
        <f t="shared" si="1"/>
        <v/>
      </c>
      <c r="F772" s="17">
        <f t="shared" si="2"/>
        <v>0</v>
      </c>
    </row>
    <row r="773">
      <c r="A773" s="39"/>
      <c r="B773" s="17" t="str">
        <f t="shared" si="1"/>
        <v/>
      </c>
      <c r="F773" s="17">
        <f t="shared" si="2"/>
        <v>0</v>
      </c>
    </row>
    <row r="774">
      <c r="A774" s="39"/>
      <c r="B774" s="17" t="str">
        <f t="shared" si="1"/>
        <v/>
      </c>
      <c r="F774" s="17">
        <f t="shared" si="2"/>
        <v>0</v>
      </c>
    </row>
    <row r="775">
      <c r="A775" s="39"/>
      <c r="B775" s="17" t="str">
        <f t="shared" si="1"/>
        <v/>
      </c>
      <c r="F775" s="17">
        <f t="shared" si="2"/>
        <v>0</v>
      </c>
    </row>
    <row r="776">
      <c r="A776" s="39"/>
      <c r="B776" s="17" t="str">
        <f t="shared" si="1"/>
        <v/>
      </c>
      <c r="F776" s="17">
        <f t="shared" si="2"/>
        <v>0</v>
      </c>
    </row>
    <row r="777">
      <c r="A777" s="39"/>
      <c r="B777" s="17" t="str">
        <f t="shared" si="1"/>
        <v/>
      </c>
      <c r="F777" s="17">
        <f t="shared" si="2"/>
        <v>0</v>
      </c>
    </row>
    <row r="778">
      <c r="A778" s="39"/>
      <c r="B778" s="17" t="str">
        <f t="shared" si="1"/>
        <v/>
      </c>
      <c r="F778" s="17">
        <f t="shared" si="2"/>
        <v>0</v>
      </c>
    </row>
    <row r="779">
      <c r="A779" s="39"/>
      <c r="B779" s="17" t="str">
        <f t="shared" si="1"/>
        <v/>
      </c>
      <c r="F779" s="17">
        <f t="shared" si="2"/>
        <v>0</v>
      </c>
    </row>
    <row r="780">
      <c r="A780" s="39"/>
      <c r="B780" s="17" t="str">
        <f t="shared" si="1"/>
        <v/>
      </c>
      <c r="F780" s="17">
        <f t="shared" si="2"/>
        <v>0</v>
      </c>
    </row>
    <row r="781">
      <c r="A781" s="39"/>
      <c r="B781" s="17" t="str">
        <f t="shared" si="1"/>
        <v/>
      </c>
      <c r="F781" s="17">
        <f t="shared" si="2"/>
        <v>0</v>
      </c>
    </row>
    <row r="782">
      <c r="A782" s="39"/>
      <c r="B782" s="17" t="str">
        <f t="shared" si="1"/>
        <v/>
      </c>
      <c r="F782" s="17">
        <f t="shared" si="2"/>
        <v>0</v>
      </c>
    </row>
    <row r="783">
      <c r="A783" s="39"/>
      <c r="B783" s="17" t="str">
        <f t="shared" si="1"/>
        <v/>
      </c>
      <c r="F783" s="17">
        <f t="shared" si="2"/>
        <v>0</v>
      </c>
    </row>
    <row r="784">
      <c r="A784" s="39"/>
      <c r="B784" s="17" t="str">
        <f t="shared" si="1"/>
        <v/>
      </c>
      <c r="F784" s="17">
        <f t="shared" si="2"/>
        <v>0</v>
      </c>
    </row>
    <row r="785">
      <c r="A785" s="39"/>
      <c r="B785" s="17" t="str">
        <f t="shared" si="1"/>
        <v/>
      </c>
      <c r="F785" s="17">
        <f t="shared" si="2"/>
        <v>0</v>
      </c>
    </row>
    <row r="786">
      <c r="A786" s="39"/>
      <c r="B786" s="17" t="str">
        <f t="shared" si="1"/>
        <v/>
      </c>
      <c r="F786" s="17">
        <f t="shared" si="2"/>
        <v>0</v>
      </c>
    </row>
    <row r="787">
      <c r="A787" s="39"/>
      <c r="B787" s="17" t="str">
        <f t="shared" si="1"/>
        <v/>
      </c>
      <c r="F787" s="17">
        <f t="shared" si="2"/>
        <v>0</v>
      </c>
    </row>
    <row r="788">
      <c r="A788" s="39"/>
      <c r="B788" s="17" t="str">
        <f t="shared" si="1"/>
        <v/>
      </c>
      <c r="F788" s="17">
        <f t="shared" si="2"/>
        <v>0</v>
      </c>
    </row>
    <row r="789">
      <c r="A789" s="39"/>
      <c r="B789" s="17" t="str">
        <f t="shared" si="1"/>
        <v/>
      </c>
      <c r="F789" s="17">
        <f t="shared" si="2"/>
        <v>0</v>
      </c>
    </row>
    <row r="790">
      <c r="A790" s="39"/>
      <c r="B790" s="17" t="str">
        <f t="shared" si="1"/>
        <v/>
      </c>
      <c r="F790" s="17">
        <f t="shared" si="2"/>
        <v>0</v>
      </c>
    </row>
    <row r="791">
      <c r="A791" s="39"/>
      <c r="B791" s="17" t="str">
        <f t="shared" si="1"/>
        <v/>
      </c>
      <c r="F791" s="17">
        <f t="shared" si="2"/>
        <v>0</v>
      </c>
    </row>
    <row r="792">
      <c r="A792" s="39"/>
      <c r="B792" s="17" t="str">
        <f t="shared" si="1"/>
        <v/>
      </c>
      <c r="F792" s="17">
        <f t="shared" si="2"/>
        <v>0</v>
      </c>
    </row>
    <row r="793">
      <c r="A793" s="39"/>
      <c r="B793" s="17" t="str">
        <f t="shared" si="1"/>
        <v/>
      </c>
      <c r="F793" s="17">
        <f t="shared" si="2"/>
        <v>0</v>
      </c>
    </row>
    <row r="794">
      <c r="A794" s="39"/>
      <c r="B794" s="17" t="str">
        <f t="shared" si="1"/>
        <v/>
      </c>
      <c r="F794" s="17">
        <f t="shared" si="2"/>
        <v>0</v>
      </c>
    </row>
    <row r="795">
      <c r="A795" s="39"/>
      <c r="B795" s="17" t="str">
        <f t="shared" si="1"/>
        <v/>
      </c>
      <c r="F795" s="17">
        <f t="shared" si="2"/>
        <v>0</v>
      </c>
    </row>
    <row r="796">
      <c r="A796" s="39"/>
      <c r="B796" s="17" t="str">
        <f t="shared" si="1"/>
        <v/>
      </c>
      <c r="F796" s="17">
        <f t="shared" si="2"/>
        <v>0</v>
      </c>
    </row>
    <row r="797">
      <c r="A797" s="39"/>
      <c r="B797" s="17" t="str">
        <f t="shared" si="1"/>
        <v/>
      </c>
      <c r="F797" s="17">
        <f t="shared" si="2"/>
        <v>0</v>
      </c>
    </row>
    <row r="798">
      <c r="A798" s="39"/>
      <c r="B798" s="17" t="str">
        <f t="shared" si="1"/>
        <v/>
      </c>
      <c r="F798" s="17">
        <f t="shared" si="2"/>
        <v>0</v>
      </c>
    </row>
    <row r="799">
      <c r="A799" s="39"/>
      <c r="B799" s="17" t="str">
        <f t="shared" si="1"/>
        <v/>
      </c>
      <c r="F799" s="17">
        <f t="shared" si="2"/>
        <v>0</v>
      </c>
    </row>
    <row r="800">
      <c r="A800" s="39"/>
      <c r="B800" s="17" t="str">
        <f t="shared" si="1"/>
        <v/>
      </c>
      <c r="F800" s="17">
        <f t="shared" si="2"/>
        <v>0</v>
      </c>
    </row>
    <row r="801">
      <c r="A801" s="39"/>
      <c r="B801" s="17" t="str">
        <f t="shared" si="1"/>
        <v/>
      </c>
      <c r="F801" s="17">
        <f t="shared" si="2"/>
        <v>0</v>
      </c>
    </row>
    <row r="802">
      <c r="A802" s="39"/>
      <c r="B802" s="17" t="str">
        <f t="shared" si="1"/>
        <v/>
      </c>
      <c r="F802" s="17">
        <f t="shared" si="2"/>
        <v>0</v>
      </c>
    </row>
    <row r="803">
      <c r="A803" s="39"/>
      <c r="B803" s="17" t="str">
        <f t="shared" si="1"/>
        <v/>
      </c>
      <c r="F803" s="17">
        <f t="shared" si="2"/>
        <v>0</v>
      </c>
    </row>
    <row r="804">
      <c r="A804" s="39"/>
      <c r="B804" s="17" t="str">
        <f t="shared" si="1"/>
        <v/>
      </c>
      <c r="F804" s="17">
        <f t="shared" si="2"/>
        <v>0</v>
      </c>
    </row>
    <row r="805">
      <c r="A805" s="39"/>
      <c r="B805" s="17" t="str">
        <f t="shared" si="1"/>
        <v/>
      </c>
      <c r="F805" s="17">
        <f t="shared" si="2"/>
        <v>0</v>
      </c>
    </row>
    <row r="806">
      <c r="A806" s="39"/>
      <c r="B806" s="17" t="str">
        <f t="shared" si="1"/>
        <v/>
      </c>
      <c r="F806" s="17">
        <f t="shared" si="2"/>
        <v>0</v>
      </c>
    </row>
    <row r="807">
      <c r="A807" s="39"/>
      <c r="B807" s="17" t="str">
        <f t="shared" si="1"/>
        <v/>
      </c>
      <c r="F807" s="17">
        <f t="shared" si="2"/>
        <v>0</v>
      </c>
    </row>
    <row r="808">
      <c r="A808" s="39"/>
      <c r="B808" s="17" t="str">
        <f t="shared" si="1"/>
        <v/>
      </c>
      <c r="F808" s="17">
        <f t="shared" si="2"/>
        <v>0</v>
      </c>
    </row>
    <row r="809">
      <c r="A809" s="39"/>
      <c r="B809" s="17" t="str">
        <f t="shared" si="1"/>
        <v/>
      </c>
      <c r="F809" s="17">
        <f t="shared" si="2"/>
        <v>0</v>
      </c>
    </row>
    <row r="810">
      <c r="A810" s="39"/>
      <c r="B810" s="17" t="str">
        <f t="shared" si="1"/>
        <v/>
      </c>
      <c r="F810" s="17">
        <f t="shared" si="2"/>
        <v>0</v>
      </c>
    </row>
    <row r="811">
      <c r="A811" s="39"/>
      <c r="B811" s="17" t="str">
        <f t="shared" si="1"/>
        <v/>
      </c>
      <c r="F811" s="17">
        <f t="shared" si="2"/>
        <v>0</v>
      </c>
    </row>
    <row r="812">
      <c r="A812" s="39"/>
      <c r="B812" s="17" t="str">
        <f t="shared" si="1"/>
        <v/>
      </c>
      <c r="F812" s="17">
        <f t="shared" si="2"/>
        <v>0</v>
      </c>
    </row>
    <row r="813">
      <c r="A813" s="39"/>
      <c r="B813" s="17" t="str">
        <f t="shared" si="1"/>
        <v/>
      </c>
      <c r="F813" s="17">
        <f t="shared" si="2"/>
        <v>0</v>
      </c>
    </row>
    <row r="814">
      <c r="A814" s="39"/>
      <c r="B814" s="17" t="str">
        <f t="shared" si="1"/>
        <v/>
      </c>
      <c r="F814" s="17">
        <f t="shared" si="2"/>
        <v>0</v>
      </c>
    </row>
    <row r="815">
      <c r="A815" s="39"/>
      <c r="B815" s="17" t="str">
        <f t="shared" si="1"/>
        <v/>
      </c>
      <c r="F815" s="17">
        <f t="shared" si="2"/>
        <v>0</v>
      </c>
    </row>
    <row r="816">
      <c r="A816" s="39"/>
      <c r="B816" s="17" t="str">
        <f t="shared" si="1"/>
        <v/>
      </c>
      <c r="F816" s="17">
        <f t="shared" si="2"/>
        <v>0</v>
      </c>
    </row>
    <row r="817">
      <c r="A817" s="39"/>
      <c r="B817" s="17" t="str">
        <f t="shared" si="1"/>
        <v/>
      </c>
      <c r="F817" s="17">
        <f t="shared" si="2"/>
        <v>0</v>
      </c>
    </row>
    <row r="818">
      <c r="A818" s="39"/>
      <c r="B818" s="17" t="str">
        <f t="shared" si="1"/>
        <v/>
      </c>
      <c r="F818" s="17">
        <f t="shared" si="2"/>
        <v>0</v>
      </c>
    </row>
    <row r="819">
      <c r="A819" s="39"/>
      <c r="B819" s="17" t="str">
        <f t="shared" si="1"/>
        <v/>
      </c>
      <c r="F819" s="17">
        <f t="shared" si="2"/>
        <v>0</v>
      </c>
    </row>
    <row r="820">
      <c r="A820" s="39"/>
      <c r="B820" s="17" t="str">
        <f t="shared" si="1"/>
        <v/>
      </c>
      <c r="F820" s="17">
        <f t="shared" si="2"/>
        <v>0</v>
      </c>
    </row>
    <row r="821">
      <c r="A821" s="39"/>
      <c r="B821" s="17" t="str">
        <f t="shared" si="1"/>
        <v/>
      </c>
      <c r="F821" s="17">
        <f t="shared" si="2"/>
        <v>0</v>
      </c>
    </row>
    <row r="822">
      <c r="A822" s="39"/>
      <c r="B822" s="17" t="str">
        <f t="shared" si="1"/>
        <v/>
      </c>
      <c r="F822" s="17">
        <f t="shared" si="2"/>
        <v>0</v>
      </c>
    </row>
    <row r="823">
      <c r="A823" s="39"/>
      <c r="B823" s="17" t="str">
        <f t="shared" si="1"/>
        <v/>
      </c>
      <c r="F823" s="17">
        <f t="shared" si="2"/>
        <v>0</v>
      </c>
    </row>
    <row r="824">
      <c r="A824" s="39"/>
      <c r="B824" s="17" t="str">
        <f t="shared" si="1"/>
        <v/>
      </c>
      <c r="F824" s="17">
        <f t="shared" si="2"/>
        <v>0</v>
      </c>
    </row>
    <row r="825">
      <c r="A825" s="39"/>
      <c r="B825" s="17" t="str">
        <f t="shared" si="1"/>
        <v/>
      </c>
      <c r="F825" s="17">
        <f t="shared" si="2"/>
        <v>0</v>
      </c>
    </row>
    <row r="826">
      <c r="A826" s="39"/>
      <c r="B826" s="17" t="str">
        <f t="shared" si="1"/>
        <v/>
      </c>
      <c r="F826" s="17">
        <f t="shared" si="2"/>
        <v>0</v>
      </c>
    </row>
    <row r="827">
      <c r="A827" s="39"/>
      <c r="B827" s="17" t="str">
        <f t="shared" si="1"/>
        <v/>
      </c>
      <c r="F827" s="17">
        <f t="shared" si="2"/>
        <v>0</v>
      </c>
    </row>
    <row r="828">
      <c r="A828" s="39"/>
      <c r="B828" s="17" t="str">
        <f t="shared" si="1"/>
        <v/>
      </c>
      <c r="F828" s="17">
        <f t="shared" si="2"/>
        <v>0</v>
      </c>
    </row>
    <row r="829">
      <c r="A829" s="39"/>
      <c r="B829" s="17" t="str">
        <f t="shared" si="1"/>
        <v/>
      </c>
      <c r="F829" s="17">
        <f t="shared" si="2"/>
        <v>0</v>
      </c>
    </row>
    <row r="830">
      <c r="A830" s="39"/>
      <c r="B830" s="17" t="str">
        <f t="shared" si="1"/>
        <v/>
      </c>
      <c r="F830" s="17">
        <f t="shared" si="2"/>
        <v>0</v>
      </c>
    </row>
    <row r="831">
      <c r="A831" s="39"/>
      <c r="B831" s="17" t="str">
        <f t="shared" si="1"/>
        <v/>
      </c>
      <c r="F831" s="17">
        <f t="shared" si="2"/>
        <v>0</v>
      </c>
    </row>
    <row r="832">
      <c r="A832" s="39"/>
      <c r="B832" s="17" t="str">
        <f t="shared" si="1"/>
        <v/>
      </c>
      <c r="F832" s="17">
        <f t="shared" si="2"/>
        <v>0</v>
      </c>
    </row>
    <row r="833">
      <c r="A833" s="39"/>
      <c r="B833" s="17" t="str">
        <f t="shared" si="1"/>
        <v/>
      </c>
      <c r="F833" s="17">
        <f t="shared" si="2"/>
        <v>0</v>
      </c>
    </row>
    <row r="834">
      <c r="A834" s="39"/>
      <c r="B834" s="17" t="str">
        <f t="shared" si="1"/>
        <v/>
      </c>
      <c r="F834" s="17">
        <f t="shared" si="2"/>
        <v>0</v>
      </c>
    </row>
    <row r="835">
      <c r="A835" s="39"/>
      <c r="B835" s="17" t="str">
        <f t="shared" si="1"/>
        <v/>
      </c>
      <c r="F835" s="17">
        <f t="shared" si="2"/>
        <v>0</v>
      </c>
    </row>
    <row r="836">
      <c r="A836" s="39"/>
      <c r="B836" s="17" t="str">
        <f t="shared" si="1"/>
        <v/>
      </c>
      <c r="F836" s="17">
        <f t="shared" si="2"/>
        <v>0</v>
      </c>
    </row>
    <row r="837">
      <c r="A837" s="39"/>
      <c r="B837" s="17" t="str">
        <f t="shared" si="1"/>
        <v/>
      </c>
      <c r="F837" s="17">
        <f t="shared" si="2"/>
        <v>0</v>
      </c>
    </row>
    <row r="838">
      <c r="A838" s="39"/>
      <c r="B838" s="17" t="str">
        <f t="shared" si="1"/>
        <v/>
      </c>
      <c r="F838" s="17">
        <f t="shared" si="2"/>
        <v>0</v>
      </c>
    </row>
    <row r="839">
      <c r="A839" s="39"/>
      <c r="B839" s="17" t="str">
        <f t="shared" si="1"/>
        <v/>
      </c>
      <c r="F839" s="17">
        <f t="shared" si="2"/>
        <v>0</v>
      </c>
    </row>
    <row r="840">
      <c r="A840" s="39"/>
      <c r="B840" s="17" t="str">
        <f t="shared" si="1"/>
        <v/>
      </c>
      <c r="F840" s="17">
        <f t="shared" si="2"/>
        <v>0</v>
      </c>
    </row>
    <row r="841">
      <c r="A841" s="39"/>
      <c r="B841" s="17" t="str">
        <f t="shared" si="1"/>
        <v/>
      </c>
      <c r="F841" s="17">
        <f t="shared" si="2"/>
        <v>0</v>
      </c>
    </row>
    <row r="842">
      <c r="A842" s="39"/>
      <c r="B842" s="17" t="str">
        <f t="shared" si="1"/>
        <v/>
      </c>
      <c r="F842" s="17">
        <f t="shared" si="2"/>
        <v>0</v>
      </c>
    </row>
    <row r="843">
      <c r="A843" s="39"/>
      <c r="B843" s="17" t="str">
        <f t="shared" si="1"/>
        <v/>
      </c>
      <c r="F843" s="17">
        <f t="shared" si="2"/>
        <v>0</v>
      </c>
    </row>
    <row r="844">
      <c r="A844" s="39"/>
      <c r="B844" s="17" t="str">
        <f t="shared" si="1"/>
        <v/>
      </c>
      <c r="F844" s="17">
        <f t="shared" si="2"/>
        <v>0</v>
      </c>
    </row>
    <row r="845">
      <c r="A845" s="39"/>
      <c r="B845" s="17" t="str">
        <f t="shared" si="1"/>
        <v/>
      </c>
      <c r="F845" s="17">
        <f t="shared" si="2"/>
        <v>0</v>
      </c>
    </row>
    <row r="846">
      <c r="A846" s="39"/>
      <c r="B846" s="17" t="str">
        <f t="shared" si="1"/>
        <v/>
      </c>
      <c r="F846" s="17">
        <f t="shared" si="2"/>
        <v>0</v>
      </c>
    </row>
    <row r="847">
      <c r="A847" s="39"/>
      <c r="B847" s="17" t="str">
        <f t="shared" si="1"/>
        <v/>
      </c>
      <c r="F847" s="17">
        <f t="shared" si="2"/>
        <v>0</v>
      </c>
    </row>
    <row r="848">
      <c r="A848" s="39"/>
      <c r="B848" s="17" t="str">
        <f t="shared" si="1"/>
        <v/>
      </c>
      <c r="F848" s="17">
        <f t="shared" si="2"/>
        <v>0</v>
      </c>
    </row>
    <row r="849">
      <c r="A849" s="39"/>
      <c r="B849" s="17" t="str">
        <f t="shared" si="1"/>
        <v/>
      </c>
      <c r="F849" s="17">
        <f t="shared" si="2"/>
        <v>0</v>
      </c>
    </row>
    <row r="850">
      <c r="A850" s="39"/>
      <c r="B850" s="17" t="str">
        <f t="shared" si="1"/>
        <v/>
      </c>
      <c r="F850" s="17">
        <f t="shared" si="2"/>
        <v>0</v>
      </c>
    </row>
    <row r="851">
      <c r="A851" s="39"/>
      <c r="B851" s="17" t="str">
        <f t="shared" si="1"/>
        <v/>
      </c>
      <c r="F851" s="17">
        <f t="shared" si="2"/>
        <v>0</v>
      </c>
    </row>
    <row r="852">
      <c r="A852" s="39"/>
      <c r="B852" s="17" t="str">
        <f t="shared" si="1"/>
        <v/>
      </c>
      <c r="F852" s="17">
        <f t="shared" si="2"/>
        <v>0</v>
      </c>
    </row>
    <row r="853">
      <c r="A853" s="39"/>
      <c r="B853" s="17" t="str">
        <f t="shared" si="1"/>
        <v/>
      </c>
      <c r="F853" s="17">
        <f t="shared" si="2"/>
        <v>0</v>
      </c>
    </row>
    <row r="854">
      <c r="A854" s="39"/>
      <c r="B854" s="17" t="str">
        <f t="shared" si="1"/>
        <v/>
      </c>
      <c r="F854" s="17">
        <f t="shared" si="2"/>
        <v>0</v>
      </c>
    </row>
    <row r="855">
      <c r="A855" s="39"/>
      <c r="B855" s="17" t="str">
        <f t="shared" si="1"/>
        <v/>
      </c>
      <c r="F855" s="17">
        <f t="shared" si="2"/>
        <v>0</v>
      </c>
    </row>
    <row r="856">
      <c r="A856" s="39"/>
      <c r="B856" s="17" t="str">
        <f t="shared" si="1"/>
        <v/>
      </c>
      <c r="F856" s="17">
        <f t="shared" si="2"/>
        <v>0</v>
      </c>
    </row>
    <row r="857">
      <c r="A857" s="39"/>
      <c r="B857" s="17" t="str">
        <f t="shared" si="1"/>
        <v/>
      </c>
      <c r="F857" s="17">
        <f t="shared" si="2"/>
        <v>0</v>
      </c>
    </row>
    <row r="858">
      <c r="A858" s="39"/>
      <c r="B858" s="17" t="str">
        <f t="shared" si="1"/>
        <v/>
      </c>
      <c r="F858" s="17">
        <f t="shared" si="2"/>
        <v>0</v>
      </c>
    </row>
    <row r="859">
      <c r="A859" s="39"/>
      <c r="B859" s="17" t="str">
        <f t="shared" si="1"/>
        <v/>
      </c>
      <c r="F859" s="17">
        <f t="shared" si="2"/>
        <v>0</v>
      </c>
    </row>
    <row r="860">
      <c r="A860" s="39"/>
      <c r="B860" s="17" t="str">
        <f t="shared" si="1"/>
        <v/>
      </c>
      <c r="F860" s="17">
        <f t="shared" si="2"/>
        <v>0</v>
      </c>
    </row>
    <row r="861">
      <c r="A861" s="39"/>
      <c r="B861" s="17" t="str">
        <f t="shared" si="1"/>
        <v/>
      </c>
      <c r="F861" s="17">
        <f t="shared" si="2"/>
        <v>0</v>
      </c>
    </row>
    <row r="862">
      <c r="A862" s="39"/>
      <c r="B862" s="17" t="str">
        <f t="shared" si="1"/>
        <v/>
      </c>
      <c r="F862" s="17">
        <f t="shared" si="2"/>
        <v>0</v>
      </c>
    </row>
    <row r="863">
      <c r="A863" s="39"/>
      <c r="B863" s="17" t="str">
        <f t="shared" si="1"/>
        <v/>
      </c>
      <c r="F863" s="17">
        <f t="shared" si="2"/>
        <v>0</v>
      </c>
    </row>
    <row r="864">
      <c r="A864" s="39"/>
      <c r="B864" s="17" t="str">
        <f t="shared" si="1"/>
        <v/>
      </c>
      <c r="F864" s="17">
        <f t="shared" si="2"/>
        <v>0</v>
      </c>
    </row>
    <row r="865">
      <c r="A865" s="39"/>
      <c r="B865" s="17" t="str">
        <f t="shared" si="1"/>
        <v/>
      </c>
      <c r="F865" s="17">
        <f t="shared" si="2"/>
        <v>0</v>
      </c>
    </row>
    <row r="866">
      <c r="A866" s="39"/>
      <c r="B866" s="17" t="str">
        <f t="shared" si="1"/>
        <v/>
      </c>
      <c r="F866" s="17">
        <f t="shared" si="2"/>
        <v>0</v>
      </c>
    </row>
    <row r="867">
      <c r="A867" s="39"/>
      <c r="B867" s="17" t="str">
        <f t="shared" si="1"/>
        <v/>
      </c>
      <c r="F867" s="17">
        <f t="shared" si="2"/>
        <v>0</v>
      </c>
    </row>
    <row r="868">
      <c r="A868" s="39"/>
      <c r="B868" s="17" t="str">
        <f t="shared" si="1"/>
        <v/>
      </c>
      <c r="F868" s="17">
        <f t="shared" si="2"/>
        <v>0</v>
      </c>
    </row>
    <row r="869">
      <c r="A869" s="39"/>
      <c r="B869" s="17" t="str">
        <f t="shared" si="1"/>
        <v/>
      </c>
      <c r="F869" s="17">
        <f t="shared" si="2"/>
        <v>0</v>
      </c>
    </row>
    <row r="870">
      <c r="A870" s="39"/>
      <c r="B870" s="17" t="str">
        <f t="shared" si="1"/>
        <v/>
      </c>
      <c r="F870" s="17">
        <f t="shared" si="2"/>
        <v>0</v>
      </c>
    </row>
    <row r="871">
      <c r="A871" s="39"/>
      <c r="B871" s="17" t="str">
        <f t="shared" si="1"/>
        <v/>
      </c>
      <c r="F871" s="17">
        <f t="shared" si="2"/>
        <v>0</v>
      </c>
    </row>
    <row r="872">
      <c r="A872" s="39"/>
      <c r="B872" s="17" t="str">
        <f t="shared" si="1"/>
        <v/>
      </c>
      <c r="F872" s="17">
        <f t="shared" si="2"/>
        <v>0</v>
      </c>
    </row>
    <row r="873">
      <c r="A873" s="39"/>
      <c r="B873" s="17" t="str">
        <f t="shared" si="1"/>
        <v/>
      </c>
      <c r="F873" s="17">
        <f t="shared" si="2"/>
        <v>0</v>
      </c>
    </row>
    <row r="874">
      <c r="A874" s="39"/>
      <c r="B874" s="17" t="str">
        <f t="shared" si="1"/>
        <v/>
      </c>
      <c r="F874" s="17">
        <f t="shared" si="2"/>
        <v>0</v>
      </c>
    </row>
    <row r="875">
      <c r="A875" s="39"/>
      <c r="B875" s="17" t="str">
        <f t="shared" si="1"/>
        <v/>
      </c>
      <c r="F875" s="17">
        <f t="shared" si="2"/>
        <v>0</v>
      </c>
    </row>
    <row r="876">
      <c r="A876" s="39"/>
      <c r="B876" s="17" t="str">
        <f t="shared" si="1"/>
        <v/>
      </c>
      <c r="F876" s="17">
        <f t="shared" si="2"/>
        <v>0</v>
      </c>
    </row>
    <row r="877">
      <c r="A877" s="39"/>
      <c r="B877" s="17" t="str">
        <f t="shared" si="1"/>
        <v/>
      </c>
      <c r="F877" s="17">
        <f t="shared" si="2"/>
        <v>0</v>
      </c>
    </row>
    <row r="878">
      <c r="A878" s="39"/>
      <c r="B878" s="17" t="str">
        <f t="shared" si="1"/>
        <v/>
      </c>
      <c r="F878" s="17">
        <f t="shared" si="2"/>
        <v>0</v>
      </c>
    </row>
    <row r="879">
      <c r="A879" s="39"/>
      <c r="B879" s="17" t="str">
        <f t="shared" si="1"/>
        <v/>
      </c>
      <c r="F879" s="17">
        <f t="shared" si="2"/>
        <v>0</v>
      </c>
    </row>
    <row r="880">
      <c r="A880" s="39"/>
      <c r="B880" s="17" t="str">
        <f t="shared" si="1"/>
        <v/>
      </c>
      <c r="F880" s="17">
        <f t="shared" si="2"/>
        <v>0</v>
      </c>
    </row>
    <row r="881">
      <c r="A881" s="39"/>
      <c r="B881" s="17" t="str">
        <f t="shared" si="1"/>
        <v/>
      </c>
      <c r="F881" s="17">
        <f t="shared" si="2"/>
        <v>0</v>
      </c>
    </row>
    <row r="882">
      <c r="A882" s="39"/>
      <c r="B882" s="17" t="str">
        <f t="shared" si="1"/>
        <v/>
      </c>
      <c r="F882" s="17">
        <f t="shared" si="2"/>
        <v>0</v>
      </c>
    </row>
    <row r="883">
      <c r="A883" s="39"/>
      <c r="B883" s="17" t="str">
        <f t="shared" si="1"/>
        <v/>
      </c>
      <c r="F883" s="17">
        <f t="shared" si="2"/>
        <v>0</v>
      </c>
    </row>
    <row r="884">
      <c r="A884" s="39"/>
      <c r="B884" s="17" t="str">
        <f t="shared" si="1"/>
        <v/>
      </c>
      <c r="F884" s="17">
        <f t="shared" si="2"/>
        <v>0</v>
      </c>
    </row>
    <row r="885">
      <c r="A885" s="39"/>
      <c r="B885" s="17" t="str">
        <f t="shared" si="1"/>
        <v/>
      </c>
      <c r="F885" s="17">
        <f t="shared" si="2"/>
        <v>0</v>
      </c>
    </row>
    <row r="886">
      <c r="A886" s="39"/>
      <c r="B886" s="17" t="str">
        <f t="shared" si="1"/>
        <v/>
      </c>
      <c r="F886" s="17">
        <f t="shared" si="2"/>
        <v>0</v>
      </c>
    </row>
    <row r="887">
      <c r="A887" s="39"/>
      <c r="B887" s="17" t="str">
        <f t="shared" si="1"/>
        <v/>
      </c>
      <c r="F887" s="17">
        <f t="shared" si="2"/>
        <v>0</v>
      </c>
    </row>
    <row r="888">
      <c r="A888" s="39"/>
      <c r="B888" s="17" t="str">
        <f t="shared" si="1"/>
        <v/>
      </c>
      <c r="F888" s="17">
        <f t="shared" si="2"/>
        <v>0</v>
      </c>
    </row>
    <row r="889">
      <c r="A889" s="39"/>
      <c r="B889" s="17" t="str">
        <f t="shared" si="1"/>
        <v/>
      </c>
      <c r="F889" s="17">
        <f t="shared" si="2"/>
        <v>0</v>
      </c>
    </row>
    <row r="890">
      <c r="A890" s="39"/>
      <c r="B890" s="17" t="str">
        <f t="shared" si="1"/>
        <v/>
      </c>
      <c r="F890" s="17">
        <f t="shared" si="2"/>
        <v>0</v>
      </c>
    </row>
    <row r="891">
      <c r="A891" s="39"/>
      <c r="B891" s="17" t="str">
        <f t="shared" si="1"/>
        <v/>
      </c>
      <c r="F891" s="17">
        <f t="shared" si="2"/>
        <v>0</v>
      </c>
    </row>
    <row r="892">
      <c r="A892" s="39"/>
      <c r="B892" s="17" t="str">
        <f t="shared" si="1"/>
        <v/>
      </c>
      <c r="F892" s="17">
        <f t="shared" si="2"/>
        <v>0</v>
      </c>
    </row>
    <row r="893">
      <c r="A893" s="39"/>
      <c r="B893" s="17" t="str">
        <f t="shared" si="1"/>
        <v/>
      </c>
      <c r="F893" s="17">
        <f t="shared" si="2"/>
        <v>0</v>
      </c>
    </row>
    <row r="894">
      <c r="A894" s="39"/>
      <c r="B894" s="17" t="str">
        <f t="shared" si="1"/>
        <v/>
      </c>
      <c r="F894" s="17">
        <f t="shared" si="2"/>
        <v>0</v>
      </c>
    </row>
    <row r="895">
      <c r="A895" s="39"/>
      <c r="B895" s="17" t="str">
        <f t="shared" si="1"/>
        <v/>
      </c>
      <c r="F895" s="17">
        <f t="shared" si="2"/>
        <v>0</v>
      </c>
    </row>
    <row r="896">
      <c r="A896" s="39"/>
      <c r="B896" s="17" t="str">
        <f t="shared" si="1"/>
        <v/>
      </c>
      <c r="F896" s="17">
        <f t="shared" si="2"/>
        <v>0</v>
      </c>
    </row>
    <row r="897">
      <c r="A897" s="39"/>
      <c r="B897" s="17" t="str">
        <f t="shared" si="1"/>
        <v/>
      </c>
      <c r="F897" s="17">
        <f t="shared" si="2"/>
        <v>0</v>
      </c>
    </row>
    <row r="898">
      <c r="A898" s="39"/>
      <c r="B898" s="17" t="str">
        <f t="shared" si="1"/>
        <v/>
      </c>
      <c r="F898" s="17">
        <f t="shared" si="2"/>
        <v>0</v>
      </c>
    </row>
    <row r="899">
      <c r="A899" s="39"/>
      <c r="B899" s="17" t="str">
        <f t="shared" si="1"/>
        <v/>
      </c>
      <c r="F899" s="17">
        <f t="shared" si="2"/>
        <v>0</v>
      </c>
    </row>
    <row r="900">
      <c r="A900" s="39"/>
      <c r="B900" s="17" t="str">
        <f t="shared" si="1"/>
        <v/>
      </c>
      <c r="F900" s="17">
        <f t="shared" si="2"/>
        <v>0</v>
      </c>
    </row>
    <row r="901">
      <c r="A901" s="39"/>
      <c r="B901" s="17" t="str">
        <f t="shared" si="1"/>
        <v/>
      </c>
      <c r="F901" s="17">
        <f t="shared" si="2"/>
        <v>0</v>
      </c>
    </row>
    <row r="902">
      <c r="A902" s="39"/>
      <c r="B902" s="17" t="str">
        <f t="shared" si="1"/>
        <v/>
      </c>
      <c r="F902" s="17">
        <f t="shared" si="2"/>
        <v>0</v>
      </c>
    </row>
    <row r="903">
      <c r="A903" s="39"/>
      <c r="B903" s="17" t="str">
        <f t="shared" si="1"/>
        <v/>
      </c>
      <c r="F903" s="17">
        <f t="shared" si="2"/>
        <v>0</v>
      </c>
    </row>
    <row r="904">
      <c r="A904" s="39"/>
      <c r="B904" s="17" t="str">
        <f t="shared" si="1"/>
        <v/>
      </c>
      <c r="F904" s="17">
        <f t="shared" si="2"/>
        <v>0</v>
      </c>
    </row>
    <row r="905">
      <c r="A905" s="39"/>
      <c r="B905" s="17" t="str">
        <f t="shared" si="1"/>
        <v/>
      </c>
      <c r="F905" s="17">
        <f t="shared" si="2"/>
        <v>0</v>
      </c>
    </row>
    <row r="906">
      <c r="A906" s="39"/>
      <c r="B906" s="17" t="str">
        <f t="shared" si="1"/>
        <v/>
      </c>
      <c r="F906" s="17">
        <f t="shared" si="2"/>
        <v>0</v>
      </c>
    </row>
    <row r="907">
      <c r="A907" s="39"/>
      <c r="B907" s="17" t="str">
        <f t="shared" si="1"/>
        <v/>
      </c>
      <c r="F907" s="17">
        <f t="shared" si="2"/>
        <v>0</v>
      </c>
    </row>
    <row r="908">
      <c r="A908" s="39"/>
      <c r="B908" s="17" t="str">
        <f t="shared" si="1"/>
        <v/>
      </c>
      <c r="F908" s="17">
        <f t="shared" si="2"/>
        <v>0</v>
      </c>
    </row>
    <row r="909">
      <c r="A909" s="39"/>
      <c r="B909" s="17" t="str">
        <f t="shared" si="1"/>
        <v/>
      </c>
      <c r="F909" s="17">
        <f t="shared" si="2"/>
        <v>0</v>
      </c>
    </row>
    <row r="910">
      <c r="A910" s="39"/>
      <c r="B910" s="17" t="str">
        <f t="shared" si="1"/>
        <v/>
      </c>
      <c r="F910" s="17">
        <f t="shared" si="2"/>
        <v>0</v>
      </c>
    </row>
    <row r="911">
      <c r="A911" s="39"/>
      <c r="B911" s="17" t="str">
        <f t="shared" si="1"/>
        <v/>
      </c>
      <c r="F911" s="17">
        <f t="shared" si="2"/>
        <v>0</v>
      </c>
    </row>
    <row r="912">
      <c r="A912" s="39"/>
      <c r="B912" s="17" t="str">
        <f t="shared" si="1"/>
        <v/>
      </c>
      <c r="F912" s="17">
        <f t="shared" si="2"/>
        <v>0</v>
      </c>
    </row>
    <row r="913">
      <c r="A913" s="39"/>
      <c r="B913" s="17" t="str">
        <f t="shared" si="1"/>
        <v/>
      </c>
      <c r="F913" s="17">
        <f t="shared" si="2"/>
        <v>0</v>
      </c>
    </row>
    <row r="914">
      <c r="A914" s="39"/>
      <c r="B914" s="17" t="str">
        <f t="shared" si="1"/>
        <v/>
      </c>
      <c r="F914" s="17">
        <f t="shared" si="2"/>
        <v>0</v>
      </c>
    </row>
    <row r="915">
      <c r="A915" s="39"/>
      <c r="B915" s="17" t="str">
        <f t="shared" si="1"/>
        <v/>
      </c>
      <c r="F915" s="17">
        <f t="shared" si="2"/>
        <v>0</v>
      </c>
    </row>
    <row r="916">
      <c r="A916" s="39"/>
      <c r="B916" s="17" t="str">
        <f t="shared" si="1"/>
        <v/>
      </c>
      <c r="F916" s="17">
        <f t="shared" si="2"/>
        <v>0</v>
      </c>
    </row>
    <row r="917">
      <c r="A917" s="39"/>
      <c r="B917" s="17" t="str">
        <f t="shared" si="1"/>
        <v/>
      </c>
      <c r="F917" s="17">
        <f t="shared" si="2"/>
        <v>0</v>
      </c>
    </row>
    <row r="918">
      <c r="A918" s="39"/>
      <c r="B918" s="17" t="str">
        <f t="shared" si="1"/>
        <v/>
      </c>
      <c r="F918" s="17">
        <f t="shared" si="2"/>
        <v>0</v>
      </c>
    </row>
    <row r="919">
      <c r="A919" s="39"/>
      <c r="B919" s="17" t="str">
        <f t="shared" si="1"/>
        <v/>
      </c>
      <c r="F919" s="17">
        <f t="shared" si="2"/>
        <v>0</v>
      </c>
    </row>
    <row r="920">
      <c r="A920" s="39"/>
      <c r="B920" s="17" t="str">
        <f t="shared" si="1"/>
        <v/>
      </c>
      <c r="F920" s="17">
        <f t="shared" si="2"/>
        <v>0</v>
      </c>
    </row>
    <row r="921">
      <c r="A921" s="39"/>
      <c r="B921" s="17" t="str">
        <f t="shared" si="1"/>
        <v/>
      </c>
      <c r="F921" s="17">
        <f t="shared" si="2"/>
        <v>0</v>
      </c>
    </row>
    <row r="922">
      <c r="A922" s="39"/>
      <c r="B922" s="17" t="str">
        <f t="shared" si="1"/>
        <v/>
      </c>
      <c r="F922" s="17">
        <f t="shared" si="2"/>
        <v>0</v>
      </c>
    </row>
    <row r="923">
      <c r="A923" s="39"/>
      <c r="B923" s="17" t="str">
        <f t="shared" si="1"/>
        <v/>
      </c>
      <c r="F923" s="17">
        <f t="shared" si="2"/>
        <v>0</v>
      </c>
    </row>
    <row r="924">
      <c r="A924" s="39"/>
      <c r="B924" s="17" t="str">
        <f t="shared" si="1"/>
        <v/>
      </c>
      <c r="F924" s="17">
        <f t="shared" si="2"/>
        <v>0</v>
      </c>
    </row>
    <row r="925">
      <c r="A925" s="39"/>
      <c r="B925" s="17" t="str">
        <f t="shared" si="1"/>
        <v/>
      </c>
      <c r="F925" s="17">
        <f t="shared" si="2"/>
        <v>0</v>
      </c>
    </row>
    <row r="926">
      <c r="A926" s="39"/>
      <c r="B926" s="17" t="str">
        <f t="shared" si="1"/>
        <v/>
      </c>
      <c r="F926" s="17">
        <f t="shared" si="2"/>
        <v>0</v>
      </c>
    </row>
    <row r="927">
      <c r="A927" s="39"/>
      <c r="B927" s="17" t="str">
        <f t="shared" si="1"/>
        <v/>
      </c>
      <c r="F927" s="17">
        <f t="shared" si="2"/>
        <v>0</v>
      </c>
    </row>
    <row r="928">
      <c r="A928" s="39"/>
      <c r="B928" s="17" t="str">
        <f t="shared" si="1"/>
        <v/>
      </c>
      <c r="F928" s="17">
        <f t="shared" si="2"/>
        <v>0</v>
      </c>
    </row>
    <row r="929">
      <c r="A929" s="39"/>
      <c r="B929" s="17" t="str">
        <f t="shared" si="1"/>
        <v/>
      </c>
      <c r="F929" s="17">
        <f t="shared" si="2"/>
        <v>0</v>
      </c>
    </row>
    <row r="930">
      <c r="A930" s="39"/>
      <c r="B930" s="17" t="str">
        <f t="shared" si="1"/>
        <v/>
      </c>
      <c r="F930" s="17">
        <f t="shared" si="2"/>
        <v>0</v>
      </c>
    </row>
    <row r="931">
      <c r="A931" s="39"/>
      <c r="B931" s="17" t="str">
        <f t="shared" si="1"/>
        <v/>
      </c>
      <c r="F931" s="17">
        <f t="shared" si="2"/>
        <v>0</v>
      </c>
    </row>
    <row r="932">
      <c r="A932" s="39"/>
      <c r="B932" s="17" t="str">
        <f t="shared" si="1"/>
        <v/>
      </c>
      <c r="F932" s="17">
        <f t="shared" si="2"/>
        <v>0</v>
      </c>
    </row>
    <row r="933">
      <c r="A933" s="39"/>
      <c r="B933" s="17" t="str">
        <f t="shared" si="1"/>
        <v/>
      </c>
      <c r="F933" s="17">
        <f t="shared" si="2"/>
        <v>0</v>
      </c>
    </row>
    <row r="934">
      <c r="A934" s="39"/>
      <c r="B934" s="17" t="str">
        <f t="shared" si="1"/>
        <v/>
      </c>
      <c r="F934" s="17">
        <f t="shared" si="2"/>
        <v>0</v>
      </c>
    </row>
    <row r="935">
      <c r="A935" s="39"/>
      <c r="B935" s="17" t="str">
        <f t="shared" si="1"/>
        <v/>
      </c>
      <c r="F935" s="17">
        <f t="shared" si="2"/>
        <v>0</v>
      </c>
    </row>
    <row r="936">
      <c r="A936" s="39"/>
      <c r="B936" s="17" t="str">
        <f t="shared" si="1"/>
        <v/>
      </c>
      <c r="F936" s="17">
        <f t="shared" si="2"/>
        <v>0</v>
      </c>
    </row>
    <row r="937">
      <c r="A937" s="39"/>
      <c r="B937" s="17" t="str">
        <f t="shared" si="1"/>
        <v/>
      </c>
      <c r="F937" s="17">
        <f t="shared" si="2"/>
        <v>0</v>
      </c>
    </row>
    <row r="938">
      <c r="A938" s="39"/>
      <c r="B938" s="17" t="str">
        <f t="shared" si="1"/>
        <v/>
      </c>
      <c r="F938" s="17">
        <f t="shared" si="2"/>
        <v>0</v>
      </c>
    </row>
    <row r="939">
      <c r="A939" s="39"/>
      <c r="B939" s="17" t="str">
        <f t="shared" si="1"/>
        <v/>
      </c>
      <c r="F939" s="17">
        <f t="shared" si="2"/>
        <v>0</v>
      </c>
    </row>
    <row r="940">
      <c r="A940" s="39"/>
      <c r="B940" s="17" t="str">
        <f t="shared" si="1"/>
        <v/>
      </c>
      <c r="F940" s="17">
        <f t="shared" si="2"/>
        <v>0</v>
      </c>
    </row>
    <row r="941">
      <c r="A941" s="39"/>
      <c r="B941" s="17" t="str">
        <f t="shared" si="1"/>
        <v/>
      </c>
      <c r="F941" s="17">
        <f t="shared" si="2"/>
        <v>0</v>
      </c>
    </row>
    <row r="942">
      <c r="A942" s="39"/>
      <c r="B942" s="17" t="str">
        <f t="shared" si="1"/>
        <v/>
      </c>
      <c r="F942" s="17">
        <f t="shared" si="2"/>
        <v>0</v>
      </c>
    </row>
    <row r="943">
      <c r="A943" s="39"/>
      <c r="B943" s="17" t="str">
        <f t="shared" si="1"/>
        <v/>
      </c>
      <c r="F943" s="17">
        <f t="shared" si="2"/>
        <v>0</v>
      </c>
    </row>
    <row r="944">
      <c r="A944" s="39"/>
      <c r="B944" s="17" t="str">
        <f t="shared" si="1"/>
        <v/>
      </c>
      <c r="F944" s="17">
        <f t="shared" si="2"/>
        <v>0</v>
      </c>
    </row>
    <row r="945">
      <c r="A945" s="39"/>
      <c r="B945" s="17" t="str">
        <f t="shared" si="1"/>
        <v/>
      </c>
      <c r="F945" s="17">
        <f t="shared" si="2"/>
        <v>0</v>
      </c>
    </row>
    <row r="946">
      <c r="A946" s="39"/>
      <c r="B946" s="17" t="str">
        <f t="shared" si="1"/>
        <v/>
      </c>
      <c r="F946" s="17">
        <f t="shared" si="2"/>
        <v>0</v>
      </c>
    </row>
    <row r="947">
      <c r="A947" s="39"/>
      <c r="B947" s="17" t="str">
        <f t="shared" si="1"/>
        <v/>
      </c>
      <c r="F947" s="17">
        <f t="shared" si="2"/>
        <v>0</v>
      </c>
    </row>
    <row r="948">
      <c r="A948" s="39"/>
      <c r="B948" s="17" t="str">
        <f t="shared" si="1"/>
        <v/>
      </c>
      <c r="F948" s="17">
        <f t="shared" si="2"/>
        <v>0</v>
      </c>
    </row>
    <row r="949">
      <c r="A949" s="39"/>
      <c r="B949" s="17" t="str">
        <f t="shared" si="1"/>
        <v/>
      </c>
      <c r="F949" s="17">
        <f t="shared" si="2"/>
        <v>0</v>
      </c>
    </row>
    <row r="950">
      <c r="A950" s="39"/>
      <c r="B950" s="17" t="str">
        <f t="shared" si="1"/>
        <v/>
      </c>
      <c r="F950" s="17">
        <f t="shared" si="2"/>
        <v>0</v>
      </c>
    </row>
    <row r="951">
      <c r="A951" s="39"/>
      <c r="B951" s="17" t="str">
        <f t="shared" si="1"/>
        <v/>
      </c>
      <c r="F951" s="17">
        <f t="shared" si="2"/>
        <v>0</v>
      </c>
    </row>
    <row r="952">
      <c r="A952" s="39"/>
      <c r="B952" s="17" t="str">
        <f t="shared" si="1"/>
        <v/>
      </c>
      <c r="F952" s="17">
        <f t="shared" si="2"/>
        <v>0</v>
      </c>
    </row>
    <row r="953">
      <c r="A953" s="39"/>
      <c r="B953" s="17" t="str">
        <f t="shared" si="1"/>
        <v/>
      </c>
      <c r="F953" s="17">
        <f t="shared" si="2"/>
        <v>0</v>
      </c>
    </row>
    <row r="954">
      <c r="A954" s="39"/>
      <c r="B954" s="17" t="str">
        <f t="shared" si="1"/>
        <v/>
      </c>
      <c r="F954" s="17">
        <f t="shared" si="2"/>
        <v>0</v>
      </c>
    </row>
    <row r="955">
      <c r="A955" s="39"/>
      <c r="B955" s="17" t="str">
        <f t="shared" si="1"/>
        <v/>
      </c>
      <c r="F955" s="17">
        <f t="shared" si="2"/>
        <v>0</v>
      </c>
    </row>
    <row r="956">
      <c r="A956" s="39"/>
      <c r="B956" s="17" t="str">
        <f t="shared" si="1"/>
        <v/>
      </c>
      <c r="F956" s="17">
        <f t="shared" si="2"/>
        <v>0</v>
      </c>
    </row>
    <row r="957">
      <c r="A957" s="39"/>
      <c r="B957" s="17" t="str">
        <f t="shared" si="1"/>
        <v/>
      </c>
      <c r="F957" s="17">
        <f t="shared" si="2"/>
        <v>0</v>
      </c>
    </row>
    <row r="958">
      <c r="A958" s="39"/>
      <c r="B958" s="17" t="str">
        <f t="shared" si="1"/>
        <v/>
      </c>
      <c r="F958" s="17">
        <f t="shared" si="2"/>
        <v>0</v>
      </c>
    </row>
    <row r="959">
      <c r="A959" s="39"/>
      <c r="B959" s="17" t="str">
        <f t="shared" si="1"/>
        <v/>
      </c>
      <c r="F959" s="17">
        <f t="shared" si="2"/>
        <v>0</v>
      </c>
    </row>
    <row r="960">
      <c r="A960" s="39"/>
      <c r="B960" s="17" t="str">
        <f t="shared" si="1"/>
        <v/>
      </c>
      <c r="F960" s="17">
        <f t="shared" si="2"/>
        <v>0</v>
      </c>
    </row>
    <row r="961">
      <c r="A961" s="39"/>
      <c r="B961" s="17" t="str">
        <f t="shared" si="1"/>
        <v/>
      </c>
      <c r="F961" s="17">
        <f t="shared" si="2"/>
        <v>0</v>
      </c>
    </row>
    <row r="962">
      <c r="A962" s="39"/>
      <c r="B962" s="17" t="str">
        <f t="shared" si="1"/>
        <v/>
      </c>
      <c r="F962" s="17">
        <f t="shared" si="2"/>
        <v>0</v>
      </c>
    </row>
    <row r="963">
      <c r="A963" s="39"/>
      <c r="B963" s="17" t="str">
        <f t="shared" si="1"/>
        <v/>
      </c>
      <c r="F963" s="17">
        <f t="shared" si="2"/>
        <v>0</v>
      </c>
    </row>
    <row r="964">
      <c r="A964" s="39"/>
      <c r="B964" s="17" t="str">
        <f t="shared" si="1"/>
        <v/>
      </c>
      <c r="F964" s="17">
        <f t="shared" si="2"/>
        <v>0</v>
      </c>
    </row>
    <row r="965">
      <c r="A965" s="39"/>
      <c r="B965" s="17" t="str">
        <f t="shared" si="1"/>
        <v/>
      </c>
      <c r="F965" s="17">
        <f t="shared" si="2"/>
        <v>0</v>
      </c>
    </row>
    <row r="966">
      <c r="A966" s="39"/>
      <c r="B966" s="17" t="str">
        <f t="shared" si="1"/>
        <v/>
      </c>
      <c r="F966" s="17">
        <f t="shared" si="2"/>
        <v>0</v>
      </c>
    </row>
    <row r="967">
      <c r="A967" s="39"/>
      <c r="B967" s="17" t="str">
        <f t="shared" si="1"/>
        <v/>
      </c>
      <c r="F967" s="17">
        <f t="shared" si="2"/>
        <v>0</v>
      </c>
    </row>
    <row r="968">
      <c r="A968" s="39"/>
      <c r="B968" s="17" t="str">
        <f t="shared" si="1"/>
        <v/>
      </c>
      <c r="F968" s="17">
        <f t="shared" si="2"/>
        <v>0</v>
      </c>
    </row>
    <row r="969">
      <c r="A969" s="39"/>
      <c r="B969" s="17" t="str">
        <f t="shared" si="1"/>
        <v/>
      </c>
      <c r="F969" s="17">
        <f t="shared" si="2"/>
        <v>0</v>
      </c>
    </row>
    <row r="970">
      <c r="A970" s="39"/>
      <c r="B970" s="17" t="str">
        <f t="shared" si="1"/>
        <v/>
      </c>
      <c r="F970" s="17">
        <f t="shared" si="2"/>
        <v>0</v>
      </c>
    </row>
    <row r="971">
      <c r="A971" s="39"/>
      <c r="B971" s="17" t="str">
        <f t="shared" si="1"/>
        <v/>
      </c>
      <c r="F971" s="17">
        <f t="shared" si="2"/>
        <v>0</v>
      </c>
    </row>
    <row r="972">
      <c r="A972" s="39"/>
      <c r="B972" s="17" t="str">
        <f t="shared" si="1"/>
        <v/>
      </c>
      <c r="F972" s="17">
        <f t="shared" si="2"/>
        <v>0</v>
      </c>
    </row>
    <row r="973">
      <c r="A973" s="39"/>
      <c r="B973" s="17" t="str">
        <f t="shared" si="1"/>
        <v/>
      </c>
      <c r="F973" s="17">
        <f t="shared" si="2"/>
        <v>0</v>
      </c>
    </row>
    <row r="974">
      <c r="A974" s="39"/>
      <c r="B974" s="17" t="str">
        <f t="shared" si="1"/>
        <v/>
      </c>
      <c r="F974" s="17">
        <f t="shared" si="2"/>
        <v>0</v>
      </c>
    </row>
    <row r="975">
      <c r="A975" s="39"/>
      <c r="B975" s="17" t="str">
        <f t="shared" si="1"/>
        <v/>
      </c>
      <c r="F975" s="17">
        <f t="shared" si="2"/>
        <v>0</v>
      </c>
    </row>
    <row r="976">
      <c r="A976" s="39"/>
      <c r="B976" s="17" t="str">
        <f t="shared" si="1"/>
        <v/>
      </c>
      <c r="F976" s="17">
        <f t="shared" si="2"/>
        <v>0</v>
      </c>
    </row>
    <row r="977">
      <c r="A977" s="39"/>
      <c r="B977" s="17" t="str">
        <f t="shared" si="1"/>
        <v/>
      </c>
      <c r="F977" s="17">
        <f t="shared" si="2"/>
        <v>0</v>
      </c>
    </row>
    <row r="978">
      <c r="A978" s="39"/>
      <c r="B978" s="17" t="str">
        <f t="shared" si="1"/>
        <v/>
      </c>
      <c r="F978" s="17">
        <f t="shared" si="2"/>
        <v>0</v>
      </c>
    </row>
    <row r="979">
      <c r="A979" s="39"/>
      <c r="B979" s="17" t="str">
        <f t="shared" si="1"/>
        <v/>
      </c>
      <c r="F979" s="17">
        <f t="shared" si="2"/>
        <v>0</v>
      </c>
    </row>
    <row r="980">
      <c r="A980" s="39"/>
      <c r="B980" s="17" t="str">
        <f t="shared" si="1"/>
        <v/>
      </c>
      <c r="F980" s="17">
        <f t="shared" si="2"/>
        <v>0</v>
      </c>
    </row>
    <row r="981">
      <c r="A981" s="39"/>
      <c r="B981" s="17" t="str">
        <f t="shared" si="1"/>
        <v/>
      </c>
      <c r="F981" s="17">
        <f t="shared" si="2"/>
        <v>0</v>
      </c>
    </row>
    <row r="982">
      <c r="A982" s="39"/>
      <c r="B982" s="17" t="str">
        <f t="shared" si="1"/>
        <v/>
      </c>
      <c r="F982" s="17">
        <f t="shared" si="2"/>
        <v>0</v>
      </c>
    </row>
    <row r="983">
      <c r="A983" s="39"/>
      <c r="B983" s="17" t="str">
        <f t="shared" si="1"/>
        <v/>
      </c>
      <c r="F983" s="17">
        <f t="shared" si="2"/>
        <v>0</v>
      </c>
    </row>
    <row r="984">
      <c r="A984" s="39"/>
      <c r="B984" s="17" t="str">
        <f t="shared" si="1"/>
        <v/>
      </c>
      <c r="F984" s="17">
        <f t="shared" si="2"/>
        <v>0</v>
      </c>
    </row>
    <row r="985">
      <c r="A985" s="39"/>
      <c r="B985" s="17" t="str">
        <f t="shared" si="1"/>
        <v/>
      </c>
      <c r="F985" s="17">
        <f t="shared" si="2"/>
        <v>0</v>
      </c>
    </row>
    <row r="986">
      <c r="A986" s="39"/>
      <c r="B986" s="17" t="str">
        <f t="shared" si="1"/>
        <v/>
      </c>
      <c r="F986" s="17">
        <f t="shared" si="2"/>
        <v>0</v>
      </c>
    </row>
    <row r="987">
      <c r="A987" s="39"/>
      <c r="B987" s="17" t="str">
        <f t="shared" si="1"/>
        <v/>
      </c>
      <c r="F987" s="17">
        <f t="shared" si="2"/>
        <v>0</v>
      </c>
    </row>
    <row r="988">
      <c r="A988" s="39"/>
      <c r="B988" s="17" t="str">
        <f t="shared" si="1"/>
        <v/>
      </c>
      <c r="F988" s="17">
        <f t="shared" si="2"/>
        <v>0</v>
      </c>
    </row>
    <row r="989">
      <c r="A989" s="39"/>
      <c r="B989" s="17" t="str">
        <f t="shared" si="1"/>
        <v/>
      </c>
      <c r="F989" s="17">
        <f t="shared" si="2"/>
        <v>0</v>
      </c>
    </row>
    <row r="990">
      <c r="A990" s="39"/>
      <c r="B990" s="17" t="str">
        <f t="shared" si="1"/>
        <v/>
      </c>
      <c r="F990" s="17">
        <f t="shared" si="2"/>
        <v>0</v>
      </c>
    </row>
    <row r="991">
      <c r="A991" s="39"/>
      <c r="B991" s="17" t="str">
        <f t="shared" si="1"/>
        <v/>
      </c>
      <c r="F991" s="17">
        <f t="shared" si="2"/>
        <v>0</v>
      </c>
    </row>
    <row r="992">
      <c r="A992" s="39"/>
      <c r="B992" s="17" t="str">
        <f t="shared" si="1"/>
        <v/>
      </c>
      <c r="F992" s="17">
        <f t="shared" si="2"/>
        <v>0</v>
      </c>
    </row>
    <row r="993">
      <c r="A993" s="39"/>
      <c r="B993" s="17" t="str">
        <f t="shared" si="1"/>
        <v/>
      </c>
      <c r="F993" s="17">
        <f t="shared" si="2"/>
        <v>0</v>
      </c>
    </row>
    <row r="994">
      <c r="A994" s="39"/>
      <c r="B994" s="17" t="str">
        <f t="shared" si="1"/>
        <v/>
      </c>
      <c r="F994" s="17">
        <f t="shared" si="2"/>
        <v>0</v>
      </c>
    </row>
    <row r="995">
      <c r="A995" s="39"/>
      <c r="B995" s="17" t="str">
        <f t="shared" si="1"/>
        <v/>
      </c>
      <c r="F995" s="17">
        <f t="shared" si="2"/>
        <v>0</v>
      </c>
    </row>
    <row r="996">
      <c r="A996" s="39"/>
      <c r="B996" s="17" t="str">
        <f t="shared" si="1"/>
        <v/>
      </c>
      <c r="F996" s="17">
        <f t="shared" si="2"/>
        <v>0</v>
      </c>
    </row>
    <row r="997">
      <c r="A997" s="39"/>
      <c r="B997" s="17" t="str">
        <f t="shared" si="1"/>
        <v/>
      </c>
      <c r="F997" s="17">
        <f t="shared" si="2"/>
        <v>0</v>
      </c>
    </row>
    <row r="998">
      <c r="A998" s="39"/>
      <c r="B998" s="17" t="str">
        <f t="shared" si="1"/>
        <v/>
      </c>
      <c r="F998" s="17">
        <f t="shared" si="2"/>
        <v>0</v>
      </c>
    </row>
    <row r="999">
      <c r="A999" s="39"/>
      <c r="B999" s="17" t="str">
        <f t="shared" si="1"/>
        <v/>
      </c>
      <c r="F999" s="17">
        <f t="shared" si="2"/>
        <v>0</v>
      </c>
    </row>
    <row r="1000">
      <c r="A1000" s="39"/>
      <c r="B1000" s="17" t="str">
        <f t="shared" si="1"/>
        <v/>
      </c>
      <c r="F1000" s="17">
        <f t="shared" si="2"/>
        <v>0</v>
      </c>
    </row>
    <row r="1001">
      <c r="A1001" s="39"/>
      <c r="B1001" s="17" t="str">
        <f t="shared" si="1"/>
        <v/>
      </c>
      <c r="F1001" s="17">
        <f t="shared" si="2"/>
        <v>0</v>
      </c>
    </row>
    <row r="1002">
      <c r="A1002" s="39"/>
      <c r="B1002" s="17" t="str">
        <f t="shared" si="1"/>
        <v/>
      </c>
      <c r="F1002" s="17">
        <f t="shared" si="2"/>
        <v>0</v>
      </c>
    </row>
  </sheetData>
  <autoFilter ref="$A$1:$F$1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18.43"/>
    <col customWidth="1" min="2" max="2" width="32.86"/>
    <col customWidth="1" min="3" max="3" width="14.86"/>
    <col customWidth="1" min="4" max="4" width="14.0"/>
    <col customWidth="1" min="5" max="5" width="13.57"/>
    <col customWidth="1" min="6" max="6" width="8.14"/>
    <col customWidth="1" min="7" max="9" width="12.0"/>
    <col customWidth="1" min="10" max="12" width="11.86"/>
    <col customWidth="1" min="13" max="18" width="11.71"/>
    <col customWidth="1" min="19" max="21" width="7.71"/>
  </cols>
  <sheetData>
    <row r="1">
      <c r="A1" s="114" t="s">
        <v>1698</v>
      </c>
      <c r="B1" s="114" t="s">
        <v>600</v>
      </c>
      <c r="C1" s="114" t="s">
        <v>1699</v>
      </c>
      <c r="D1" s="114" t="s">
        <v>1700</v>
      </c>
      <c r="E1" s="114" t="s">
        <v>1701</v>
      </c>
      <c r="F1" s="114" t="s">
        <v>1702</v>
      </c>
      <c r="G1" s="114" t="s">
        <v>1703</v>
      </c>
      <c r="H1" s="114" t="s">
        <v>1704</v>
      </c>
      <c r="I1" s="114" t="s">
        <v>1705</v>
      </c>
      <c r="J1" s="114" t="s">
        <v>1706</v>
      </c>
      <c r="K1" s="114" t="s">
        <v>1707</v>
      </c>
      <c r="L1" s="114" t="s">
        <v>1708</v>
      </c>
      <c r="M1" s="114" t="s">
        <v>1709</v>
      </c>
      <c r="N1" s="114" t="s">
        <v>1710</v>
      </c>
      <c r="O1" s="114" t="s">
        <v>1711</v>
      </c>
      <c r="P1" s="114" t="s">
        <v>1712</v>
      </c>
      <c r="Q1" s="114" t="s">
        <v>1713</v>
      </c>
      <c r="R1" s="114" t="s">
        <v>1714</v>
      </c>
      <c r="S1" s="114" t="s">
        <v>1715</v>
      </c>
      <c r="T1" s="114" t="s">
        <v>1716</v>
      </c>
      <c r="U1" s="114" t="s">
        <v>1717</v>
      </c>
    </row>
    <row r="2">
      <c r="A2" s="115" t="s">
        <v>1718</v>
      </c>
      <c r="B2" s="115" t="s">
        <v>1719</v>
      </c>
      <c r="C2" s="115" t="s">
        <v>284</v>
      </c>
      <c r="D2" s="115" t="s">
        <v>1720</v>
      </c>
      <c r="E2" s="115" t="s">
        <v>1721</v>
      </c>
      <c r="F2" s="116">
        <v>6.0</v>
      </c>
      <c r="G2" s="117"/>
      <c r="H2" s="118"/>
      <c r="I2" s="119"/>
      <c r="J2" s="119"/>
      <c r="K2" s="119"/>
      <c r="L2" s="119"/>
      <c r="M2" s="120"/>
      <c r="N2" s="120"/>
      <c r="O2" s="120"/>
      <c r="P2" s="120"/>
      <c r="Q2" s="120"/>
      <c r="R2" s="120"/>
      <c r="S2" s="120"/>
      <c r="T2" s="120"/>
      <c r="U2" s="120"/>
    </row>
    <row r="3">
      <c r="A3" s="115" t="s">
        <v>1718</v>
      </c>
      <c r="B3" s="115" t="s">
        <v>1719</v>
      </c>
      <c r="C3" s="115" t="s">
        <v>125</v>
      </c>
      <c r="D3" s="115" t="s">
        <v>1720</v>
      </c>
      <c r="E3" s="115" t="s">
        <v>1721</v>
      </c>
      <c r="F3" s="116">
        <v>6.0</v>
      </c>
      <c r="G3" s="121"/>
      <c r="H3" s="121"/>
      <c r="I3" s="118"/>
      <c r="J3" s="121"/>
      <c r="K3" s="121"/>
      <c r="L3" s="119"/>
      <c r="M3" s="120"/>
      <c r="N3" s="120"/>
      <c r="O3" s="120"/>
      <c r="P3" s="120"/>
      <c r="Q3" s="120"/>
      <c r="R3" s="120"/>
      <c r="S3" s="120"/>
      <c r="T3" s="120"/>
      <c r="U3" s="120"/>
    </row>
    <row r="4">
      <c r="A4" s="115" t="s">
        <v>1718</v>
      </c>
      <c r="B4" s="115" t="s">
        <v>1719</v>
      </c>
      <c r="C4" s="115" t="s">
        <v>436</v>
      </c>
      <c r="D4" s="115" t="s">
        <v>1720</v>
      </c>
      <c r="E4" s="115" t="s">
        <v>1721</v>
      </c>
      <c r="F4" s="116">
        <v>6.0</v>
      </c>
      <c r="G4" s="119"/>
      <c r="H4" s="119"/>
      <c r="I4" s="119"/>
      <c r="J4" s="119"/>
      <c r="K4" s="119"/>
      <c r="L4" s="119"/>
      <c r="M4" s="120"/>
      <c r="N4" s="120"/>
      <c r="O4" s="120"/>
      <c r="P4" s="120"/>
      <c r="Q4" s="120"/>
      <c r="R4" s="120"/>
      <c r="S4" s="120"/>
      <c r="T4" s="120"/>
      <c r="U4" s="120"/>
    </row>
    <row r="5">
      <c r="A5" s="115" t="s">
        <v>1718</v>
      </c>
      <c r="B5" s="115" t="s">
        <v>1719</v>
      </c>
      <c r="C5" s="115" t="s">
        <v>1722</v>
      </c>
      <c r="D5" s="115" t="s">
        <v>1720</v>
      </c>
      <c r="E5" s="115" t="s">
        <v>1721</v>
      </c>
      <c r="F5" s="116">
        <v>6.0</v>
      </c>
      <c r="G5" s="122"/>
      <c r="H5" s="122"/>
      <c r="I5" s="119"/>
      <c r="J5" s="119"/>
      <c r="K5" s="119"/>
      <c r="L5" s="119"/>
      <c r="M5" s="120"/>
      <c r="N5" s="120"/>
      <c r="O5" s="120"/>
      <c r="P5" s="120"/>
      <c r="Q5" s="120"/>
      <c r="R5" s="120"/>
      <c r="S5" s="120"/>
      <c r="T5" s="120"/>
      <c r="U5" s="120"/>
    </row>
    <row r="6">
      <c r="A6" s="115" t="s">
        <v>1718</v>
      </c>
      <c r="B6" s="115" t="s">
        <v>1719</v>
      </c>
      <c r="C6" s="115" t="s">
        <v>1676</v>
      </c>
      <c r="D6" s="115" t="s">
        <v>1720</v>
      </c>
      <c r="E6" s="115" t="s">
        <v>1721</v>
      </c>
      <c r="F6" s="116">
        <v>6.0</v>
      </c>
      <c r="G6" s="121"/>
      <c r="H6" s="122"/>
      <c r="I6" s="119"/>
      <c r="J6" s="119"/>
      <c r="K6" s="119"/>
      <c r="L6" s="119"/>
      <c r="M6" s="120"/>
      <c r="N6" s="120"/>
      <c r="O6" s="120"/>
      <c r="P6" s="120"/>
      <c r="Q6" s="120"/>
      <c r="R6" s="120"/>
      <c r="S6" s="120"/>
      <c r="T6" s="120"/>
      <c r="U6" s="120"/>
    </row>
    <row r="7">
      <c r="A7" s="115" t="s">
        <v>1718</v>
      </c>
      <c r="B7" s="115" t="s">
        <v>1719</v>
      </c>
      <c r="C7" s="115" t="s">
        <v>287</v>
      </c>
      <c r="D7" s="115" t="s">
        <v>1720</v>
      </c>
      <c r="E7" s="115" t="s">
        <v>1721</v>
      </c>
      <c r="F7" s="116">
        <v>6.0</v>
      </c>
      <c r="G7" s="118"/>
      <c r="H7" s="118"/>
      <c r="I7" s="119"/>
      <c r="J7" s="119"/>
      <c r="K7" s="119"/>
      <c r="L7" s="119"/>
      <c r="M7" s="120"/>
      <c r="N7" s="120"/>
      <c r="O7" s="120"/>
      <c r="P7" s="120"/>
      <c r="Q7" s="120"/>
      <c r="R7" s="120"/>
      <c r="S7" s="120"/>
      <c r="T7" s="120"/>
      <c r="U7" s="120"/>
    </row>
    <row r="8" hidden="1">
      <c r="A8" s="115" t="s">
        <v>1718</v>
      </c>
      <c r="B8" s="115" t="s">
        <v>1723</v>
      </c>
      <c r="C8" s="115" t="s">
        <v>284</v>
      </c>
      <c r="D8" s="115" t="s">
        <v>1724</v>
      </c>
      <c r="E8" s="115" t="s">
        <v>1721</v>
      </c>
      <c r="F8" s="116">
        <v>6.0</v>
      </c>
      <c r="G8" s="119"/>
      <c r="H8" s="119"/>
      <c r="I8" s="119"/>
      <c r="J8" s="119"/>
      <c r="K8" s="119"/>
      <c r="L8" s="119"/>
      <c r="M8" s="120"/>
      <c r="N8" s="120"/>
      <c r="O8" s="120"/>
      <c r="P8" s="120"/>
      <c r="Q8" s="120"/>
      <c r="R8" s="120"/>
      <c r="S8" s="120"/>
      <c r="T8" s="120"/>
      <c r="U8" s="120"/>
    </row>
    <row r="9" hidden="1">
      <c r="A9" s="115" t="s">
        <v>1718</v>
      </c>
      <c r="B9" s="115" t="s">
        <v>1723</v>
      </c>
      <c r="C9" s="115" t="s">
        <v>125</v>
      </c>
      <c r="D9" s="115" t="s">
        <v>1724</v>
      </c>
      <c r="E9" s="115" t="s">
        <v>1721</v>
      </c>
      <c r="F9" s="116">
        <v>6.0</v>
      </c>
      <c r="G9" s="119"/>
      <c r="H9" s="119"/>
      <c r="I9" s="119"/>
      <c r="J9" s="119"/>
      <c r="K9" s="119"/>
      <c r="L9" s="119"/>
      <c r="M9" s="120"/>
      <c r="N9" s="120"/>
      <c r="O9" s="120"/>
      <c r="P9" s="120"/>
      <c r="Q9" s="120"/>
      <c r="R9" s="120"/>
      <c r="S9" s="120"/>
      <c r="T9" s="120"/>
      <c r="U9" s="120"/>
    </row>
    <row r="10" hidden="1">
      <c r="A10" s="115" t="s">
        <v>1718</v>
      </c>
      <c r="B10" s="115" t="s">
        <v>1723</v>
      </c>
      <c r="C10" s="115" t="s">
        <v>436</v>
      </c>
      <c r="D10" s="115" t="s">
        <v>1724</v>
      </c>
      <c r="E10" s="115" t="s">
        <v>1721</v>
      </c>
      <c r="F10" s="116">
        <v>6.0</v>
      </c>
      <c r="G10" s="119"/>
      <c r="H10" s="119"/>
      <c r="I10" s="119"/>
      <c r="J10" s="119"/>
      <c r="K10" s="119"/>
      <c r="L10" s="119"/>
      <c r="M10" s="120"/>
      <c r="N10" s="120"/>
      <c r="O10" s="120"/>
      <c r="P10" s="120"/>
      <c r="Q10" s="120"/>
      <c r="R10" s="120"/>
      <c r="S10" s="120"/>
      <c r="T10" s="120"/>
      <c r="U10" s="120"/>
    </row>
    <row r="11" hidden="1">
      <c r="A11" s="115" t="s">
        <v>1718</v>
      </c>
      <c r="B11" s="115" t="s">
        <v>1723</v>
      </c>
      <c r="C11" s="115" t="s">
        <v>1722</v>
      </c>
      <c r="D11" s="115" t="s">
        <v>1724</v>
      </c>
      <c r="E11" s="115" t="s">
        <v>1721</v>
      </c>
      <c r="F11" s="116">
        <v>6.0</v>
      </c>
      <c r="G11" s="119"/>
      <c r="H11" s="119"/>
      <c r="I11" s="119"/>
      <c r="J11" s="119"/>
      <c r="K11" s="119"/>
      <c r="L11" s="119"/>
      <c r="M11" s="120"/>
      <c r="N11" s="120"/>
      <c r="O11" s="120"/>
      <c r="P11" s="120"/>
      <c r="Q11" s="120"/>
      <c r="R11" s="120"/>
      <c r="S11" s="120"/>
      <c r="T11" s="120"/>
      <c r="U11" s="120"/>
    </row>
    <row r="12" hidden="1">
      <c r="A12" s="115" t="s">
        <v>1718</v>
      </c>
      <c r="B12" s="115" t="s">
        <v>1723</v>
      </c>
      <c r="C12" s="115" t="s">
        <v>1676</v>
      </c>
      <c r="D12" s="115" t="s">
        <v>1724</v>
      </c>
      <c r="E12" s="115" t="s">
        <v>1721</v>
      </c>
      <c r="F12" s="116">
        <v>6.0</v>
      </c>
      <c r="G12" s="119"/>
      <c r="H12" s="119"/>
      <c r="I12" s="119"/>
      <c r="J12" s="119"/>
      <c r="K12" s="119"/>
      <c r="L12" s="119"/>
      <c r="M12" s="120"/>
      <c r="N12" s="120"/>
      <c r="O12" s="120"/>
      <c r="P12" s="120"/>
      <c r="Q12" s="120"/>
      <c r="R12" s="120"/>
      <c r="S12" s="120"/>
      <c r="T12" s="120"/>
      <c r="U12" s="120"/>
    </row>
    <row r="13" hidden="1">
      <c r="A13" s="115" t="s">
        <v>1718</v>
      </c>
      <c r="B13" s="115" t="s">
        <v>1723</v>
      </c>
      <c r="C13" s="115" t="s">
        <v>287</v>
      </c>
      <c r="D13" s="115" t="s">
        <v>1724</v>
      </c>
      <c r="E13" s="115" t="s">
        <v>1721</v>
      </c>
      <c r="F13" s="116">
        <v>6.0</v>
      </c>
      <c r="G13" s="119"/>
      <c r="H13" s="119"/>
      <c r="I13" s="119"/>
      <c r="J13" s="119"/>
      <c r="K13" s="119"/>
      <c r="L13" s="119"/>
      <c r="M13" s="120"/>
      <c r="N13" s="120"/>
      <c r="O13" s="120"/>
      <c r="P13" s="120"/>
      <c r="Q13" s="120"/>
      <c r="R13" s="120"/>
      <c r="S13" s="120"/>
      <c r="T13" s="120"/>
      <c r="U13" s="120"/>
    </row>
    <row r="14" hidden="1">
      <c r="A14" s="115" t="s">
        <v>1718</v>
      </c>
      <c r="B14" s="115" t="s">
        <v>1725</v>
      </c>
      <c r="C14" s="115" t="s">
        <v>284</v>
      </c>
      <c r="D14" s="115" t="s">
        <v>1724</v>
      </c>
      <c r="E14" s="115" t="s">
        <v>1721</v>
      </c>
      <c r="F14" s="116">
        <v>6.0</v>
      </c>
      <c r="G14" s="119"/>
      <c r="H14" s="119"/>
      <c r="I14" s="119"/>
      <c r="J14" s="119"/>
      <c r="K14" s="119"/>
      <c r="L14" s="119"/>
      <c r="M14" s="120"/>
      <c r="N14" s="120"/>
      <c r="O14" s="120"/>
      <c r="P14" s="120"/>
      <c r="Q14" s="120"/>
      <c r="R14" s="120"/>
      <c r="S14" s="120"/>
      <c r="T14" s="120"/>
      <c r="U14" s="120"/>
    </row>
    <row r="15" hidden="1">
      <c r="A15" s="115" t="s">
        <v>1718</v>
      </c>
      <c r="B15" s="115" t="s">
        <v>1725</v>
      </c>
      <c r="C15" s="115" t="s">
        <v>125</v>
      </c>
      <c r="D15" s="115" t="s">
        <v>1724</v>
      </c>
      <c r="E15" s="115" t="s">
        <v>1721</v>
      </c>
      <c r="F15" s="116">
        <v>6.0</v>
      </c>
      <c r="G15" s="119"/>
      <c r="H15" s="119"/>
      <c r="I15" s="119"/>
      <c r="J15" s="119"/>
      <c r="K15" s="119"/>
      <c r="L15" s="119"/>
      <c r="M15" s="120"/>
      <c r="N15" s="120"/>
      <c r="O15" s="120"/>
      <c r="P15" s="120"/>
      <c r="Q15" s="120"/>
      <c r="R15" s="120"/>
      <c r="S15" s="120"/>
      <c r="T15" s="120"/>
      <c r="U15" s="120"/>
    </row>
    <row r="16" hidden="1">
      <c r="A16" s="115" t="s">
        <v>1718</v>
      </c>
      <c r="B16" s="115" t="s">
        <v>1725</v>
      </c>
      <c r="C16" s="115" t="s">
        <v>436</v>
      </c>
      <c r="D16" s="115" t="s">
        <v>1724</v>
      </c>
      <c r="E16" s="115" t="s">
        <v>1721</v>
      </c>
      <c r="F16" s="116">
        <v>6.0</v>
      </c>
      <c r="G16" s="119"/>
      <c r="H16" s="119"/>
      <c r="I16" s="119"/>
      <c r="J16" s="119"/>
      <c r="K16" s="119"/>
      <c r="L16" s="119"/>
      <c r="M16" s="120"/>
      <c r="N16" s="120"/>
      <c r="O16" s="120"/>
      <c r="P16" s="120"/>
      <c r="Q16" s="120"/>
      <c r="R16" s="120"/>
      <c r="S16" s="120"/>
      <c r="T16" s="120"/>
      <c r="U16" s="120"/>
    </row>
    <row r="17" hidden="1">
      <c r="A17" s="115" t="s">
        <v>1718</v>
      </c>
      <c r="B17" s="115" t="s">
        <v>1725</v>
      </c>
      <c r="C17" s="115" t="s">
        <v>1722</v>
      </c>
      <c r="D17" s="115" t="s">
        <v>1724</v>
      </c>
      <c r="E17" s="115" t="s">
        <v>1721</v>
      </c>
      <c r="F17" s="116">
        <v>6.0</v>
      </c>
      <c r="G17" s="119"/>
      <c r="H17" s="119"/>
      <c r="I17" s="119"/>
      <c r="J17" s="119"/>
      <c r="K17" s="119"/>
      <c r="L17" s="119"/>
      <c r="M17" s="120"/>
      <c r="N17" s="120"/>
      <c r="O17" s="120"/>
      <c r="P17" s="120"/>
      <c r="Q17" s="120"/>
      <c r="R17" s="120"/>
      <c r="S17" s="120"/>
      <c r="T17" s="120"/>
      <c r="U17" s="120"/>
    </row>
    <row r="18" hidden="1">
      <c r="A18" s="115" t="s">
        <v>1718</v>
      </c>
      <c r="B18" s="115" t="s">
        <v>1725</v>
      </c>
      <c r="C18" s="115" t="s">
        <v>1676</v>
      </c>
      <c r="D18" s="115" t="s">
        <v>1724</v>
      </c>
      <c r="E18" s="115" t="s">
        <v>1721</v>
      </c>
      <c r="F18" s="116">
        <v>6.0</v>
      </c>
      <c r="G18" s="119"/>
      <c r="H18" s="119"/>
      <c r="I18" s="119"/>
      <c r="J18" s="119"/>
      <c r="K18" s="119"/>
      <c r="L18" s="119"/>
      <c r="M18" s="120"/>
      <c r="N18" s="120"/>
      <c r="O18" s="120"/>
      <c r="P18" s="120"/>
      <c r="Q18" s="120"/>
      <c r="R18" s="120"/>
      <c r="S18" s="120"/>
      <c r="T18" s="120"/>
      <c r="U18" s="120"/>
    </row>
    <row r="19" hidden="1">
      <c r="A19" s="115" t="s">
        <v>1718</v>
      </c>
      <c r="B19" s="115" t="s">
        <v>1725</v>
      </c>
      <c r="C19" s="115" t="s">
        <v>287</v>
      </c>
      <c r="D19" s="115" t="s">
        <v>1724</v>
      </c>
      <c r="E19" s="115" t="s">
        <v>1721</v>
      </c>
      <c r="F19" s="116">
        <v>6.0</v>
      </c>
      <c r="G19" s="119"/>
      <c r="H19" s="119"/>
      <c r="I19" s="119"/>
      <c r="J19" s="119"/>
      <c r="K19" s="119"/>
      <c r="L19" s="119"/>
      <c r="M19" s="120"/>
      <c r="N19" s="120"/>
      <c r="O19" s="120"/>
      <c r="P19" s="120"/>
      <c r="Q19" s="120"/>
      <c r="R19" s="120"/>
      <c r="S19" s="120"/>
      <c r="T19" s="120"/>
      <c r="U19" s="120"/>
    </row>
    <row r="20">
      <c r="A20" s="115" t="s">
        <v>1718</v>
      </c>
      <c r="B20" s="115" t="s">
        <v>1726</v>
      </c>
      <c r="C20" s="115" t="s">
        <v>284</v>
      </c>
      <c r="D20" s="115" t="s">
        <v>1724</v>
      </c>
      <c r="E20" s="115" t="s">
        <v>1727</v>
      </c>
      <c r="F20" s="116">
        <v>6.0</v>
      </c>
      <c r="G20" s="123">
        <v>43444.0</v>
      </c>
      <c r="H20" s="124">
        <v>43456.0</v>
      </c>
      <c r="I20" s="119"/>
      <c r="J20" s="119"/>
      <c r="K20" s="119"/>
      <c r="L20" s="119"/>
      <c r="M20" s="120"/>
      <c r="N20" s="120"/>
      <c r="O20" s="120"/>
      <c r="P20" s="120"/>
      <c r="Q20" s="120"/>
      <c r="R20" s="120"/>
      <c r="S20" s="120"/>
      <c r="T20" s="120"/>
      <c r="U20" s="120"/>
    </row>
    <row r="21">
      <c r="A21" s="115" t="s">
        <v>1718</v>
      </c>
      <c r="B21" s="115" t="s">
        <v>1726</v>
      </c>
      <c r="C21" s="115" t="s">
        <v>125</v>
      </c>
      <c r="D21" s="115" t="s">
        <v>1724</v>
      </c>
      <c r="E21" s="115" t="s">
        <v>1727</v>
      </c>
      <c r="F21" s="116">
        <v>6.0</v>
      </c>
      <c r="G21" s="123">
        <v>43413.0</v>
      </c>
      <c r="H21" s="123">
        <v>43431.0</v>
      </c>
      <c r="I21" s="124">
        <v>43454.0</v>
      </c>
      <c r="J21" s="119"/>
      <c r="K21" s="119"/>
      <c r="L21" s="119"/>
      <c r="M21" s="120"/>
      <c r="N21" s="120"/>
      <c r="O21" s="120"/>
      <c r="P21" s="120"/>
      <c r="Q21" s="120"/>
      <c r="R21" s="120"/>
      <c r="S21" s="120"/>
      <c r="T21" s="120"/>
      <c r="U21" s="120"/>
    </row>
    <row r="22">
      <c r="A22" s="115" t="s">
        <v>1718</v>
      </c>
      <c r="B22" s="115" t="s">
        <v>1726</v>
      </c>
      <c r="C22" s="115" t="s">
        <v>436</v>
      </c>
      <c r="D22" s="115" t="s">
        <v>1724</v>
      </c>
      <c r="E22" s="115" t="s">
        <v>1727</v>
      </c>
      <c r="F22" s="116">
        <v>6.0</v>
      </c>
      <c r="G22" s="123">
        <v>43417.0</v>
      </c>
      <c r="H22" s="123">
        <v>43426.0</v>
      </c>
      <c r="I22" s="123">
        <v>43440.0</v>
      </c>
      <c r="J22" s="119"/>
      <c r="K22" s="119"/>
      <c r="L22" s="119"/>
      <c r="M22" s="120"/>
      <c r="N22" s="120"/>
      <c r="O22" s="120"/>
      <c r="P22" s="120"/>
      <c r="Q22" s="120"/>
      <c r="R22" s="120"/>
      <c r="S22" s="120"/>
      <c r="T22" s="120"/>
      <c r="U22" s="120"/>
    </row>
    <row r="23">
      <c r="A23" s="115" t="s">
        <v>1718</v>
      </c>
      <c r="B23" s="115" t="s">
        <v>1728</v>
      </c>
      <c r="C23" s="115" t="s">
        <v>284</v>
      </c>
      <c r="D23" s="115" t="s">
        <v>1724</v>
      </c>
      <c r="E23" s="115" t="s">
        <v>1727</v>
      </c>
      <c r="F23" s="116">
        <v>6.0</v>
      </c>
      <c r="G23" s="123">
        <v>43444.0</v>
      </c>
      <c r="H23" s="124">
        <v>43456.0</v>
      </c>
      <c r="I23" s="119"/>
      <c r="J23" s="119"/>
      <c r="K23" s="119"/>
      <c r="L23" s="119"/>
      <c r="M23" s="120"/>
      <c r="N23" s="120"/>
      <c r="O23" s="120"/>
      <c r="P23" s="120"/>
      <c r="Q23" s="120"/>
      <c r="R23" s="120"/>
      <c r="S23" s="120"/>
      <c r="T23" s="120"/>
      <c r="U23" s="120"/>
    </row>
    <row r="24">
      <c r="A24" s="115" t="s">
        <v>1718</v>
      </c>
      <c r="B24" s="115" t="s">
        <v>1728</v>
      </c>
      <c r="C24" s="115" t="s">
        <v>125</v>
      </c>
      <c r="D24" s="115" t="s">
        <v>1724</v>
      </c>
      <c r="E24" s="115" t="s">
        <v>1727</v>
      </c>
      <c r="F24" s="116">
        <v>6.0</v>
      </c>
      <c r="G24" s="123">
        <v>43412.0</v>
      </c>
      <c r="H24" s="123">
        <v>43431.0</v>
      </c>
      <c r="I24" s="124">
        <v>43454.0</v>
      </c>
      <c r="J24" s="119"/>
      <c r="K24" s="119"/>
      <c r="L24" s="119"/>
      <c r="M24" s="120"/>
      <c r="N24" s="120"/>
      <c r="O24" s="120"/>
      <c r="P24" s="120"/>
      <c r="Q24" s="120"/>
      <c r="R24" s="120"/>
      <c r="S24" s="120"/>
      <c r="T24" s="120"/>
      <c r="U24" s="120"/>
    </row>
    <row r="25">
      <c r="A25" s="115" t="s">
        <v>1718</v>
      </c>
      <c r="B25" s="115" t="s">
        <v>1728</v>
      </c>
      <c r="C25" s="115" t="s">
        <v>436</v>
      </c>
      <c r="D25" s="115" t="s">
        <v>1724</v>
      </c>
      <c r="E25" s="115" t="s">
        <v>1727</v>
      </c>
      <c r="F25" s="116">
        <v>6.0</v>
      </c>
      <c r="G25" s="123">
        <v>43417.0</v>
      </c>
      <c r="H25" s="123">
        <v>43426.0</v>
      </c>
      <c r="I25" s="123">
        <v>43440.0</v>
      </c>
      <c r="J25" s="119"/>
      <c r="K25" s="119"/>
      <c r="L25" s="119"/>
      <c r="M25" s="120"/>
      <c r="N25" s="120"/>
      <c r="O25" s="120"/>
      <c r="P25" s="120"/>
      <c r="Q25" s="120"/>
      <c r="R25" s="120"/>
      <c r="S25" s="120"/>
      <c r="T25" s="120"/>
      <c r="U25" s="120"/>
    </row>
    <row r="26">
      <c r="A26" s="125" t="s">
        <v>1718</v>
      </c>
      <c r="B26" s="125" t="s">
        <v>1729</v>
      </c>
      <c r="C26" s="125" t="s">
        <v>284</v>
      </c>
      <c r="D26" s="125" t="s">
        <v>1730</v>
      </c>
      <c r="E26" s="125" t="s">
        <v>766</v>
      </c>
      <c r="F26" s="126">
        <v>6.0</v>
      </c>
      <c r="G26" s="127">
        <v>43132.0</v>
      </c>
      <c r="H26" s="128">
        <v>43145.0</v>
      </c>
      <c r="I26" s="129">
        <v>43145.0</v>
      </c>
      <c r="J26" s="128">
        <v>43146.0</v>
      </c>
      <c r="K26" s="128">
        <v>43146.0</v>
      </c>
      <c r="L26" s="128">
        <v>43159.0</v>
      </c>
      <c r="M26" s="130"/>
      <c r="N26" s="130"/>
      <c r="O26" s="130"/>
      <c r="P26" s="130"/>
      <c r="Q26" s="130"/>
      <c r="R26" s="130"/>
      <c r="S26" s="130"/>
      <c r="T26" s="130"/>
      <c r="U26" s="130"/>
    </row>
    <row r="27">
      <c r="A27" s="125" t="s">
        <v>1718</v>
      </c>
      <c r="B27" s="125" t="s">
        <v>1729</v>
      </c>
      <c r="C27" s="125" t="s">
        <v>125</v>
      </c>
      <c r="D27" s="125" t="s">
        <v>1730</v>
      </c>
      <c r="E27" s="125" t="s">
        <v>766</v>
      </c>
      <c r="F27" s="126">
        <v>6.0</v>
      </c>
      <c r="G27" s="128">
        <v>43131.0</v>
      </c>
      <c r="H27" s="127">
        <v>43133.0</v>
      </c>
      <c r="I27" s="128">
        <v>43147.0</v>
      </c>
      <c r="J27" s="128">
        <v>43147.0</v>
      </c>
      <c r="K27" s="128">
        <v>43158.0</v>
      </c>
      <c r="L27" s="129">
        <v>43175.0</v>
      </c>
      <c r="M27" s="129">
        <v>43175.0</v>
      </c>
      <c r="N27" s="130"/>
      <c r="O27" s="130"/>
      <c r="P27" s="130"/>
      <c r="Q27" s="130"/>
      <c r="R27" s="130"/>
      <c r="S27" s="130"/>
      <c r="T27" s="130"/>
      <c r="U27" s="130"/>
    </row>
    <row r="28">
      <c r="A28" s="125" t="s">
        <v>1718</v>
      </c>
      <c r="B28" s="125" t="s">
        <v>1729</v>
      </c>
      <c r="C28" s="125" t="s">
        <v>436</v>
      </c>
      <c r="D28" s="125" t="s">
        <v>1730</v>
      </c>
      <c r="E28" s="125" t="s">
        <v>766</v>
      </c>
      <c r="F28" s="126">
        <v>6.0</v>
      </c>
      <c r="G28" s="129">
        <v>43129.0</v>
      </c>
      <c r="H28" s="129">
        <v>43129.0</v>
      </c>
      <c r="I28" s="129">
        <v>43130.0</v>
      </c>
      <c r="J28" s="127">
        <v>43136.0</v>
      </c>
      <c r="K28" s="128">
        <v>43146.0</v>
      </c>
      <c r="L28" s="128">
        <v>43146.0</v>
      </c>
      <c r="M28" s="128">
        <v>43153.0</v>
      </c>
      <c r="N28" s="128">
        <v>43170.0</v>
      </c>
      <c r="O28" s="130"/>
      <c r="P28" s="130"/>
      <c r="Q28" s="130"/>
      <c r="R28" s="130"/>
      <c r="S28" s="130"/>
      <c r="T28" s="130"/>
      <c r="U28" s="130"/>
    </row>
    <row r="29">
      <c r="A29" s="125" t="s">
        <v>1718</v>
      </c>
      <c r="B29" s="125" t="s">
        <v>1729</v>
      </c>
      <c r="C29" s="125" t="s">
        <v>1722</v>
      </c>
      <c r="D29" s="125" t="s">
        <v>1730</v>
      </c>
      <c r="E29" s="125" t="s">
        <v>766</v>
      </c>
      <c r="F29" s="126">
        <v>6.0</v>
      </c>
      <c r="G29" s="129">
        <v>43128.0</v>
      </c>
      <c r="H29" s="128">
        <v>43143.0</v>
      </c>
      <c r="I29" s="128">
        <v>43144.0</v>
      </c>
      <c r="J29" s="128">
        <v>43144.0</v>
      </c>
      <c r="K29" s="128">
        <v>43151.0</v>
      </c>
      <c r="L29" s="128">
        <v>43152.0</v>
      </c>
      <c r="M29" s="127">
        <v>43166.0</v>
      </c>
      <c r="N29" s="130"/>
      <c r="O29" s="130"/>
      <c r="P29" s="130"/>
      <c r="Q29" s="130"/>
      <c r="R29" s="130"/>
      <c r="S29" s="130"/>
      <c r="T29" s="130"/>
      <c r="U29" s="130"/>
    </row>
    <row r="30">
      <c r="A30" s="125" t="s">
        <v>1718</v>
      </c>
      <c r="B30" s="125" t="s">
        <v>1729</v>
      </c>
      <c r="C30" s="125" t="s">
        <v>1676</v>
      </c>
      <c r="D30" s="125" t="s">
        <v>1730</v>
      </c>
      <c r="E30" s="125" t="s">
        <v>766</v>
      </c>
      <c r="F30" s="126">
        <v>6.0</v>
      </c>
      <c r="G30" s="128">
        <v>43128.0</v>
      </c>
      <c r="H30" s="128">
        <v>43143.0</v>
      </c>
      <c r="I30" s="128">
        <v>43144.0</v>
      </c>
      <c r="J30" s="127">
        <v>43163.0</v>
      </c>
      <c r="K30" s="127">
        <v>43163.0</v>
      </c>
      <c r="L30" s="127">
        <v>43166.0</v>
      </c>
      <c r="M30" s="130"/>
      <c r="N30" s="130"/>
      <c r="O30" s="130"/>
      <c r="P30" s="130"/>
      <c r="Q30" s="130"/>
      <c r="R30" s="130"/>
      <c r="S30" s="130"/>
      <c r="T30" s="130"/>
      <c r="U30" s="130"/>
    </row>
    <row r="31">
      <c r="A31" s="125" t="s">
        <v>1718</v>
      </c>
      <c r="B31" s="125" t="s">
        <v>1729</v>
      </c>
      <c r="C31" s="125" t="s">
        <v>287</v>
      </c>
      <c r="D31" s="125" t="s">
        <v>1730</v>
      </c>
      <c r="E31" s="125" t="s">
        <v>766</v>
      </c>
      <c r="F31" s="126">
        <v>6.0</v>
      </c>
      <c r="G31" s="128">
        <v>43148.0</v>
      </c>
      <c r="H31" s="128">
        <v>43151.0</v>
      </c>
      <c r="I31" s="128">
        <v>43152.0</v>
      </c>
      <c r="J31" s="127">
        <v>43162.0</v>
      </c>
      <c r="K31" s="127">
        <v>43162.0</v>
      </c>
      <c r="L31" s="129">
        <v>43171.0</v>
      </c>
      <c r="M31" s="130"/>
      <c r="N31" s="130"/>
      <c r="O31" s="130"/>
      <c r="P31" s="130"/>
      <c r="Q31" s="130"/>
      <c r="R31" s="130"/>
      <c r="S31" s="130"/>
      <c r="T31" s="130"/>
      <c r="U31" s="130"/>
    </row>
    <row r="32">
      <c r="A32" s="115" t="s">
        <v>1731</v>
      </c>
      <c r="B32" s="115" t="s">
        <v>1732</v>
      </c>
      <c r="C32" s="115" t="s">
        <v>284</v>
      </c>
      <c r="D32" s="115" t="s">
        <v>1733</v>
      </c>
      <c r="E32" s="115" t="s">
        <v>1734</v>
      </c>
      <c r="F32" s="116">
        <v>10.0</v>
      </c>
      <c r="G32" s="131">
        <v>43390.0</v>
      </c>
      <c r="H32" s="131">
        <v>43404.0</v>
      </c>
      <c r="I32" s="131">
        <v>43405.0</v>
      </c>
      <c r="J32" s="131">
        <v>43447.0</v>
      </c>
      <c r="K32" s="132">
        <v>43456.0</v>
      </c>
      <c r="L32" s="132">
        <v>43457.0</v>
      </c>
      <c r="M32" s="131"/>
      <c r="N32" s="133"/>
      <c r="O32" s="133"/>
      <c r="P32" s="134"/>
      <c r="Q32" s="120"/>
      <c r="R32" s="120"/>
      <c r="S32" s="120"/>
      <c r="T32" s="120"/>
      <c r="U32" s="120"/>
    </row>
    <row r="33">
      <c r="A33" s="115" t="s">
        <v>1731</v>
      </c>
      <c r="B33" s="115" t="s">
        <v>1732</v>
      </c>
      <c r="C33" s="115" t="s">
        <v>125</v>
      </c>
      <c r="D33" s="115" t="s">
        <v>1733</v>
      </c>
      <c r="E33" s="115" t="s">
        <v>1734</v>
      </c>
      <c r="F33" s="116">
        <v>10.0</v>
      </c>
      <c r="G33" s="131">
        <v>43392.0</v>
      </c>
      <c r="H33" s="131">
        <v>43406.0</v>
      </c>
      <c r="I33" s="131">
        <v>43432.0</v>
      </c>
      <c r="J33" s="131">
        <v>43448.0</v>
      </c>
      <c r="K33" s="135">
        <v>43454.0</v>
      </c>
      <c r="L33" s="135">
        <v>43455.0</v>
      </c>
      <c r="M33" s="133"/>
      <c r="N33" s="133"/>
      <c r="O33" s="133"/>
      <c r="P33" s="134"/>
      <c r="Q33" s="120"/>
      <c r="R33" s="120"/>
      <c r="S33" s="120"/>
      <c r="T33" s="120"/>
      <c r="U33" s="120"/>
    </row>
    <row r="34">
      <c r="A34" s="115" t="s">
        <v>1731</v>
      </c>
      <c r="B34" s="115" t="s">
        <v>1732</v>
      </c>
      <c r="C34" s="115" t="s">
        <v>436</v>
      </c>
      <c r="D34" s="115" t="s">
        <v>1733</v>
      </c>
      <c r="E34" s="115" t="s">
        <v>1734</v>
      </c>
      <c r="F34" s="116">
        <v>10.0</v>
      </c>
      <c r="G34" s="131">
        <v>43397.0</v>
      </c>
      <c r="H34" s="131">
        <v>43398.0</v>
      </c>
      <c r="I34" s="131">
        <v>43404.0</v>
      </c>
      <c r="J34" s="131">
        <v>43416.0</v>
      </c>
      <c r="K34" s="131">
        <v>43440.0</v>
      </c>
      <c r="L34" s="136">
        <v>43441.0</v>
      </c>
      <c r="M34" s="133"/>
      <c r="N34" s="133"/>
      <c r="O34" s="133"/>
      <c r="P34" s="134"/>
      <c r="Q34" s="120"/>
      <c r="R34" s="120"/>
      <c r="S34" s="120"/>
      <c r="T34" s="120"/>
      <c r="U34" s="120"/>
    </row>
    <row r="35">
      <c r="A35" s="115" t="s">
        <v>1731</v>
      </c>
      <c r="B35" s="115" t="s">
        <v>1732</v>
      </c>
      <c r="C35" s="115" t="s">
        <v>1722</v>
      </c>
      <c r="D35" s="115" t="s">
        <v>1733</v>
      </c>
      <c r="E35" s="115" t="s">
        <v>1734</v>
      </c>
      <c r="F35" s="116">
        <v>10.0</v>
      </c>
      <c r="G35" s="131">
        <v>43410.0</v>
      </c>
      <c r="H35" s="131">
        <v>43411.0</v>
      </c>
      <c r="I35" s="131">
        <v>43419.0</v>
      </c>
      <c r="J35" s="131">
        <v>43420.0</v>
      </c>
      <c r="K35" s="131">
        <v>43433.0</v>
      </c>
      <c r="L35" s="131">
        <v>43434.0</v>
      </c>
      <c r="M35" s="136">
        <v>43438.0</v>
      </c>
      <c r="N35" s="131">
        <v>43439.0</v>
      </c>
      <c r="O35" s="135">
        <v>43452.0</v>
      </c>
      <c r="P35" s="135">
        <v>43453.0</v>
      </c>
      <c r="Q35" s="120"/>
      <c r="R35" s="120"/>
      <c r="S35" s="120"/>
      <c r="T35" s="120"/>
      <c r="U35" s="120"/>
    </row>
    <row r="36">
      <c r="A36" s="115" t="s">
        <v>1731</v>
      </c>
      <c r="B36" s="115" t="s">
        <v>1732</v>
      </c>
      <c r="C36" s="115" t="s">
        <v>1676</v>
      </c>
      <c r="D36" s="115" t="s">
        <v>1733</v>
      </c>
      <c r="E36" s="115" t="s">
        <v>1734</v>
      </c>
      <c r="F36" s="116">
        <v>10.0</v>
      </c>
      <c r="G36" s="131">
        <v>43410.0</v>
      </c>
      <c r="H36" s="131">
        <v>43411.0</v>
      </c>
      <c r="I36" s="131">
        <v>43424.0</v>
      </c>
      <c r="J36" s="131">
        <v>43425.0</v>
      </c>
      <c r="K36" s="131">
        <v>43433.0</v>
      </c>
      <c r="L36" s="131">
        <v>43434.0</v>
      </c>
      <c r="M36" s="131">
        <v>43445.0</v>
      </c>
      <c r="N36" s="131">
        <v>43446.0</v>
      </c>
      <c r="O36" s="135">
        <v>43452.0</v>
      </c>
      <c r="P36" s="135">
        <v>43453.0</v>
      </c>
      <c r="Q36" s="132">
        <v>43463.0</v>
      </c>
      <c r="R36" s="135">
        <v>43464.0</v>
      </c>
      <c r="S36" s="120"/>
      <c r="T36" s="120"/>
      <c r="U36" s="120"/>
    </row>
    <row r="37">
      <c r="A37" s="115" t="s">
        <v>1731</v>
      </c>
      <c r="B37" s="115" t="s">
        <v>1732</v>
      </c>
      <c r="C37" s="115" t="s">
        <v>287</v>
      </c>
      <c r="D37" s="115" t="s">
        <v>1733</v>
      </c>
      <c r="E37" s="115" t="s">
        <v>1734</v>
      </c>
      <c r="F37" s="116">
        <v>10.0</v>
      </c>
      <c r="G37" s="131">
        <v>43419.0</v>
      </c>
      <c r="H37" s="131">
        <v>43420.0</v>
      </c>
      <c r="I37" s="131">
        <v>43424.0</v>
      </c>
      <c r="J37" s="131">
        <v>43425.0</v>
      </c>
      <c r="K37" s="131">
        <v>43438.0</v>
      </c>
      <c r="L37" s="131">
        <v>43439.0</v>
      </c>
      <c r="M37" s="131">
        <v>43445.0</v>
      </c>
      <c r="N37" s="131">
        <v>43446.0</v>
      </c>
      <c r="O37" s="132">
        <v>43463.0</v>
      </c>
      <c r="P37" s="135">
        <v>43464.0</v>
      </c>
      <c r="Q37" s="120"/>
      <c r="R37" s="120"/>
      <c r="S37" s="120"/>
      <c r="T37" s="120"/>
      <c r="U37" s="120"/>
    </row>
    <row r="38">
      <c r="A38" s="115" t="s">
        <v>1731</v>
      </c>
      <c r="B38" s="115" t="s">
        <v>1735</v>
      </c>
      <c r="C38" s="115" t="s">
        <v>284</v>
      </c>
      <c r="D38" s="115" t="s">
        <v>1733</v>
      </c>
      <c r="E38" s="115" t="s">
        <v>740</v>
      </c>
      <c r="F38" s="116">
        <v>5.0</v>
      </c>
      <c r="G38" s="137">
        <v>43389.0</v>
      </c>
      <c r="H38" s="138">
        <v>43398.0</v>
      </c>
      <c r="I38" s="138">
        <v>43404.0</v>
      </c>
      <c r="J38" s="135">
        <v>43456.0</v>
      </c>
      <c r="K38" s="133"/>
      <c r="L38" s="120"/>
      <c r="M38" s="120"/>
      <c r="N38" s="120"/>
      <c r="O38" s="120"/>
      <c r="P38" s="120"/>
      <c r="Q38" s="120"/>
      <c r="R38" s="120"/>
      <c r="S38" s="120"/>
      <c r="T38" s="120"/>
      <c r="U38" s="120"/>
    </row>
    <row r="39">
      <c r="A39" s="115" t="s">
        <v>1731</v>
      </c>
      <c r="B39" s="115" t="s">
        <v>1735</v>
      </c>
      <c r="C39" s="115" t="s">
        <v>125</v>
      </c>
      <c r="D39" s="115" t="s">
        <v>1733</v>
      </c>
      <c r="E39" s="115" t="s">
        <v>740</v>
      </c>
      <c r="F39" s="116">
        <v>5.0</v>
      </c>
      <c r="G39" s="137">
        <v>43389.0</v>
      </c>
      <c r="H39" s="135">
        <v>43454.0</v>
      </c>
      <c r="I39" s="133"/>
      <c r="J39" s="133"/>
      <c r="K39" s="133"/>
      <c r="L39" s="120"/>
      <c r="M39" s="120"/>
      <c r="N39" s="120"/>
      <c r="O39" s="120"/>
      <c r="P39" s="120"/>
      <c r="Q39" s="120"/>
      <c r="R39" s="120"/>
      <c r="S39" s="120"/>
      <c r="T39" s="120"/>
      <c r="U39" s="120"/>
    </row>
    <row r="40">
      <c r="A40" s="115" t="s">
        <v>1731</v>
      </c>
      <c r="B40" s="115" t="s">
        <v>1735</v>
      </c>
      <c r="C40" s="115" t="s">
        <v>436</v>
      </c>
      <c r="D40" s="115" t="s">
        <v>1733</v>
      </c>
      <c r="E40" s="115" t="s">
        <v>740</v>
      </c>
      <c r="F40" s="116">
        <v>5.0</v>
      </c>
      <c r="G40" s="138">
        <v>43403.0</v>
      </c>
      <c r="H40" s="138">
        <v>43417.0</v>
      </c>
      <c r="I40" s="133"/>
      <c r="J40" s="133"/>
      <c r="K40" s="133"/>
      <c r="L40" s="120"/>
      <c r="M40" s="120"/>
      <c r="N40" s="120"/>
      <c r="O40" s="120"/>
      <c r="P40" s="120"/>
      <c r="Q40" s="120"/>
      <c r="R40" s="120"/>
      <c r="S40" s="120"/>
      <c r="T40" s="120"/>
      <c r="U40" s="120"/>
    </row>
    <row r="41">
      <c r="A41" s="115" t="s">
        <v>1731</v>
      </c>
      <c r="B41" s="115" t="s">
        <v>1735</v>
      </c>
      <c r="C41" s="115" t="s">
        <v>1722</v>
      </c>
      <c r="D41" s="115" t="s">
        <v>1733</v>
      </c>
      <c r="E41" s="115" t="s">
        <v>740</v>
      </c>
      <c r="F41" s="116">
        <v>5.0</v>
      </c>
      <c r="G41" s="138">
        <v>43410.0</v>
      </c>
      <c r="H41" s="138">
        <v>43433.0</v>
      </c>
      <c r="I41" s="138">
        <v>43438.0</v>
      </c>
      <c r="J41" s="135">
        <v>43452.0</v>
      </c>
      <c r="K41" s="133"/>
      <c r="L41" s="120"/>
      <c r="M41" s="120"/>
      <c r="N41" s="120"/>
      <c r="O41" s="120"/>
      <c r="P41" s="120"/>
      <c r="Q41" s="120"/>
      <c r="R41" s="120"/>
      <c r="S41" s="120"/>
      <c r="T41" s="120"/>
      <c r="U41" s="120"/>
    </row>
    <row r="42">
      <c r="A42" s="115" t="s">
        <v>1731</v>
      </c>
      <c r="B42" s="115" t="s">
        <v>1735</v>
      </c>
      <c r="C42" s="115" t="s">
        <v>1676</v>
      </c>
      <c r="D42" s="115" t="s">
        <v>1733</v>
      </c>
      <c r="E42" s="115" t="s">
        <v>740</v>
      </c>
      <c r="F42" s="116">
        <v>5.0</v>
      </c>
      <c r="G42" s="138">
        <v>43410.0</v>
      </c>
      <c r="H42" s="138">
        <v>43433.0</v>
      </c>
      <c r="I42" s="138">
        <v>43445.0</v>
      </c>
      <c r="J42" s="135">
        <v>43452.0</v>
      </c>
      <c r="K42" s="135">
        <v>43463.0</v>
      </c>
      <c r="L42" s="120"/>
      <c r="M42" s="120"/>
      <c r="N42" s="120"/>
      <c r="O42" s="120"/>
      <c r="P42" s="120"/>
      <c r="Q42" s="120"/>
      <c r="R42" s="120"/>
      <c r="S42" s="120"/>
      <c r="T42" s="120"/>
      <c r="U42" s="120"/>
    </row>
    <row r="43">
      <c r="A43" s="115" t="s">
        <v>1731</v>
      </c>
      <c r="B43" s="115" t="s">
        <v>1735</v>
      </c>
      <c r="C43" s="115" t="s">
        <v>287</v>
      </c>
      <c r="D43" s="115" t="s">
        <v>1733</v>
      </c>
      <c r="E43" s="115" t="s">
        <v>740</v>
      </c>
      <c r="F43" s="116">
        <v>5.0</v>
      </c>
      <c r="G43" s="138">
        <v>43419.0</v>
      </c>
      <c r="H43" s="138">
        <v>43438.0</v>
      </c>
      <c r="I43" s="138">
        <v>43445.0</v>
      </c>
      <c r="J43" s="135">
        <v>43463.0</v>
      </c>
      <c r="K43" s="133"/>
      <c r="L43" s="120"/>
      <c r="M43" s="120"/>
      <c r="N43" s="120"/>
      <c r="O43" s="120"/>
      <c r="P43" s="120"/>
      <c r="Q43" s="120"/>
      <c r="R43" s="120"/>
      <c r="S43" s="120"/>
      <c r="T43" s="120"/>
      <c r="U43" s="120"/>
    </row>
    <row r="44">
      <c r="A44" s="115" t="s">
        <v>1731</v>
      </c>
      <c r="B44" s="115" t="s">
        <v>1736</v>
      </c>
      <c r="C44" s="115" t="s">
        <v>284</v>
      </c>
      <c r="D44" s="115" t="s">
        <v>1733</v>
      </c>
      <c r="E44" s="115" t="s">
        <v>740</v>
      </c>
      <c r="F44" s="116">
        <v>5.0</v>
      </c>
      <c r="G44" s="137">
        <v>43389.0</v>
      </c>
      <c r="H44" s="138">
        <v>43398.0</v>
      </c>
      <c r="I44" s="138">
        <v>43404.0</v>
      </c>
      <c r="J44" s="135">
        <v>43456.0</v>
      </c>
      <c r="K44" s="133"/>
      <c r="L44" s="120"/>
      <c r="M44" s="120"/>
      <c r="N44" s="120"/>
      <c r="O44" s="120"/>
      <c r="P44" s="120"/>
      <c r="Q44" s="120"/>
      <c r="R44" s="120"/>
      <c r="S44" s="120"/>
      <c r="T44" s="120"/>
      <c r="U44" s="120"/>
    </row>
    <row r="45">
      <c r="A45" s="115" t="s">
        <v>1731</v>
      </c>
      <c r="B45" s="115" t="s">
        <v>1736</v>
      </c>
      <c r="C45" s="115" t="s">
        <v>125</v>
      </c>
      <c r="D45" s="115" t="s">
        <v>1733</v>
      </c>
      <c r="E45" s="115" t="s">
        <v>740</v>
      </c>
      <c r="F45" s="116">
        <v>5.0</v>
      </c>
      <c r="G45" s="137">
        <v>43389.0</v>
      </c>
      <c r="H45" s="138">
        <v>43431.0</v>
      </c>
      <c r="I45" s="135">
        <v>43454.0</v>
      </c>
      <c r="J45" s="133"/>
      <c r="K45" s="133"/>
      <c r="L45" s="120"/>
      <c r="M45" s="120"/>
      <c r="N45" s="120"/>
      <c r="O45" s="120"/>
      <c r="P45" s="120"/>
      <c r="Q45" s="120"/>
      <c r="R45" s="120"/>
      <c r="S45" s="120"/>
      <c r="T45" s="120"/>
      <c r="U45" s="120"/>
    </row>
    <row r="46">
      <c r="A46" s="115" t="s">
        <v>1731</v>
      </c>
      <c r="B46" s="115" t="s">
        <v>1736</v>
      </c>
      <c r="C46" s="115" t="s">
        <v>436</v>
      </c>
      <c r="D46" s="115" t="s">
        <v>1733</v>
      </c>
      <c r="E46" s="115" t="s">
        <v>740</v>
      </c>
      <c r="F46" s="116">
        <v>5.0</v>
      </c>
      <c r="G46" s="137">
        <v>43397.0</v>
      </c>
      <c r="H46" s="138">
        <v>43403.0</v>
      </c>
      <c r="I46" s="138">
        <v>43417.0</v>
      </c>
      <c r="J46" s="138">
        <v>43440.0</v>
      </c>
      <c r="K46" s="133"/>
      <c r="L46" s="120"/>
      <c r="M46" s="120"/>
      <c r="N46" s="120"/>
      <c r="O46" s="120"/>
      <c r="P46" s="120"/>
      <c r="Q46" s="120"/>
      <c r="R46" s="120"/>
      <c r="S46" s="120"/>
      <c r="T46" s="120"/>
      <c r="U46" s="120"/>
    </row>
    <row r="47">
      <c r="A47" s="115" t="s">
        <v>1731</v>
      </c>
      <c r="B47" s="115" t="s">
        <v>1736</v>
      </c>
      <c r="C47" s="115" t="s">
        <v>1722</v>
      </c>
      <c r="D47" s="115" t="s">
        <v>1733</v>
      </c>
      <c r="E47" s="115" t="s">
        <v>740</v>
      </c>
      <c r="F47" s="116">
        <v>5.0</v>
      </c>
      <c r="G47" s="138">
        <v>43410.0</v>
      </c>
      <c r="H47" s="138">
        <v>43419.0</v>
      </c>
      <c r="I47" s="138">
        <v>43433.0</v>
      </c>
      <c r="J47" s="138">
        <v>43438.0</v>
      </c>
      <c r="K47" s="135">
        <v>43452.0</v>
      </c>
      <c r="L47" s="120"/>
      <c r="M47" s="120"/>
      <c r="N47" s="120"/>
      <c r="O47" s="120"/>
      <c r="P47" s="120"/>
      <c r="Q47" s="120"/>
      <c r="R47" s="120"/>
      <c r="S47" s="120"/>
      <c r="T47" s="120"/>
      <c r="U47" s="120"/>
    </row>
    <row r="48">
      <c r="A48" s="115" t="s">
        <v>1731</v>
      </c>
      <c r="B48" s="115" t="s">
        <v>1736</v>
      </c>
      <c r="C48" s="115" t="s">
        <v>1676</v>
      </c>
      <c r="D48" s="115" t="s">
        <v>1733</v>
      </c>
      <c r="E48" s="115" t="s">
        <v>740</v>
      </c>
      <c r="F48" s="116">
        <v>5.0</v>
      </c>
      <c r="G48" s="138">
        <v>43410.0</v>
      </c>
      <c r="H48" s="138">
        <v>43424.0</v>
      </c>
      <c r="I48" s="138">
        <v>43433.0</v>
      </c>
      <c r="J48" s="138">
        <v>43445.0</v>
      </c>
      <c r="K48" s="135">
        <v>43452.0</v>
      </c>
      <c r="L48" s="135">
        <v>43463.0</v>
      </c>
      <c r="M48" s="120"/>
      <c r="N48" s="120"/>
      <c r="O48" s="120"/>
      <c r="P48" s="120"/>
      <c r="Q48" s="120"/>
      <c r="R48" s="120"/>
      <c r="S48" s="120"/>
      <c r="T48" s="120"/>
      <c r="U48" s="120"/>
    </row>
    <row r="49">
      <c r="A49" s="115" t="s">
        <v>1731</v>
      </c>
      <c r="B49" s="115" t="s">
        <v>1736</v>
      </c>
      <c r="C49" s="115" t="s">
        <v>287</v>
      </c>
      <c r="D49" s="115" t="s">
        <v>1733</v>
      </c>
      <c r="E49" s="115" t="s">
        <v>740</v>
      </c>
      <c r="F49" s="116">
        <v>5.0</v>
      </c>
      <c r="G49" s="138">
        <v>43419.0</v>
      </c>
      <c r="H49" s="138">
        <v>43424.0</v>
      </c>
      <c r="I49" s="138">
        <v>43438.0</v>
      </c>
      <c r="J49" s="138">
        <v>43445.0</v>
      </c>
      <c r="K49" s="135">
        <v>43463.0</v>
      </c>
      <c r="L49" s="120"/>
      <c r="M49" s="120"/>
      <c r="N49" s="120"/>
      <c r="O49" s="120"/>
      <c r="P49" s="120"/>
      <c r="Q49" s="120"/>
      <c r="R49" s="120"/>
      <c r="S49" s="120"/>
      <c r="T49" s="120"/>
      <c r="U49" s="120"/>
    </row>
    <row r="50">
      <c r="A50" s="115" t="s">
        <v>1731</v>
      </c>
      <c r="B50" s="115" t="s">
        <v>1737</v>
      </c>
      <c r="C50" s="115" t="s">
        <v>284</v>
      </c>
      <c r="D50" s="115" t="s">
        <v>1733</v>
      </c>
      <c r="E50" s="115" t="s">
        <v>740</v>
      </c>
      <c r="F50" s="116">
        <v>5.0</v>
      </c>
      <c r="G50" s="137">
        <v>43389.0</v>
      </c>
      <c r="H50" s="138">
        <v>43398.0</v>
      </c>
      <c r="I50" s="138">
        <v>43404.0</v>
      </c>
      <c r="J50" s="135">
        <v>43456.0</v>
      </c>
      <c r="K50" s="133"/>
      <c r="L50" s="120"/>
      <c r="M50" s="120"/>
      <c r="N50" s="120"/>
      <c r="O50" s="120"/>
      <c r="P50" s="120"/>
      <c r="Q50" s="120"/>
      <c r="R50" s="120"/>
      <c r="S50" s="120"/>
      <c r="T50" s="120"/>
      <c r="U50" s="120"/>
    </row>
    <row r="51">
      <c r="A51" s="115" t="s">
        <v>1731</v>
      </c>
      <c r="B51" s="115" t="s">
        <v>1737</v>
      </c>
      <c r="C51" s="115" t="s">
        <v>125</v>
      </c>
      <c r="D51" s="115" t="s">
        <v>1733</v>
      </c>
      <c r="E51" s="115" t="s">
        <v>740</v>
      </c>
      <c r="F51" s="116">
        <v>5.0</v>
      </c>
      <c r="G51" s="137">
        <v>43389.0</v>
      </c>
      <c r="H51" s="138">
        <v>43431.0</v>
      </c>
      <c r="I51" s="135">
        <v>43454.0</v>
      </c>
      <c r="J51" s="133"/>
      <c r="K51" s="133"/>
      <c r="L51" s="120"/>
      <c r="M51" s="120"/>
      <c r="N51" s="120"/>
      <c r="O51" s="120"/>
      <c r="P51" s="120"/>
      <c r="Q51" s="120"/>
      <c r="R51" s="120"/>
      <c r="S51" s="120"/>
      <c r="T51" s="120"/>
      <c r="U51" s="120"/>
    </row>
    <row r="52">
      <c r="A52" s="115" t="s">
        <v>1731</v>
      </c>
      <c r="B52" s="115" t="s">
        <v>1737</v>
      </c>
      <c r="C52" s="115" t="s">
        <v>436</v>
      </c>
      <c r="D52" s="115" t="s">
        <v>1733</v>
      </c>
      <c r="E52" s="115" t="s">
        <v>740</v>
      </c>
      <c r="F52" s="116">
        <v>5.0</v>
      </c>
      <c r="G52" s="137">
        <v>43397.0</v>
      </c>
      <c r="H52" s="138">
        <v>43403.0</v>
      </c>
      <c r="I52" s="138">
        <v>43417.0</v>
      </c>
      <c r="J52" s="138">
        <v>43440.0</v>
      </c>
      <c r="K52" s="133"/>
      <c r="L52" s="120"/>
      <c r="M52" s="120"/>
      <c r="N52" s="120"/>
      <c r="O52" s="120"/>
      <c r="P52" s="120"/>
      <c r="Q52" s="120"/>
      <c r="R52" s="120"/>
      <c r="S52" s="120"/>
      <c r="T52" s="120"/>
      <c r="U52" s="120"/>
    </row>
    <row r="53">
      <c r="A53" s="115" t="s">
        <v>1731</v>
      </c>
      <c r="B53" s="115" t="s">
        <v>1737</v>
      </c>
      <c r="C53" s="115" t="s">
        <v>1722</v>
      </c>
      <c r="D53" s="115" t="s">
        <v>1733</v>
      </c>
      <c r="E53" s="115" t="s">
        <v>740</v>
      </c>
      <c r="F53" s="116">
        <v>5.0</v>
      </c>
      <c r="G53" s="138">
        <v>43410.0</v>
      </c>
      <c r="H53" s="138">
        <v>43419.0</v>
      </c>
      <c r="I53" s="138">
        <v>43433.0</v>
      </c>
      <c r="J53" s="138">
        <v>43438.0</v>
      </c>
      <c r="K53" s="135">
        <v>43452.0</v>
      </c>
      <c r="L53" s="120"/>
      <c r="M53" s="120"/>
      <c r="N53" s="120"/>
      <c r="O53" s="120"/>
      <c r="P53" s="120"/>
      <c r="Q53" s="120"/>
      <c r="R53" s="120"/>
      <c r="S53" s="120"/>
      <c r="T53" s="120"/>
      <c r="U53" s="120"/>
    </row>
    <row r="54">
      <c r="A54" s="115" t="s">
        <v>1731</v>
      </c>
      <c r="B54" s="115" t="s">
        <v>1737</v>
      </c>
      <c r="C54" s="115" t="s">
        <v>1676</v>
      </c>
      <c r="D54" s="115" t="s">
        <v>1733</v>
      </c>
      <c r="E54" s="115" t="s">
        <v>740</v>
      </c>
      <c r="F54" s="116">
        <v>5.0</v>
      </c>
      <c r="G54" s="138">
        <v>43410.0</v>
      </c>
      <c r="H54" s="138">
        <v>43424.0</v>
      </c>
      <c r="I54" s="138">
        <v>43433.0</v>
      </c>
      <c r="J54" s="138">
        <v>43445.0</v>
      </c>
      <c r="K54" s="135">
        <v>43452.0</v>
      </c>
      <c r="L54" s="135">
        <v>43463.0</v>
      </c>
      <c r="M54" s="120"/>
      <c r="N54" s="120"/>
      <c r="O54" s="120"/>
      <c r="P54" s="120"/>
      <c r="Q54" s="120"/>
      <c r="R54" s="120"/>
      <c r="S54" s="120"/>
      <c r="T54" s="120"/>
      <c r="U54" s="120"/>
    </row>
    <row r="55">
      <c r="A55" s="115" t="s">
        <v>1731</v>
      </c>
      <c r="B55" s="115" t="s">
        <v>1737</v>
      </c>
      <c r="C55" s="115" t="s">
        <v>287</v>
      </c>
      <c r="D55" s="115" t="s">
        <v>1733</v>
      </c>
      <c r="E55" s="115" t="s">
        <v>740</v>
      </c>
      <c r="F55" s="116">
        <v>5.0</v>
      </c>
      <c r="G55" s="138">
        <v>43419.0</v>
      </c>
      <c r="H55" s="138">
        <v>43424.0</v>
      </c>
      <c r="I55" s="138">
        <v>43438.0</v>
      </c>
      <c r="J55" s="138">
        <v>43445.0</v>
      </c>
      <c r="K55" s="135">
        <v>43463.0</v>
      </c>
      <c r="L55" s="120"/>
      <c r="M55" s="120"/>
      <c r="N55" s="120"/>
      <c r="O55" s="120"/>
      <c r="P55" s="120"/>
      <c r="Q55" s="120"/>
      <c r="R55" s="120"/>
      <c r="S55" s="120"/>
      <c r="T55" s="120"/>
      <c r="U55" s="120"/>
    </row>
    <row r="56">
      <c r="A56" s="115" t="s">
        <v>1731</v>
      </c>
      <c r="B56" s="115" t="s">
        <v>1738</v>
      </c>
      <c r="C56" s="115" t="s">
        <v>284</v>
      </c>
      <c r="D56" s="115" t="s">
        <v>1733</v>
      </c>
      <c r="E56" s="115" t="s">
        <v>740</v>
      </c>
      <c r="F56" s="116">
        <v>5.0</v>
      </c>
      <c r="G56" s="137">
        <v>43389.0</v>
      </c>
      <c r="H56" s="138">
        <v>43398.0</v>
      </c>
      <c r="I56" s="138">
        <v>43404.0</v>
      </c>
      <c r="J56" s="135">
        <v>43456.0</v>
      </c>
      <c r="K56" s="133"/>
      <c r="L56" s="120"/>
      <c r="M56" s="120"/>
      <c r="N56" s="120"/>
      <c r="O56" s="120"/>
      <c r="P56" s="120"/>
      <c r="Q56" s="120"/>
      <c r="R56" s="120"/>
      <c r="S56" s="120"/>
      <c r="T56" s="120"/>
      <c r="U56" s="120"/>
    </row>
    <row r="57">
      <c r="A57" s="115" t="s">
        <v>1731</v>
      </c>
      <c r="B57" s="115" t="s">
        <v>1738</v>
      </c>
      <c r="C57" s="115" t="s">
        <v>125</v>
      </c>
      <c r="D57" s="115" t="s">
        <v>1733</v>
      </c>
      <c r="E57" s="115" t="s">
        <v>740</v>
      </c>
      <c r="F57" s="116">
        <v>5.0</v>
      </c>
      <c r="G57" s="137">
        <v>43389.0</v>
      </c>
      <c r="H57" s="138">
        <v>43431.0</v>
      </c>
      <c r="I57" s="135">
        <v>43454.0</v>
      </c>
      <c r="J57" s="133"/>
      <c r="K57" s="133"/>
      <c r="L57" s="120"/>
      <c r="M57" s="120"/>
      <c r="N57" s="120"/>
      <c r="O57" s="120"/>
      <c r="P57" s="120"/>
      <c r="Q57" s="120"/>
      <c r="R57" s="120"/>
      <c r="S57" s="120"/>
      <c r="T57" s="120"/>
      <c r="U57" s="120"/>
    </row>
    <row r="58">
      <c r="A58" s="115" t="s">
        <v>1731</v>
      </c>
      <c r="B58" s="115" t="s">
        <v>1738</v>
      </c>
      <c r="C58" s="115" t="s">
        <v>436</v>
      </c>
      <c r="D58" s="115" t="s">
        <v>1733</v>
      </c>
      <c r="E58" s="115" t="s">
        <v>740</v>
      </c>
      <c r="F58" s="116">
        <v>5.0</v>
      </c>
      <c r="G58" s="137">
        <v>43397.0</v>
      </c>
      <c r="H58" s="138">
        <v>43403.0</v>
      </c>
      <c r="I58" s="138">
        <v>43417.0</v>
      </c>
      <c r="J58" s="138">
        <v>43440.0</v>
      </c>
      <c r="K58" s="133"/>
      <c r="L58" s="120"/>
      <c r="M58" s="120"/>
      <c r="N58" s="120"/>
      <c r="O58" s="120"/>
      <c r="P58" s="120"/>
      <c r="Q58" s="120"/>
      <c r="R58" s="120"/>
      <c r="S58" s="120"/>
      <c r="T58" s="120"/>
      <c r="U58" s="120"/>
    </row>
    <row r="59">
      <c r="A59" s="115" t="s">
        <v>1731</v>
      </c>
      <c r="B59" s="115" t="s">
        <v>1738</v>
      </c>
      <c r="C59" s="115" t="s">
        <v>1722</v>
      </c>
      <c r="D59" s="115" t="s">
        <v>1733</v>
      </c>
      <c r="E59" s="115" t="s">
        <v>740</v>
      </c>
      <c r="F59" s="116">
        <v>5.0</v>
      </c>
      <c r="G59" s="138">
        <v>43410.0</v>
      </c>
      <c r="H59" s="138">
        <v>43419.0</v>
      </c>
      <c r="I59" s="138">
        <v>43433.0</v>
      </c>
      <c r="J59" s="138">
        <v>43438.0</v>
      </c>
      <c r="K59" s="135">
        <v>43452.0</v>
      </c>
      <c r="L59" s="120"/>
      <c r="M59" s="120"/>
      <c r="N59" s="120"/>
      <c r="O59" s="120"/>
      <c r="P59" s="120"/>
      <c r="Q59" s="120"/>
      <c r="R59" s="120"/>
      <c r="S59" s="120"/>
      <c r="T59" s="120"/>
      <c r="U59" s="120"/>
    </row>
    <row r="60">
      <c r="A60" s="115" t="s">
        <v>1731</v>
      </c>
      <c r="B60" s="115" t="s">
        <v>1738</v>
      </c>
      <c r="C60" s="115" t="s">
        <v>1676</v>
      </c>
      <c r="D60" s="115" t="s">
        <v>1733</v>
      </c>
      <c r="E60" s="115" t="s">
        <v>740</v>
      </c>
      <c r="F60" s="116">
        <v>5.0</v>
      </c>
      <c r="G60" s="138">
        <v>43410.0</v>
      </c>
      <c r="H60" s="138">
        <v>43424.0</v>
      </c>
      <c r="I60" s="138">
        <v>43433.0</v>
      </c>
      <c r="J60" s="138">
        <v>43445.0</v>
      </c>
      <c r="K60" s="135">
        <v>43452.0</v>
      </c>
      <c r="L60" s="135">
        <v>43463.0</v>
      </c>
      <c r="M60" s="120"/>
      <c r="N60" s="120"/>
      <c r="O60" s="120"/>
      <c r="P60" s="120"/>
      <c r="Q60" s="120"/>
      <c r="R60" s="120"/>
      <c r="S60" s="120"/>
      <c r="T60" s="120"/>
      <c r="U60" s="120"/>
    </row>
    <row r="61">
      <c r="A61" s="115" t="s">
        <v>1731</v>
      </c>
      <c r="B61" s="115" t="s">
        <v>1738</v>
      </c>
      <c r="C61" s="115" t="s">
        <v>287</v>
      </c>
      <c r="D61" s="115" t="s">
        <v>1733</v>
      </c>
      <c r="E61" s="115" t="s">
        <v>740</v>
      </c>
      <c r="F61" s="116">
        <v>5.0</v>
      </c>
      <c r="G61" s="138">
        <v>43419.0</v>
      </c>
      <c r="H61" s="138">
        <v>43424.0</v>
      </c>
      <c r="I61" s="138">
        <v>43438.0</v>
      </c>
      <c r="J61" s="138">
        <v>43445.0</v>
      </c>
      <c r="K61" s="135">
        <v>43463.0</v>
      </c>
      <c r="L61" s="120"/>
      <c r="M61" s="120"/>
      <c r="N61" s="120"/>
      <c r="O61" s="120"/>
      <c r="P61" s="120"/>
      <c r="Q61" s="120"/>
      <c r="R61" s="120"/>
      <c r="S61" s="120"/>
      <c r="T61" s="120"/>
      <c r="U61" s="120"/>
    </row>
  </sheetData>
  <drawing r:id="rId1"/>
</worksheet>
</file>